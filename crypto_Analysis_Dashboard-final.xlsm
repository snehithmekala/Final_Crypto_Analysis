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8.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9.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0.xml" ContentType="application/vnd.openxmlformats-officedocument.drawing+xml"/>
  <Override PartName="/xl/slicers/slicer5.xml" ContentType="application/vnd.ms-excel.slicer+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5c5f1c0e00928327/Desktop/"/>
    </mc:Choice>
  </mc:AlternateContent>
  <xr:revisionPtr revIDLastSave="1034" documentId="11_2BD4905AFEA5810F57FAE218B36236D0A426F149" xr6:coauthVersionLast="47" xr6:coauthVersionMax="47" xr10:uidLastSave="{F3C30D67-7E2E-4AD4-8942-8BF0E56E5374}"/>
  <bookViews>
    <workbookView xWindow="-108" yWindow="-108" windowWidth="23256" windowHeight="12456" firstSheet="2" activeTab="4" xr2:uid="{00000000-000D-0000-FFFF-FFFF00000000}"/>
  </bookViews>
  <sheets>
    <sheet name="Task1_Time_Analysis" sheetId="17" r:id="rId1"/>
    <sheet name="Task2_Coin_Comparison" sheetId="18" r:id="rId2"/>
    <sheet name="Task3_Liquidity_Analysis" sheetId="19" r:id="rId3"/>
    <sheet name="Task4" sheetId="57" r:id="rId4"/>
    <sheet name="Task5_Historical_Insights" sheetId="52" r:id="rId5"/>
    <sheet name="Task6_Low_Budget" sheetId="54" r:id="rId6"/>
    <sheet name="Dashboard" sheetId="16" r:id="rId7"/>
    <sheet name="cleaned_data" sheetId="2" r:id="rId8"/>
    <sheet name="Task3_Pivot_All" sheetId="23" r:id="rId9"/>
    <sheet name="Task3_Pivot_Top5" sheetId="24" r:id="rId10"/>
    <sheet name="Sheet4" sheetId="27" r:id="rId11"/>
    <sheet name="Task5_Data" sheetId="42" r:id="rId12"/>
    <sheet name="Sheet1" sheetId="3" r:id="rId13"/>
    <sheet name="pivote_chats" sheetId="5" r:id="rId14"/>
    <sheet name="Task4_Price_Change1" sheetId="55" r:id="rId15"/>
    <sheet name="Sheet11" sheetId="51" r:id="rId16"/>
    <sheet name="Sheet5" sheetId="56" r:id="rId17"/>
    <sheet name="Sheet2" sheetId="53" r:id="rId18"/>
    <sheet name="Task5_datatable" sheetId="41" r:id="rId19"/>
    <sheet name="raw_data" sheetId="1" r:id="rId20"/>
  </sheets>
  <definedNames>
    <definedName name="_xlnm._FilterDatabase" localSheetId="18" hidden="1">Task5_datatable!$A$1:$H$301</definedName>
    <definedName name="_xlcn.WorksheetConnection_crypto_Analysis_Dashboardcopy.xlsmSheet11" hidden="1">Sheet1[]</definedName>
    <definedName name="_xlcn.WorksheetConnection_crypto_Analysis_Dashboardcopy.xlsmTable21" hidden="1">Table2[]</definedName>
    <definedName name="_xlcn.WorksheetConnection_crypto_Analysis_Dashboardfinal.xlsmTable21" hidden="1">Table2[]</definedName>
    <definedName name="_xlcn.WorksheetConnection_Task5_Historical_InsightsA1H3011" hidden="1">Task5_datatable!$A$1:$H$301</definedName>
    <definedName name="_xlpm.data" hidden="1" xlm="1">#NAME?</definedName>
    <definedName name="_xlpm.eligible" hidden="1" xlm="1">#NAME?</definedName>
    <definedName name="_xlpm.names" hidden="1" xlm="1">#NAME?</definedName>
    <definedName name="_xlpm.sorted" hidden="1" xlm="1">#NAME?</definedName>
    <definedName name="_xlpm.volume" hidden="1" xlm="1">#NAME?</definedName>
    <definedName name="ExternalData_1" localSheetId="7" hidden="1">cleaned_data!$A$1:$O$301</definedName>
    <definedName name="Slicer_1h_Change">#N/A</definedName>
    <definedName name="Slicer_Price__USD">#N/A</definedName>
    <definedName name="Slicer_Price__USD1">#N/A</definedName>
    <definedName name="Slicer_Price_Category">#N/A</definedName>
    <definedName name="Slicer_Price_Range">#N/A</definedName>
    <definedName name="Slicer_Task4_Price_Range">#N/A</definedName>
  </definedNames>
  <calcPr calcId="191029"/>
  <pivotCaches>
    <pivotCache cacheId="0" r:id="rId21"/>
    <pivotCache cacheId="1" r:id="rId22"/>
    <pivotCache cacheId="2" r:id="rId23"/>
    <pivotCache cacheId="3" r:id="rId24"/>
    <pivotCache cacheId="8" r:id="rId25"/>
  </pivotCaches>
  <extLst>
    <ext xmlns:x14="http://schemas.microsoft.com/office/spreadsheetml/2009/9/main" uri="{BBE1A952-AA13-448e-AADC-164F8A28A991}">
      <x14:slicerCaches>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Task5_Historical_Insights!$A$1:$H$301"/>
          <x15:modelTable id="Table2" name="Table2" connection="WorksheetConnection_crypto_Analysis_Dashboard-final.xlsm!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57" l="1"/>
  <c r="H6" i="57"/>
  <c r="H7" i="57"/>
  <c r="H8" i="57"/>
  <c r="H9" i="57"/>
  <c r="H10" i="57"/>
  <c r="H11" i="57"/>
  <c r="H12" i="57"/>
  <c r="H13" i="57"/>
  <c r="H4" i="57"/>
  <c r="G5" i="57"/>
  <c r="G6" i="57"/>
  <c r="G7" i="57"/>
  <c r="G8" i="57"/>
  <c r="G9" i="57"/>
  <c r="G10" i="57"/>
  <c r="G11" i="57"/>
  <c r="G12" i="57"/>
  <c r="G13" i="57"/>
  <c r="G4" i="57"/>
  <c r="F5" i="57"/>
  <c r="F6" i="57"/>
  <c r="F7" i="57"/>
  <c r="F8" i="57"/>
  <c r="F9" i="57"/>
  <c r="F10" i="57"/>
  <c r="F11" i="57"/>
  <c r="F12" i="57"/>
  <c r="F13" i="57"/>
  <c r="F4" i="57"/>
  <c r="F3" i="55"/>
  <c r="F4" i="55"/>
  <c r="F5" i="55"/>
  <c r="F6" i="55"/>
  <c r="F7" i="55"/>
  <c r="F8" i="55"/>
  <c r="F9" i="55"/>
  <c r="F10" i="55"/>
  <c r="F11" i="55"/>
  <c r="F12" i="55"/>
  <c r="F13" i="55"/>
  <c r="F14" i="55"/>
  <c r="F15" i="55"/>
  <c r="F16" i="55"/>
  <c r="F17" i="55"/>
  <c r="F18" i="55"/>
  <c r="F19" i="55"/>
  <c r="F20" i="55"/>
  <c r="F21" i="55"/>
  <c r="F22" i="55"/>
  <c r="F23" i="55"/>
  <c r="F24" i="55"/>
  <c r="F25" i="55"/>
  <c r="F26" i="55"/>
  <c r="F27" i="55"/>
  <c r="F28" i="55"/>
  <c r="F29" i="55"/>
  <c r="F30" i="55"/>
  <c r="F31" i="55"/>
  <c r="F32" i="55"/>
  <c r="F33" i="55"/>
  <c r="F34" i="55"/>
  <c r="F35" i="55"/>
  <c r="F36" i="55"/>
  <c r="F37" i="55"/>
  <c r="F38" i="55"/>
  <c r="F39" i="55"/>
  <c r="F40" i="55"/>
  <c r="F41" i="55"/>
  <c r="F42" i="55"/>
  <c r="F43" i="55"/>
  <c r="F44" i="55"/>
  <c r="F45" i="55"/>
  <c r="F46" i="55"/>
  <c r="F47" i="55"/>
  <c r="F48" i="55"/>
  <c r="F49" i="55"/>
  <c r="F50" i="55"/>
  <c r="F51" i="55"/>
  <c r="F52" i="55"/>
  <c r="F53" i="55"/>
  <c r="F54" i="55"/>
  <c r="F55" i="55"/>
  <c r="F56" i="55"/>
  <c r="F57" i="55"/>
  <c r="F58" i="55"/>
  <c r="F59" i="55"/>
  <c r="F60" i="55"/>
  <c r="F61" i="55"/>
  <c r="F62" i="55"/>
  <c r="F63" i="55"/>
  <c r="F64" i="55"/>
  <c r="F65" i="55"/>
  <c r="F66" i="55"/>
  <c r="F67" i="55"/>
  <c r="F68" i="55"/>
  <c r="F69" i="55"/>
  <c r="F70" i="55"/>
  <c r="F71" i="55"/>
  <c r="F72" i="55"/>
  <c r="F73" i="55"/>
  <c r="F74" i="55"/>
  <c r="F75" i="55"/>
  <c r="F76" i="55"/>
  <c r="F77" i="55"/>
  <c r="F78" i="55"/>
  <c r="F79" i="55"/>
  <c r="F80" i="55"/>
  <c r="F81" i="55"/>
  <c r="F82" i="55"/>
  <c r="F83" i="55"/>
  <c r="F84" i="55"/>
  <c r="F85" i="55"/>
  <c r="F86" i="55"/>
  <c r="F87" i="55"/>
  <c r="F88" i="55"/>
  <c r="F89" i="55"/>
  <c r="F90" i="55"/>
  <c r="F91" i="55"/>
  <c r="F92" i="55"/>
  <c r="F93" i="55"/>
  <c r="F94" i="55"/>
  <c r="F95" i="55"/>
  <c r="F96" i="55"/>
  <c r="F97" i="55"/>
  <c r="F98" i="55"/>
  <c r="F99" i="55"/>
  <c r="F100" i="55"/>
  <c r="F101" i="55"/>
  <c r="F102" i="55"/>
  <c r="F103" i="55"/>
  <c r="F104" i="55"/>
  <c r="F105" i="55"/>
  <c r="F106" i="55"/>
  <c r="F107" i="55"/>
  <c r="F108" i="55"/>
  <c r="F109" i="55"/>
  <c r="F110" i="55"/>
  <c r="F111" i="55"/>
  <c r="F112" i="55"/>
  <c r="F113" i="55"/>
  <c r="F114" i="55"/>
  <c r="F115" i="55"/>
  <c r="F116" i="55"/>
  <c r="F117" i="55"/>
  <c r="F118" i="55"/>
  <c r="F119" i="55"/>
  <c r="F120" i="55"/>
  <c r="F121" i="55"/>
  <c r="F122" i="55"/>
  <c r="F123" i="55"/>
  <c r="F124" i="55"/>
  <c r="F125" i="55"/>
  <c r="F126" i="55"/>
  <c r="F127" i="55"/>
  <c r="F128" i="55"/>
  <c r="F129" i="55"/>
  <c r="F130" i="55"/>
  <c r="F131" i="55"/>
  <c r="F132" i="55"/>
  <c r="F133" i="55"/>
  <c r="F134" i="55"/>
  <c r="F135" i="55"/>
  <c r="F136" i="55"/>
  <c r="F137" i="55"/>
  <c r="F138" i="55"/>
  <c r="F139" i="55"/>
  <c r="F140" i="55"/>
  <c r="F141" i="55"/>
  <c r="F142" i="55"/>
  <c r="F143" i="55"/>
  <c r="F144" i="55"/>
  <c r="F145" i="55"/>
  <c r="F146" i="55"/>
  <c r="F147" i="55"/>
  <c r="F148" i="55"/>
  <c r="F149" i="55"/>
  <c r="F150" i="55"/>
  <c r="F151" i="55"/>
  <c r="F152" i="55"/>
  <c r="F153" i="55"/>
  <c r="F154" i="55"/>
  <c r="F155" i="55"/>
  <c r="F156" i="55"/>
  <c r="F157" i="55"/>
  <c r="F158" i="55"/>
  <c r="F159" i="55"/>
  <c r="F160" i="55"/>
  <c r="F161" i="55"/>
  <c r="F162" i="55"/>
  <c r="F163" i="55"/>
  <c r="F164" i="55"/>
  <c r="F165" i="55"/>
  <c r="F166" i="55"/>
  <c r="F167" i="55"/>
  <c r="F168" i="55"/>
  <c r="F169" i="55"/>
  <c r="F170" i="55"/>
  <c r="F171" i="55"/>
  <c r="F172" i="55"/>
  <c r="F173" i="55"/>
  <c r="F174" i="55"/>
  <c r="F175" i="55"/>
  <c r="F176" i="55"/>
  <c r="F177" i="55"/>
  <c r="F178" i="55"/>
  <c r="F179" i="55"/>
  <c r="F180" i="55"/>
  <c r="F181" i="55"/>
  <c r="F182" i="55"/>
  <c r="F183" i="55"/>
  <c r="F184" i="55"/>
  <c r="F185" i="55"/>
  <c r="F186" i="55"/>
  <c r="F187" i="55"/>
  <c r="F188" i="55"/>
  <c r="F189" i="55"/>
  <c r="F190" i="55"/>
  <c r="F191" i="55"/>
  <c r="F192" i="55"/>
  <c r="F193" i="55"/>
  <c r="F194" i="55"/>
  <c r="F195" i="55"/>
  <c r="F196" i="55"/>
  <c r="F197" i="55"/>
  <c r="F198" i="55"/>
  <c r="F199" i="55"/>
  <c r="F200" i="55"/>
  <c r="F201" i="55"/>
  <c r="F202" i="55"/>
  <c r="F203" i="55"/>
  <c r="F204" i="55"/>
  <c r="F205" i="55"/>
  <c r="F206" i="55"/>
  <c r="F207" i="55"/>
  <c r="F208" i="55"/>
  <c r="F209" i="55"/>
  <c r="F210" i="55"/>
  <c r="F211" i="55"/>
  <c r="F212" i="55"/>
  <c r="F213" i="55"/>
  <c r="F214" i="55"/>
  <c r="F215" i="55"/>
  <c r="F216" i="55"/>
  <c r="F217" i="55"/>
  <c r="F218" i="55"/>
  <c r="F219" i="55"/>
  <c r="F220" i="55"/>
  <c r="F221" i="55"/>
  <c r="F222" i="55"/>
  <c r="F223" i="55"/>
  <c r="F224" i="55"/>
  <c r="F225" i="55"/>
  <c r="F226" i="55"/>
  <c r="F227" i="55"/>
  <c r="F228" i="55"/>
  <c r="F229" i="55"/>
  <c r="F230" i="55"/>
  <c r="F231" i="55"/>
  <c r="F232" i="55"/>
  <c r="F233" i="55"/>
  <c r="F234" i="55"/>
  <c r="F235" i="55"/>
  <c r="F236" i="55"/>
  <c r="F237" i="55"/>
  <c r="F238" i="55"/>
  <c r="F239" i="55"/>
  <c r="F240" i="55"/>
  <c r="F241" i="55"/>
  <c r="F242" i="55"/>
  <c r="F243" i="55"/>
  <c r="F244" i="55"/>
  <c r="F245" i="55"/>
  <c r="F246" i="55"/>
  <c r="F247" i="55"/>
  <c r="F248" i="55"/>
  <c r="F249" i="55"/>
  <c r="F250" i="55"/>
  <c r="F251" i="55"/>
  <c r="F252" i="55"/>
  <c r="F253" i="55"/>
  <c r="F254" i="55"/>
  <c r="F255" i="55"/>
  <c r="F256" i="55"/>
  <c r="F257" i="55"/>
  <c r="F258" i="55"/>
  <c r="F259" i="55"/>
  <c r="F260" i="55"/>
  <c r="F261" i="55"/>
  <c r="F262" i="55"/>
  <c r="F263" i="55"/>
  <c r="F264" i="55"/>
  <c r="F265" i="55"/>
  <c r="F266" i="55"/>
  <c r="F267" i="55"/>
  <c r="F268" i="55"/>
  <c r="F269" i="55"/>
  <c r="F270" i="55"/>
  <c r="F271" i="55"/>
  <c r="F272" i="55"/>
  <c r="F273" i="55"/>
  <c r="F274" i="55"/>
  <c r="F275" i="55"/>
  <c r="F276" i="55"/>
  <c r="F277" i="55"/>
  <c r="F278" i="55"/>
  <c r="F279" i="55"/>
  <c r="F280" i="55"/>
  <c r="F281" i="55"/>
  <c r="F282" i="55"/>
  <c r="F283" i="55"/>
  <c r="F284" i="55"/>
  <c r="F285" i="55"/>
  <c r="F286" i="55"/>
  <c r="F287" i="55"/>
  <c r="F288" i="55"/>
  <c r="F289" i="55"/>
  <c r="F290" i="55"/>
  <c r="F291" i="55"/>
  <c r="F292" i="55"/>
  <c r="F293" i="55"/>
  <c r="F294" i="55"/>
  <c r="F295" i="55"/>
  <c r="F296" i="55"/>
  <c r="F297" i="55"/>
  <c r="F298" i="55"/>
  <c r="F299" i="55"/>
  <c r="F300" i="55"/>
  <c r="F301" i="55"/>
  <c r="F2" i="55"/>
  <c r="E3" i="55"/>
  <c r="E4" i="55"/>
  <c r="E5" i="55"/>
  <c r="E6" i="55"/>
  <c r="E7" i="55"/>
  <c r="E8"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8" i="55"/>
  <c r="E169" i="55"/>
  <c r="E170" i="55"/>
  <c r="E171" i="55"/>
  <c r="E172" i="55"/>
  <c r="E173" i="55"/>
  <c r="E174" i="55"/>
  <c r="E175" i="55"/>
  <c r="E176" i="55"/>
  <c r="E177" i="55"/>
  <c r="E178" i="55"/>
  <c r="E179" i="55"/>
  <c r="E180" i="55"/>
  <c r="E181" i="55"/>
  <c r="E182" i="55"/>
  <c r="E183" i="55"/>
  <c r="E184" i="55"/>
  <c r="E185" i="55"/>
  <c r="E186" i="55"/>
  <c r="E187" i="55"/>
  <c r="E188" i="55"/>
  <c r="E189" i="55"/>
  <c r="E190" i="55"/>
  <c r="E191" i="55"/>
  <c r="E192" i="55"/>
  <c r="E193" i="55"/>
  <c r="E194" i="55"/>
  <c r="E195" i="55"/>
  <c r="E196" i="55"/>
  <c r="E197" i="55"/>
  <c r="E198" i="55"/>
  <c r="E199" i="55"/>
  <c r="E200" i="55"/>
  <c r="E201" i="55"/>
  <c r="E202" i="55"/>
  <c r="E203" i="55"/>
  <c r="E204" i="55"/>
  <c r="E205" i="55"/>
  <c r="E206" i="55"/>
  <c r="E207" i="55"/>
  <c r="E208" i="55"/>
  <c r="E209" i="55"/>
  <c r="E210" i="55"/>
  <c r="E211" i="55"/>
  <c r="E212" i="55"/>
  <c r="E213" i="55"/>
  <c r="E214" i="55"/>
  <c r="E215" i="55"/>
  <c r="E216" i="55"/>
  <c r="E217" i="55"/>
  <c r="E218" i="55"/>
  <c r="E219" i="55"/>
  <c r="E220" i="55"/>
  <c r="E221" i="55"/>
  <c r="E222" i="55"/>
  <c r="E223" i="55"/>
  <c r="E224" i="55"/>
  <c r="E225" i="55"/>
  <c r="E226" i="55"/>
  <c r="E227" i="55"/>
  <c r="E228" i="55"/>
  <c r="E229" i="55"/>
  <c r="E230" i="55"/>
  <c r="E231" i="55"/>
  <c r="E232" i="55"/>
  <c r="E233" i="55"/>
  <c r="E234" i="55"/>
  <c r="E235" i="55"/>
  <c r="E236" i="55"/>
  <c r="E237" i="55"/>
  <c r="E238" i="55"/>
  <c r="E239" i="55"/>
  <c r="E240" i="55"/>
  <c r="E241" i="55"/>
  <c r="E242" i="55"/>
  <c r="E243" i="55"/>
  <c r="E244" i="55"/>
  <c r="E245" i="55"/>
  <c r="E246" i="55"/>
  <c r="E247" i="55"/>
  <c r="E248" i="55"/>
  <c r="E249" i="55"/>
  <c r="E250" i="55"/>
  <c r="E251" i="55"/>
  <c r="E252" i="55"/>
  <c r="E253" i="55"/>
  <c r="E254" i="55"/>
  <c r="E255" i="55"/>
  <c r="E256" i="55"/>
  <c r="E257" i="55"/>
  <c r="E258" i="55"/>
  <c r="E259" i="55"/>
  <c r="E260" i="55"/>
  <c r="E261" i="55"/>
  <c r="E262" i="55"/>
  <c r="E263" i="55"/>
  <c r="E264" i="55"/>
  <c r="E265" i="55"/>
  <c r="E266" i="55"/>
  <c r="E267" i="55"/>
  <c r="E268" i="55"/>
  <c r="E269" i="55"/>
  <c r="E270" i="55"/>
  <c r="E271" i="55"/>
  <c r="E272" i="55"/>
  <c r="E273" i="55"/>
  <c r="E274" i="55"/>
  <c r="E275" i="55"/>
  <c r="E276" i="55"/>
  <c r="E277" i="55"/>
  <c r="E278" i="55"/>
  <c r="E279" i="55"/>
  <c r="E280" i="55"/>
  <c r="E281" i="55"/>
  <c r="E282" i="55"/>
  <c r="E283" i="55"/>
  <c r="E284" i="55"/>
  <c r="E285" i="55"/>
  <c r="E286" i="55"/>
  <c r="E287" i="55"/>
  <c r="E288" i="55"/>
  <c r="E289" i="55"/>
  <c r="E290" i="55"/>
  <c r="E291" i="55"/>
  <c r="E292" i="55"/>
  <c r="E293" i="55"/>
  <c r="E294" i="55"/>
  <c r="E295" i="55"/>
  <c r="E296" i="55"/>
  <c r="E297" i="55"/>
  <c r="E298" i="55"/>
  <c r="E299" i="55"/>
  <c r="E300" i="55"/>
  <c r="E301" i="55"/>
  <c r="E2" i="55"/>
  <c r="D3" i="55"/>
  <c r="D4" i="55"/>
  <c r="D5" i="55"/>
  <c r="D6" i="55"/>
  <c r="D7" i="55"/>
  <c r="D8" i="55"/>
  <c r="D9" i="55"/>
  <c r="D10" i="55"/>
  <c r="D11" i="55"/>
  <c r="D12" i="55"/>
  <c r="D13" i="55"/>
  <c r="D14" i="55"/>
  <c r="D15" i="55"/>
  <c r="D16" i="55"/>
  <c r="D17" i="55"/>
  <c r="D18" i="55"/>
  <c r="D19" i="55"/>
  <c r="D20" i="55"/>
  <c r="D21" i="55"/>
  <c r="D22" i="55"/>
  <c r="D23" i="55"/>
  <c r="D24" i="55"/>
  <c r="D25" i="55"/>
  <c r="D26" i="55"/>
  <c r="D27" i="55"/>
  <c r="D28" i="55"/>
  <c r="D29" i="55"/>
  <c r="D30" i="55"/>
  <c r="D31" i="55"/>
  <c r="D32" i="55"/>
  <c r="D33" i="55"/>
  <c r="D34" i="55"/>
  <c r="D35" i="55"/>
  <c r="D36" i="55"/>
  <c r="D37" i="55"/>
  <c r="D38" i="55"/>
  <c r="D39" i="55"/>
  <c r="D40" i="55"/>
  <c r="D41" i="55"/>
  <c r="D42" i="55"/>
  <c r="D43" i="55"/>
  <c r="D44" i="55"/>
  <c r="D45" i="55"/>
  <c r="D46" i="55"/>
  <c r="D47" i="55"/>
  <c r="D48" i="55"/>
  <c r="D49" i="55"/>
  <c r="D50" i="55"/>
  <c r="D51" i="55"/>
  <c r="D52" i="55"/>
  <c r="D53" i="55"/>
  <c r="D54" i="55"/>
  <c r="D55" i="55"/>
  <c r="D56" i="55"/>
  <c r="D57" i="55"/>
  <c r="D58" i="55"/>
  <c r="D59" i="55"/>
  <c r="D60" i="55"/>
  <c r="D61" i="55"/>
  <c r="D62" i="55"/>
  <c r="D63" i="55"/>
  <c r="D64" i="55"/>
  <c r="D65" i="55"/>
  <c r="D66" i="55"/>
  <c r="D67" i="55"/>
  <c r="D68" i="55"/>
  <c r="D69" i="55"/>
  <c r="D70" i="55"/>
  <c r="D71" i="55"/>
  <c r="D72" i="55"/>
  <c r="D73" i="55"/>
  <c r="D74" i="55"/>
  <c r="D75" i="55"/>
  <c r="D76" i="55"/>
  <c r="D77" i="55"/>
  <c r="D78" i="55"/>
  <c r="D79" i="55"/>
  <c r="D80" i="55"/>
  <c r="D81" i="55"/>
  <c r="D82" i="55"/>
  <c r="D83" i="55"/>
  <c r="D84" i="55"/>
  <c r="D85" i="55"/>
  <c r="D86" i="55"/>
  <c r="D87" i="55"/>
  <c r="D88" i="55"/>
  <c r="D89" i="55"/>
  <c r="D90" i="55"/>
  <c r="D91" i="55"/>
  <c r="D92" i="55"/>
  <c r="D93" i="55"/>
  <c r="D94" i="55"/>
  <c r="D95" i="55"/>
  <c r="D96" i="55"/>
  <c r="D97" i="55"/>
  <c r="D98" i="55"/>
  <c r="D99" i="55"/>
  <c r="D100" i="55"/>
  <c r="D101" i="55"/>
  <c r="D102" i="55"/>
  <c r="D103" i="55"/>
  <c r="D104" i="55"/>
  <c r="D105" i="55"/>
  <c r="D106" i="55"/>
  <c r="D107" i="55"/>
  <c r="D108" i="55"/>
  <c r="D109" i="55"/>
  <c r="D110" i="55"/>
  <c r="D111" i="55"/>
  <c r="D112" i="55"/>
  <c r="D113" i="55"/>
  <c r="D114" i="55"/>
  <c r="D115" i="55"/>
  <c r="D116" i="55"/>
  <c r="D117" i="55"/>
  <c r="D118" i="55"/>
  <c r="D119" i="55"/>
  <c r="D120" i="55"/>
  <c r="D121" i="55"/>
  <c r="D122" i="55"/>
  <c r="D123" i="55"/>
  <c r="D124" i="55"/>
  <c r="D125" i="55"/>
  <c r="D126" i="55"/>
  <c r="D127" i="55"/>
  <c r="D128" i="55"/>
  <c r="D129" i="55"/>
  <c r="D130" i="55"/>
  <c r="D131" i="55"/>
  <c r="D132" i="55"/>
  <c r="D133" i="55"/>
  <c r="D134" i="55"/>
  <c r="D135" i="55"/>
  <c r="D136" i="55"/>
  <c r="D137" i="55"/>
  <c r="D138" i="55"/>
  <c r="D139" i="55"/>
  <c r="D140" i="55"/>
  <c r="D141" i="55"/>
  <c r="D142" i="55"/>
  <c r="D143" i="55"/>
  <c r="D144" i="55"/>
  <c r="D145" i="55"/>
  <c r="D146" i="55"/>
  <c r="D147" i="55"/>
  <c r="D148" i="55"/>
  <c r="D149" i="55"/>
  <c r="D150" i="55"/>
  <c r="D151" i="55"/>
  <c r="D152" i="55"/>
  <c r="D153" i="55"/>
  <c r="D154" i="55"/>
  <c r="D155" i="55"/>
  <c r="D156" i="55"/>
  <c r="D157" i="55"/>
  <c r="D158" i="55"/>
  <c r="D159" i="55"/>
  <c r="D160" i="55"/>
  <c r="D161" i="55"/>
  <c r="D162" i="55"/>
  <c r="D163" i="55"/>
  <c r="D164" i="55"/>
  <c r="D165" i="55"/>
  <c r="D166" i="55"/>
  <c r="D167" i="55"/>
  <c r="D168" i="55"/>
  <c r="D169" i="55"/>
  <c r="D170" i="55"/>
  <c r="D171" i="55"/>
  <c r="D172" i="55"/>
  <c r="D173" i="55"/>
  <c r="D174" i="55"/>
  <c r="D175" i="55"/>
  <c r="D176" i="55"/>
  <c r="D177" i="55"/>
  <c r="D178" i="55"/>
  <c r="D179" i="55"/>
  <c r="D180" i="55"/>
  <c r="D181" i="55"/>
  <c r="D182" i="55"/>
  <c r="D183" i="55"/>
  <c r="D184" i="55"/>
  <c r="D185" i="55"/>
  <c r="D186" i="55"/>
  <c r="D187" i="55"/>
  <c r="D188" i="55"/>
  <c r="D189" i="55"/>
  <c r="D190" i="55"/>
  <c r="D191" i="55"/>
  <c r="D192" i="55"/>
  <c r="D193" i="55"/>
  <c r="D194" i="55"/>
  <c r="D195" i="55"/>
  <c r="D196" i="55"/>
  <c r="D197" i="55"/>
  <c r="D198" i="55"/>
  <c r="D199" i="55"/>
  <c r="D200" i="55"/>
  <c r="D201" i="55"/>
  <c r="D202" i="55"/>
  <c r="D203" i="55"/>
  <c r="D204" i="55"/>
  <c r="D205" i="55"/>
  <c r="D206" i="55"/>
  <c r="D207" i="55"/>
  <c r="D208" i="55"/>
  <c r="D209" i="55"/>
  <c r="D210" i="55"/>
  <c r="D211" i="55"/>
  <c r="D212" i="55"/>
  <c r="D213" i="55"/>
  <c r="D214" i="55"/>
  <c r="D215" i="55"/>
  <c r="D216" i="55"/>
  <c r="D217" i="55"/>
  <c r="D218" i="55"/>
  <c r="D219" i="55"/>
  <c r="D220" i="55"/>
  <c r="D221" i="55"/>
  <c r="D222" i="55"/>
  <c r="D223" i="55"/>
  <c r="D224" i="55"/>
  <c r="D225" i="55"/>
  <c r="D226" i="55"/>
  <c r="D227" i="55"/>
  <c r="D228" i="55"/>
  <c r="D229" i="55"/>
  <c r="D230" i="55"/>
  <c r="D231" i="55"/>
  <c r="D232" i="55"/>
  <c r="D233" i="55"/>
  <c r="D234" i="55"/>
  <c r="D235" i="55"/>
  <c r="D236" i="55"/>
  <c r="D237" i="55"/>
  <c r="D238" i="55"/>
  <c r="D239" i="55"/>
  <c r="D240" i="55"/>
  <c r="D241" i="55"/>
  <c r="D242" i="55"/>
  <c r="D243" i="55"/>
  <c r="D244" i="55"/>
  <c r="D245" i="55"/>
  <c r="D246" i="55"/>
  <c r="D247" i="55"/>
  <c r="D248" i="55"/>
  <c r="D249" i="55"/>
  <c r="D250" i="55"/>
  <c r="D251" i="55"/>
  <c r="D252" i="55"/>
  <c r="D253" i="55"/>
  <c r="D254" i="55"/>
  <c r="D255" i="55"/>
  <c r="D256" i="55"/>
  <c r="D257" i="55"/>
  <c r="D258" i="55"/>
  <c r="D259" i="55"/>
  <c r="D260" i="55"/>
  <c r="D261" i="55"/>
  <c r="D262" i="55"/>
  <c r="D263" i="55"/>
  <c r="D264" i="55"/>
  <c r="D265" i="55"/>
  <c r="D266" i="55"/>
  <c r="D267" i="55"/>
  <c r="D268" i="55"/>
  <c r="D269" i="55"/>
  <c r="D270" i="55"/>
  <c r="D271" i="55"/>
  <c r="D272" i="55"/>
  <c r="D273" i="55"/>
  <c r="D274" i="55"/>
  <c r="D275" i="55"/>
  <c r="D276" i="55"/>
  <c r="D277" i="55"/>
  <c r="D278" i="55"/>
  <c r="D279" i="55"/>
  <c r="D280" i="55"/>
  <c r="D281" i="55"/>
  <c r="D282" i="55"/>
  <c r="D283" i="55"/>
  <c r="D284" i="55"/>
  <c r="D285" i="55"/>
  <c r="D286" i="55"/>
  <c r="D287" i="55"/>
  <c r="D288" i="55"/>
  <c r="D289" i="55"/>
  <c r="D290" i="55"/>
  <c r="D291" i="55"/>
  <c r="D292" i="55"/>
  <c r="D293" i="55"/>
  <c r="D294" i="55"/>
  <c r="D295" i="55"/>
  <c r="D296" i="55"/>
  <c r="D297" i="55"/>
  <c r="D298" i="55"/>
  <c r="D299" i="55"/>
  <c r="D300" i="55"/>
  <c r="D301" i="55"/>
  <c r="D2" i="55"/>
  <c r="C3" i="55"/>
  <c r="C4" i="55"/>
  <c r="C5" i="55"/>
  <c r="C6" i="55"/>
  <c r="C7" i="55"/>
  <c r="C8" i="55"/>
  <c r="C9" i="55"/>
  <c r="C10" i="55"/>
  <c r="C11" i="55"/>
  <c r="C12" i="55"/>
  <c r="C13" i="55"/>
  <c r="C14"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104" i="55"/>
  <c r="C105" i="55"/>
  <c r="C106" i="55"/>
  <c r="C107" i="55"/>
  <c r="C108" i="55"/>
  <c r="C109" i="55"/>
  <c r="C110" i="55"/>
  <c r="C111" i="55"/>
  <c r="C112" i="55"/>
  <c r="C113" i="55"/>
  <c r="C114" i="55"/>
  <c r="C115" i="55"/>
  <c r="C116" i="55"/>
  <c r="C117" i="55"/>
  <c r="C118" i="55"/>
  <c r="C119" i="55"/>
  <c r="C120" i="55"/>
  <c r="C121" i="55"/>
  <c r="C122" i="55"/>
  <c r="C123" i="55"/>
  <c r="C124" i="55"/>
  <c r="C125" i="55"/>
  <c r="C126" i="55"/>
  <c r="C127" i="55"/>
  <c r="C128" i="55"/>
  <c r="C129" i="55"/>
  <c r="C130" i="55"/>
  <c r="C131" i="55"/>
  <c r="C132" i="55"/>
  <c r="C133" i="55"/>
  <c r="C134" i="55"/>
  <c r="C135" i="55"/>
  <c r="C136" i="55"/>
  <c r="C137" i="55"/>
  <c r="C138" i="55"/>
  <c r="C139" i="55"/>
  <c r="C140" i="55"/>
  <c r="C141" i="55"/>
  <c r="C142" i="55"/>
  <c r="C143" i="55"/>
  <c r="C144" i="55"/>
  <c r="C145" i="55"/>
  <c r="C146" i="55"/>
  <c r="C147" i="55"/>
  <c r="C148" i="55"/>
  <c r="C149" i="55"/>
  <c r="C150" i="55"/>
  <c r="C151" i="55"/>
  <c r="C152" i="55"/>
  <c r="C153" i="55"/>
  <c r="C154" i="55"/>
  <c r="C155" i="55"/>
  <c r="C156" i="55"/>
  <c r="C157" i="55"/>
  <c r="C158" i="55"/>
  <c r="C159" i="55"/>
  <c r="C160" i="55"/>
  <c r="C161" i="55"/>
  <c r="C162" i="55"/>
  <c r="C163" i="55"/>
  <c r="C164" i="55"/>
  <c r="C165" i="55"/>
  <c r="C166" i="55"/>
  <c r="C167" i="55"/>
  <c r="C168" i="55"/>
  <c r="C169" i="55"/>
  <c r="C170" i="55"/>
  <c r="C171" i="55"/>
  <c r="C172" i="55"/>
  <c r="C173" i="55"/>
  <c r="C174" i="55"/>
  <c r="C175" i="55"/>
  <c r="C176" i="55"/>
  <c r="C177" i="55"/>
  <c r="C178" i="55"/>
  <c r="C179" i="55"/>
  <c r="C180" i="55"/>
  <c r="C181" i="55"/>
  <c r="C182" i="55"/>
  <c r="C183" i="55"/>
  <c r="C184" i="55"/>
  <c r="C185" i="55"/>
  <c r="C186" i="55"/>
  <c r="C187" i="55"/>
  <c r="C188" i="55"/>
  <c r="C189" i="55"/>
  <c r="C190" i="55"/>
  <c r="C191" i="55"/>
  <c r="C192" i="55"/>
  <c r="C193" i="55"/>
  <c r="C194" i="55"/>
  <c r="C195" i="55"/>
  <c r="C196" i="55"/>
  <c r="C197" i="55"/>
  <c r="C198" i="55"/>
  <c r="C199" i="55"/>
  <c r="C200" i="55"/>
  <c r="C201" i="55"/>
  <c r="C202" i="55"/>
  <c r="C203" i="55"/>
  <c r="C204" i="55"/>
  <c r="C205" i="55"/>
  <c r="C206" i="55"/>
  <c r="C207" i="55"/>
  <c r="C208" i="55"/>
  <c r="C209" i="55"/>
  <c r="C210" i="55"/>
  <c r="C211" i="55"/>
  <c r="C212" i="55"/>
  <c r="C213" i="55"/>
  <c r="C214" i="55"/>
  <c r="C215" i="55"/>
  <c r="C216" i="55"/>
  <c r="C217" i="55"/>
  <c r="C218" i="55"/>
  <c r="C219" i="55"/>
  <c r="C220" i="55"/>
  <c r="C221" i="55"/>
  <c r="C222" i="55"/>
  <c r="C223" i="55"/>
  <c r="C224" i="55"/>
  <c r="C225" i="55"/>
  <c r="C226" i="55"/>
  <c r="C227" i="55"/>
  <c r="C228" i="55"/>
  <c r="C229" i="55"/>
  <c r="C230" i="55"/>
  <c r="C231" i="55"/>
  <c r="C232" i="55"/>
  <c r="C233" i="55"/>
  <c r="C234" i="55"/>
  <c r="C235" i="55"/>
  <c r="C236" i="55"/>
  <c r="C237" i="55"/>
  <c r="C238" i="55"/>
  <c r="C239" i="55"/>
  <c r="C240" i="55"/>
  <c r="C241" i="55"/>
  <c r="C242" i="55"/>
  <c r="C243" i="55"/>
  <c r="C244" i="55"/>
  <c r="C245" i="55"/>
  <c r="C246" i="55"/>
  <c r="C247" i="55"/>
  <c r="C248" i="55"/>
  <c r="C249" i="55"/>
  <c r="C250" i="55"/>
  <c r="C251" i="55"/>
  <c r="C252" i="55"/>
  <c r="C253" i="55"/>
  <c r="C254" i="55"/>
  <c r="C255" i="55"/>
  <c r="C256" i="55"/>
  <c r="C257" i="55"/>
  <c r="C258" i="55"/>
  <c r="C259" i="55"/>
  <c r="C260" i="55"/>
  <c r="C261" i="55"/>
  <c r="C262" i="55"/>
  <c r="C263" i="55"/>
  <c r="C264" i="55"/>
  <c r="C265" i="55"/>
  <c r="C266" i="55"/>
  <c r="C267" i="55"/>
  <c r="C268" i="55"/>
  <c r="C269" i="55"/>
  <c r="C270" i="55"/>
  <c r="C271" i="55"/>
  <c r="C272" i="55"/>
  <c r="C273" i="55"/>
  <c r="C274" i="55"/>
  <c r="C275" i="55"/>
  <c r="C276" i="55"/>
  <c r="C277" i="55"/>
  <c r="C278" i="55"/>
  <c r="C279" i="55"/>
  <c r="C280" i="55"/>
  <c r="C281" i="55"/>
  <c r="C282" i="55"/>
  <c r="C283" i="55"/>
  <c r="C284" i="55"/>
  <c r="C285" i="55"/>
  <c r="C286" i="55"/>
  <c r="C287" i="55"/>
  <c r="C288" i="55"/>
  <c r="C289" i="55"/>
  <c r="C290" i="55"/>
  <c r="C291" i="55"/>
  <c r="C292" i="55"/>
  <c r="C293" i="55"/>
  <c r="C294" i="55"/>
  <c r="C295" i="55"/>
  <c r="C296" i="55"/>
  <c r="C297" i="55"/>
  <c r="C298" i="55"/>
  <c r="C299" i="55"/>
  <c r="C300" i="55"/>
  <c r="C301" i="55"/>
  <c r="C2" i="55"/>
  <c r="B4" i="55"/>
  <c r="B5" i="55"/>
  <c r="B6" i="55"/>
  <c r="B7" i="55"/>
  <c r="B8" i="55"/>
  <c r="B9" i="55"/>
  <c r="B10" i="55"/>
  <c r="B11" i="55"/>
  <c r="B12"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4" i="55"/>
  <c r="B105" i="55"/>
  <c r="B106" i="55"/>
  <c r="B107" i="55"/>
  <c r="B108" i="55"/>
  <c r="B109" i="55"/>
  <c r="B110" i="55"/>
  <c r="B111" i="55"/>
  <c r="B112" i="55"/>
  <c r="B113" i="55"/>
  <c r="B114" i="55"/>
  <c r="B115" i="55"/>
  <c r="B116" i="55"/>
  <c r="B117" i="55"/>
  <c r="B118" i="55"/>
  <c r="B119"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47" i="55"/>
  <c r="B148" i="55"/>
  <c r="B149" i="55"/>
  <c r="B150" i="55"/>
  <c r="B151" i="55"/>
  <c r="B152" i="55"/>
  <c r="B153" i="55"/>
  <c r="B154" i="55"/>
  <c r="B155" i="55"/>
  <c r="B156" i="55"/>
  <c r="B157" i="55"/>
  <c r="B158" i="55"/>
  <c r="B159" i="55"/>
  <c r="B160" i="55"/>
  <c r="B161" i="55"/>
  <c r="B162" i="55"/>
  <c r="B163" i="55"/>
  <c r="B164" i="55"/>
  <c r="B165" i="55"/>
  <c r="B166" i="55"/>
  <c r="B167" i="55"/>
  <c r="B168" i="55"/>
  <c r="B169" i="55"/>
  <c r="B170" i="55"/>
  <c r="B171" i="55"/>
  <c r="B172" i="55"/>
  <c r="B173" i="55"/>
  <c r="B174" i="55"/>
  <c r="B175" i="55"/>
  <c r="B176" i="55"/>
  <c r="B177" i="55"/>
  <c r="B178" i="55"/>
  <c r="B179" i="55"/>
  <c r="B180" i="55"/>
  <c r="B181" i="55"/>
  <c r="B182" i="55"/>
  <c r="B183" i="55"/>
  <c r="B184" i="55"/>
  <c r="B185" i="55"/>
  <c r="B186" i="55"/>
  <c r="B187" i="55"/>
  <c r="B188" i="55"/>
  <c r="B189" i="55"/>
  <c r="B190" i="55"/>
  <c r="B191" i="55"/>
  <c r="B192" i="55"/>
  <c r="B193" i="55"/>
  <c r="B194" i="55"/>
  <c r="B195" i="55"/>
  <c r="B196" i="55"/>
  <c r="B197" i="55"/>
  <c r="B198" i="55"/>
  <c r="B199" i="55"/>
  <c r="B200" i="55"/>
  <c r="B201" i="55"/>
  <c r="B202" i="55"/>
  <c r="B203" i="55"/>
  <c r="B204" i="55"/>
  <c r="B205" i="55"/>
  <c r="B206" i="55"/>
  <c r="B207" i="55"/>
  <c r="B208" i="55"/>
  <c r="B209" i="55"/>
  <c r="B210" i="55"/>
  <c r="B211" i="55"/>
  <c r="B212" i="55"/>
  <c r="B213" i="55"/>
  <c r="B214" i="55"/>
  <c r="B215" i="55"/>
  <c r="B216" i="55"/>
  <c r="B217" i="55"/>
  <c r="B218" i="55"/>
  <c r="B219" i="55"/>
  <c r="B220" i="55"/>
  <c r="B221" i="55"/>
  <c r="B222" i="55"/>
  <c r="B223" i="55"/>
  <c r="B224" i="55"/>
  <c r="B225" i="55"/>
  <c r="B226" i="55"/>
  <c r="B227" i="55"/>
  <c r="B228" i="55"/>
  <c r="B229" i="55"/>
  <c r="B230" i="55"/>
  <c r="B231" i="55"/>
  <c r="B232" i="55"/>
  <c r="B233" i="55"/>
  <c r="B234" i="55"/>
  <c r="B235" i="55"/>
  <c r="B236" i="55"/>
  <c r="B237" i="55"/>
  <c r="B238" i="55"/>
  <c r="B239" i="55"/>
  <c r="B240" i="55"/>
  <c r="B241" i="55"/>
  <c r="B242" i="55"/>
  <c r="B243" i="55"/>
  <c r="B244" i="55"/>
  <c r="B245" i="55"/>
  <c r="B246" i="55"/>
  <c r="B247" i="55"/>
  <c r="B248" i="55"/>
  <c r="B249" i="55"/>
  <c r="B250" i="55"/>
  <c r="B251" i="55"/>
  <c r="B252" i="55"/>
  <c r="B253" i="55"/>
  <c r="B254" i="55"/>
  <c r="B255" i="55"/>
  <c r="B256" i="55"/>
  <c r="B257" i="55"/>
  <c r="B258" i="55"/>
  <c r="B259" i="55"/>
  <c r="B260" i="55"/>
  <c r="B261" i="55"/>
  <c r="B262" i="55"/>
  <c r="B263" i="55"/>
  <c r="B264" i="55"/>
  <c r="B265" i="55"/>
  <c r="B266" i="55"/>
  <c r="B267" i="55"/>
  <c r="B268" i="55"/>
  <c r="B269" i="55"/>
  <c r="B270" i="55"/>
  <c r="B271" i="55"/>
  <c r="B272" i="55"/>
  <c r="B273" i="55"/>
  <c r="B274" i="55"/>
  <c r="B275" i="55"/>
  <c r="B276" i="55"/>
  <c r="B277" i="55"/>
  <c r="B278" i="55"/>
  <c r="B279" i="55"/>
  <c r="B280" i="55"/>
  <c r="B281" i="55"/>
  <c r="B282" i="55"/>
  <c r="B283" i="55"/>
  <c r="B284" i="55"/>
  <c r="B285" i="55"/>
  <c r="B286" i="55"/>
  <c r="B287" i="55"/>
  <c r="B288" i="55"/>
  <c r="B289" i="55"/>
  <c r="B290" i="55"/>
  <c r="B291" i="55"/>
  <c r="B292" i="55"/>
  <c r="B293" i="55"/>
  <c r="B294" i="55"/>
  <c r="B295" i="55"/>
  <c r="B296" i="55"/>
  <c r="B297" i="55"/>
  <c r="B298" i="55"/>
  <c r="B299" i="55"/>
  <c r="B300" i="55"/>
  <c r="B301" i="55"/>
  <c r="A4" i="55"/>
  <c r="A5" i="55"/>
  <c r="A6" i="55"/>
  <c r="A7" i="55"/>
  <c r="A8" i="55"/>
  <c r="A9" i="55"/>
  <c r="A10" i="55"/>
  <c r="A11" i="55"/>
  <c r="A12" i="55"/>
  <c r="A13" i="55"/>
  <c r="A14" i="55"/>
  <c r="A15" i="55"/>
  <c r="A16" i="55"/>
  <c r="A17" i="55"/>
  <c r="A18" i="55"/>
  <c r="A19" i="55"/>
  <c r="A20" i="55"/>
  <c r="A21" i="55"/>
  <c r="A22" i="55"/>
  <c r="A23" i="55"/>
  <c r="A24" i="55"/>
  <c r="A25" i="55"/>
  <c r="A26" i="55"/>
  <c r="A27" i="55"/>
  <c r="A28" i="55"/>
  <c r="A29" i="55"/>
  <c r="A30" i="55"/>
  <c r="A31" i="55"/>
  <c r="A32" i="55"/>
  <c r="A33" i="55"/>
  <c r="A34" i="55"/>
  <c r="A35" i="55"/>
  <c r="A36" i="55"/>
  <c r="A37" i="55"/>
  <c r="A38" i="55"/>
  <c r="A39" i="55"/>
  <c r="A40" i="55"/>
  <c r="A41" i="55"/>
  <c r="A42" i="55"/>
  <c r="A43" i="55"/>
  <c r="A44" i="55"/>
  <c r="A45" i="55"/>
  <c r="A46" i="55"/>
  <c r="A47" i="55"/>
  <c r="A48" i="55"/>
  <c r="A49" i="55"/>
  <c r="A50" i="55"/>
  <c r="A51" i="55"/>
  <c r="A52" i="55"/>
  <c r="A53" i="55"/>
  <c r="A54" i="55"/>
  <c r="A55" i="55"/>
  <c r="A56" i="55"/>
  <c r="A57" i="55"/>
  <c r="A58" i="55"/>
  <c r="A59" i="55"/>
  <c r="A60" i="55"/>
  <c r="A61" i="55"/>
  <c r="A62" i="55"/>
  <c r="A63" i="55"/>
  <c r="A64" i="55"/>
  <c r="A65" i="55"/>
  <c r="A66" i="55"/>
  <c r="A67" i="55"/>
  <c r="A68" i="55"/>
  <c r="A69" i="55"/>
  <c r="A70" i="55"/>
  <c r="A71" i="55"/>
  <c r="A72" i="55"/>
  <c r="A73" i="55"/>
  <c r="A74" i="55"/>
  <c r="A75" i="55"/>
  <c r="A76" i="55"/>
  <c r="A77" i="55"/>
  <c r="A78" i="55"/>
  <c r="A79" i="55"/>
  <c r="A80" i="55"/>
  <c r="A81" i="55"/>
  <c r="A82" i="55"/>
  <c r="A83" i="55"/>
  <c r="A84" i="55"/>
  <c r="A85" i="55"/>
  <c r="A86" i="55"/>
  <c r="A87" i="55"/>
  <c r="A88" i="55"/>
  <c r="A89" i="55"/>
  <c r="A90" i="55"/>
  <c r="A91" i="55"/>
  <c r="A92" i="55"/>
  <c r="A93" i="55"/>
  <c r="A94" i="55"/>
  <c r="A95" i="55"/>
  <c r="A96" i="55"/>
  <c r="A97" i="55"/>
  <c r="A98" i="55"/>
  <c r="A99" i="55"/>
  <c r="A100" i="55"/>
  <c r="A101" i="55"/>
  <c r="A102" i="55"/>
  <c r="A103" i="55"/>
  <c r="A104" i="55"/>
  <c r="A105" i="55"/>
  <c r="A106" i="55"/>
  <c r="A107" i="55"/>
  <c r="A108" i="55"/>
  <c r="A109" i="55"/>
  <c r="A110" i="55"/>
  <c r="A111" i="55"/>
  <c r="A112" i="55"/>
  <c r="A113" i="55"/>
  <c r="A114" i="55"/>
  <c r="A115" i="55"/>
  <c r="A116" i="55"/>
  <c r="A117" i="55"/>
  <c r="A118" i="55"/>
  <c r="A119" i="55"/>
  <c r="A120" i="55"/>
  <c r="A121" i="55"/>
  <c r="A122" i="55"/>
  <c r="A123" i="55"/>
  <c r="A124" i="55"/>
  <c r="A125" i="55"/>
  <c r="A126" i="55"/>
  <c r="A127" i="55"/>
  <c r="A128" i="55"/>
  <c r="A129" i="55"/>
  <c r="A130" i="55"/>
  <c r="A131" i="55"/>
  <c r="A132" i="55"/>
  <c r="A133" i="55"/>
  <c r="A134" i="55"/>
  <c r="A135" i="55"/>
  <c r="A136" i="55"/>
  <c r="A137" i="55"/>
  <c r="A138" i="55"/>
  <c r="A139" i="55"/>
  <c r="A140" i="55"/>
  <c r="A141" i="55"/>
  <c r="A142" i="55"/>
  <c r="A143" i="55"/>
  <c r="A144" i="55"/>
  <c r="A145" i="55"/>
  <c r="A146" i="55"/>
  <c r="A147" i="55"/>
  <c r="A148" i="55"/>
  <c r="A149" i="55"/>
  <c r="A150" i="55"/>
  <c r="A151" i="55"/>
  <c r="A152" i="55"/>
  <c r="A153" i="55"/>
  <c r="A154" i="55"/>
  <c r="A155" i="55"/>
  <c r="A156" i="55"/>
  <c r="A157" i="55"/>
  <c r="A158" i="55"/>
  <c r="A159" i="55"/>
  <c r="A160" i="55"/>
  <c r="A161" i="55"/>
  <c r="A162" i="55"/>
  <c r="A163" i="55"/>
  <c r="A164" i="55"/>
  <c r="A165" i="55"/>
  <c r="A166" i="55"/>
  <c r="A167" i="55"/>
  <c r="A168" i="55"/>
  <c r="A169" i="55"/>
  <c r="A170" i="55"/>
  <c r="A171" i="55"/>
  <c r="A172" i="55"/>
  <c r="A173" i="55"/>
  <c r="A174" i="55"/>
  <c r="A175" i="55"/>
  <c r="A176" i="55"/>
  <c r="A177" i="55"/>
  <c r="A178" i="55"/>
  <c r="A179" i="55"/>
  <c r="A180" i="55"/>
  <c r="A181" i="55"/>
  <c r="A182" i="55"/>
  <c r="A183" i="55"/>
  <c r="A184" i="55"/>
  <c r="A185" i="55"/>
  <c r="A186" i="55"/>
  <c r="A187" i="55"/>
  <c r="A188" i="55"/>
  <c r="A189" i="55"/>
  <c r="A190" i="55"/>
  <c r="A191" i="55"/>
  <c r="A192" i="55"/>
  <c r="A193" i="55"/>
  <c r="A194" i="55"/>
  <c r="A195" i="55"/>
  <c r="A196" i="55"/>
  <c r="A197" i="55"/>
  <c r="A198" i="55"/>
  <c r="A199" i="55"/>
  <c r="A200" i="55"/>
  <c r="A201" i="55"/>
  <c r="A202" i="55"/>
  <c r="A203" i="55"/>
  <c r="A204" i="55"/>
  <c r="A205" i="55"/>
  <c r="A206" i="55"/>
  <c r="A207" i="55"/>
  <c r="A208" i="55"/>
  <c r="A209" i="55"/>
  <c r="A210" i="55"/>
  <c r="A211" i="55"/>
  <c r="A212" i="55"/>
  <c r="A213" i="55"/>
  <c r="A214" i="55"/>
  <c r="A215" i="55"/>
  <c r="A216" i="55"/>
  <c r="A217" i="55"/>
  <c r="A218" i="55"/>
  <c r="A219" i="55"/>
  <c r="A220" i="55"/>
  <c r="A221" i="55"/>
  <c r="A222" i="55"/>
  <c r="A223" i="55"/>
  <c r="A224" i="55"/>
  <c r="A225" i="55"/>
  <c r="A226" i="55"/>
  <c r="A227" i="55"/>
  <c r="A228" i="55"/>
  <c r="A229" i="55"/>
  <c r="A230" i="55"/>
  <c r="A231" i="55"/>
  <c r="A232" i="55"/>
  <c r="A233" i="55"/>
  <c r="A234" i="55"/>
  <c r="A235" i="55"/>
  <c r="A236" i="55"/>
  <c r="A237" i="55"/>
  <c r="A238" i="55"/>
  <c r="A239" i="55"/>
  <c r="A240" i="55"/>
  <c r="A241" i="55"/>
  <c r="A242" i="55"/>
  <c r="A243" i="55"/>
  <c r="A244" i="55"/>
  <c r="A245" i="55"/>
  <c r="A246" i="55"/>
  <c r="A247" i="55"/>
  <c r="A248" i="55"/>
  <c r="A249" i="55"/>
  <c r="A250" i="55"/>
  <c r="A251" i="55"/>
  <c r="A252" i="55"/>
  <c r="A253" i="55"/>
  <c r="A254" i="55"/>
  <c r="A255" i="55"/>
  <c r="A256" i="55"/>
  <c r="A257" i="55"/>
  <c r="A258" i="55"/>
  <c r="A259" i="55"/>
  <c r="A260" i="55"/>
  <c r="A261" i="55"/>
  <c r="A262" i="55"/>
  <c r="A263" i="55"/>
  <c r="A264" i="55"/>
  <c r="A265" i="55"/>
  <c r="A266" i="55"/>
  <c r="A267" i="55"/>
  <c r="A268" i="55"/>
  <c r="A269" i="55"/>
  <c r="A270" i="55"/>
  <c r="A271" i="55"/>
  <c r="A272" i="55"/>
  <c r="A273" i="55"/>
  <c r="A274" i="55"/>
  <c r="A275" i="55"/>
  <c r="A276" i="55"/>
  <c r="A277" i="55"/>
  <c r="A278" i="55"/>
  <c r="A279" i="55"/>
  <c r="A280" i="55"/>
  <c r="A281" i="55"/>
  <c r="A282" i="55"/>
  <c r="A283" i="55"/>
  <c r="A284" i="55"/>
  <c r="A285" i="55"/>
  <c r="A286" i="55"/>
  <c r="A287" i="55"/>
  <c r="A288" i="55"/>
  <c r="A289" i="55"/>
  <c r="A290" i="55"/>
  <c r="A291" i="55"/>
  <c r="A292" i="55"/>
  <c r="A293" i="55"/>
  <c r="A294" i="55"/>
  <c r="A295" i="55"/>
  <c r="A296" i="55"/>
  <c r="A297" i="55"/>
  <c r="A298" i="55"/>
  <c r="A299" i="55"/>
  <c r="A300" i="55"/>
  <c r="A301" i="55"/>
  <c r="A3" i="55"/>
  <c r="B3" i="55"/>
  <c r="B2" i="55"/>
  <c r="A2" i="55"/>
  <c r="A2" i="54"/>
  <c r="B2" i="54" s="1"/>
  <c r="C2" i="54"/>
  <c r="D2" i="54"/>
  <c r="B47" i="41"/>
  <c r="C47" i="41"/>
  <c r="I47" i="41" s="1"/>
  <c r="D47" i="41"/>
  <c r="E47" i="41"/>
  <c r="H47" i="41" s="1"/>
  <c r="F47" i="41"/>
  <c r="B56" i="41"/>
  <c r="C56" i="41"/>
  <c r="I56" i="41" s="1"/>
  <c r="D56" i="41"/>
  <c r="E56" i="41"/>
  <c r="H56" i="41" s="1"/>
  <c r="F56" i="41"/>
  <c r="B112" i="41"/>
  <c r="C112" i="41"/>
  <c r="I112" i="41" s="1"/>
  <c r="D112" i="41"/>
  <c r="E112" i="41"/>
  <c r="H112" i="41" s="1"/>
  <c r="F112" i="41"/>
  <c r="B141" i="41"/>
  <c r="C141" i="41"/>
  <c r="I141" i="41" s="1"/>
  <c r="D141" i="41"/>
  <c r="E141" i="41"/>
  <c r="H141" i="41" s="1"/>
  <c r="F141" i="41"/>
  <c r="B146" i="41"/>
  <c r="C146" i="41"/>
  <c r="I146" i="41" s="1"/>
  <c r="D146" i="41"/>
  <c r="E146" i="41"/>
  <c r="H146" i="41" s="1"/>
  <c r="F146" i="41"/>
  <c r="B191" i="41"/>
  <c r="C191" i="41"/>
  <c r="I191" i="41" s="1"/>
  <c r="D191" i="41"/>
  <c r="E191" i="41"/>
  <c r="H191" i="41" s="1"/>
  <c r="F191" i="41"/>
  <c r="B222" i="41"/>
  <c r="C222" i="41"/>
  <c r="I222" i="41" s="1"/>
  <c r="D222" i="41"/>
  <c r="E222" i="41"/>
  <c r="H222" i="41" s="1"/>
  <c r="F222" i="41"/>
  <c r="B226" i="41"/>
  <c r="C226" i="41"/>
  <c r="I226" i="41" s="1"/>
  <c r="D226" i="41"/>
  <c r="E226" i="41"/>
  <c r="H226" i="41" s="1"/>
  <c r="F226" i="41"/>
  <c r="B227" i="41"/>
  <c r="C227" i="41"/>
  <c r="I227" i="41" s="1"/>
  <c r="D227" i="41"/>
  <c r="E227" i="41"/>
  <c r="H227" i="41" s="1"/>
  <c r="F227" i="41"/>
  <c r="B261" i="41"/>
  <c r="C261" i="41"/>
  <c r="I261" i="41" s="1"/>
  <c r="D261" i="41"/>
  <c r="E261" i="41"/>
  <c r="H261" i="41" s="1"/>
  <c r="F261" i="41"/>
  <c r="A47" i="41"/>
  <c r="A2" i="41"/>
  <c r="A3" i="41"/>
  <c r="F3" i="41"/>
  <c r="F4" i="41"/>
  <c r="F5" i="41"/>
  <c r="F6" i="41"/>
  <c r="F7" i="41"/>
  <c r="F8" i="41"/>
  <c r="F9" i="41"/>
  <c r="F10" i="41"/>
  <c r="F11" i="41"/>
  <c r="F12" i="41"/>
  <c r="F13" i="41"/>
  <c r="F14" i="41"/>
  <c r="F15" i="41"/>
  <c r="F16" i="41"/>
  <c r="F17" i="41"/>
  <c r="F18" i="41"/>
  <c r="F19" i="41"/>
  <c r="F20" i="41"/>
  <c r="F21" i="41"/>
  <c r="F22" i="41"/>
  <c r="F23" i="41"/>
  <c r="F24" i="41"/>
  <c r="F25" i="41"/>
  <c r="F26" i="41"/>
  <c r="F27" i="41"/>
  <c r="F28" i="41"/>
  <c r="F29" i="41"/>
  <c r="F30" i="41"/>
  <c r="F31" i="41"/>
  <c r="F32" i="41"/>
  <c r="F33" i="41"/>
  <c r="F34" i="41"/>
  <c r="F35" i="41"/>
  <c r="F36" i="41"/>
  <c r="F37" i="41"/>
  <c r="F38" i="41"/>
  <c r="F39" i="41"/>
  <c r="F40" i="41"/>
  <c r="F41" i="41"/>
  <c r="F42" i="41"/>
  <c r="F43" i="41"/>
  <c r="F44" i="41"/>
  <c r="F45" i="41"/>
  <c r="F46" i="41"/>
  <c r="F48" i="41"/>
  <c r="F49" i="41"/>
  <c r="F50" i="41"/>
  <c r="F51" i="41"/>
  <c r="F52" i="41"/>
  <c r="F53" i="41"/>
  <c r="F54" i="41"/>
  <c r="F55"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F82" i="41"/>
  <c r="F83" i="41"/>
  <c r="F84" i="41"/>
  <c r="F85" i="41"/>
  <c r="F86" i="41"/>
  <c r="F87" i="41"/>
  <c r="F88" i="41"/>
  <c r="F89" i="41"/>
  <c r="F90" i="41"/>
  <c r="F91" i="41"/>
  <c r="F92" i="41"/>
  <c r="F93" i="41"/>
  <c r="F94" i="41"/>
  <c r="F95" i="41"/>
  <c r="F96" i="41"/>
  <c r="F97" i="41"/>
  <c r="F98" i="41"/>
  <c r="F99" i="41"/>
  <c r="F100" i="41"/>
  <c r="F101" i="41"/>
  <c r="F102" i="41"/>
  <c r="F103" i="41"/>
  <c r="F104" i="41"/>
  <c r="F105" i="41"/>
  <c r="F106" i="41"/>
  <c r="F107" i="41"/>
  <c r="F108" i="41"/>
  <c r="F109" i="41"/>
  <c r="F110" i="41"/>
  <c r="F111" i="41"/>
  <c r="F113" i="41"/>
  <c r="F114" i="41"/>
  <c r="F115" i="41"/>
  <c r="F116" i="41"/>
  <c r="F117" i="41"/>
  <c r="F118" i="41"/>
  <c r="F119" i="41"/>
  <c r="F120" i="41"/>
  <c r="F121" i="41"/>
  <c r="F122" i="41"/>
  <c r="F123" i="41"/>
  <c r="F124" i="41"/>
  <c r="F125" i="41"/>
  <c r="F126" i="41"/>
  <c r="F127" i="41"/>
  <c r="F128" i="41"/>
  <c r="F129" i="41"/>
  <c r="F130" i="41"/>
  <c r="F131" i="41"/>
  <c r="F132" i="41"/>
  <c r="F133" i="41"/>
  <c r="F134" i="41"/>
  <c r="F135" i="41"/>
  <c r="F136" i="41"/>
  <c r="F137" i="41"/>
  <c r="F138" i="41"/>
  <c r="F139" i="41"/>
  <c r="F140" i="41"/>
  <c r="F142" i="41"/>
  <c r="F143" i="41"/>
  <c r="F144" i="41"/>
  <c r="F145" i="41"/>
  <c r="F147" i="41"/>
  <c r="F148" i="41"/>
  <c r="F149" i="41"/>
  <c r="F150" i="41"/>
  <c r="F151" i="41"/>
  <c r="F152" i="41"/>
  <c r="F153" i="41"/>
  <c r="F154" i="41"/>
  <c r="F155" i="41"/>
  <c r="F156" i="41"/>
  <c r="F157" i="41"/>
  <c r="F158" i="41"/>
  <c r="F159" i="41"/>
  <c r="F160" i="41"/>
  <c r="F161" i="41"/>
  <c r="F162" i="41"/>
  <c r="F163" i="41"/>
  <c r="F164" i="41"/>
  <c r="F165" i="41"/>
  <c r="F166" i="41"/>
  <c r="F167" i="41"/>
  <c r="F168" i="41"/>
  <c r="F169" i="41"/>
  <c r="F170" i="41"/>
  <c r="F171" i="41"/>
  <c r="F172" i="41"/>
  <c r="F173" i="41"/>
  <c r="F174" i="41"/>
  <c r="F175" i="41"/>
  <c r="F176" i="41"/>
  <c r="F177" i="41"/>
  <c r="F178" i="41"/>
  <c r="F179" i="41"/>
  <c r="F180" i="41"/>
  <c r="F181" i="41"/>
  <c r="F182" i="41"/>
  <c r="F183" i="41"/>
  <c r="F184" i="41"/>
  <c r="F185" i="41"/>
  <c r="F186" i="41"/>
  <c r="F187" i="41"/>
  <c r="F188" i="41"/>
  <c r="F189" i="41"/>
  <c r="F190" i="41"/>
  <c r="F192" i="41"/>
  <c r="F193" i="41"/>
  <c r="F194" i="41"/>
  <c r="F195" i="41"/>
  <c r="F196" i="41"/>
  <c r="F197" i="41"/>
  <c r="F198" i="41"/>
  <c r="F199" i="41"/>
  <c r="F200" i="41"/>
  <c r="F201" i="41"/>
  <c r="F202" i="41"/>
  <c r="F203" i="41"/>
  <c r="F204" i="41"/>
  <c r="F205" i="41"/>
  <c r="F206" i="41"/>
  <c r="F207" i="41"/>
  <c r="F208" i="41"/>
  <c r="F209" i="41"/>
  <c r="F210" i="41"/>
  <c r="F211" i="41"/>
  <c r="F212" i="41"/>
  <c r="F213" i="41"/>
  <c r="F214" i="41"/>
  <c r="F215" i="41"/>
  <c r="F216" i="41"/>
  <c r="F217" i="41"/>
  <c r="F218" i="41"/>
  <c r="F219" i="41"/>
  <c r="F220" i="41"/>
  <c r="F221" i="41"/>
  <c r="F223" i="41"/>
  <c r="F224" i="41"/>
  <c r="F225" i="41"/>
  <c r="F228" i="41"/>
  <c r="F229" i="41"/>
  <c r="F230" i="41"/>
  <c r="F231" i="41"/>
  <c r="F232" i="41"/>
  <c r="F233" i="41"/>
  <c r="F234" i="41"/>
  <c r="F235" i="41"/>
  <c r="F236" i="41"/>
  <c r="F237" i="41"/>
  <c r="F238" i="41"/>
  <c r="F239" i="41"/>
  <c r="F240" i="41"/>
  <c r="F241" i="41"/>
  <c r="F242" i="41"/>
  <c r="F243" i="41"/>
  <c r="F244" i="41"/>
  <c r="F245" i="41"/>
  <c r="F246" i="41"/>
  <c r="F247" i="41"/>
  <c r="F248" i="41"/>
  <c r="F249" i="41"/>
  <c r="F250" i="41"/>
  <c r="F251" i="41"/>
  <c r="F252" i="41"/>
  <c r="F253" i="41"/>
  <c r="F254" i="41"/>
  <c r="F255" i="41"/>
  <c r="F256" i="41"/>
  <c r="F257" i="41"/>
  <c r="F258" i="41"/>
  <c r="F259" i="41"/>
  <c r="F260" i="41"/>
  <c r="F262" i="41"/>
  <c r="F263" i="41"/>
  <c r="F264" i="41"/>
  <c r="F265" i="41"/>
  <c r="F266" i="41"/>
  <c r="F267" i="41"/>
  <c r="F268" i="41"/>
  <c r="F269" i="41"/>
  <c r="F270" i="41"/>
  <c r="F271" i="41"/>
  <c r="F272" i="41"/>
  <c r="F273" i="41"/>
  <c r="F274" i="41"/>
  <c r="F275" i="41"/>
  <c r="F276" i="41"/>
  <c r="F277" i="41"/>
  <c r="F278" i="41"/>
  <c r="F279" i="41"/>
  <c r="F280" i="41"/>
  <c r="F281" i="41"/>
  <c r="F282" i="41"/>
  <c r="F283" i="41"/>
  <c r="F284" i="41"/>
  <c r="F285" i="41"/>
  <c r="F286" i="41"/>
  <c r="F287" i="41"/>
  <c r="F288" i="41"/>
  <c r="F289" i="41"/>
  <c r="F290" i="41"/>
  <c r="F291" i="41"/>
  <c r="F292" i="41"/>
  <c r="F293" i="41"/>
  <c r="F294" i="41"/>
  <c r="F295" i="41"/>
  <c r="F296" i="41"/>
  <c r="F297" i="41"/>
  <c r="F298" i="41"/>
  <c r="F299" i="41"/>
  <c r="F300" i="41"/>
  <c r="F301" i="41"/>
  <c r="F2" i="41"/>
  <c r="E3" i="41"/>
  <c r="H3" i="41" s="1"/>
  <c r="E4" i="41"/>
  <c r="H4" i="41" s="1"/>
  <c r="E5" i="41"/>
  <c r="E6" i="41"/>
  <c r="H6" i="41" s="1"/>
  <c r="E7" i="41"/>
  <c r="H7" i="41" s="1"/>
  <c r="E8" i="41"/>
  <c r="E9" i="41"/>
  <c r="H9" i="41" s="1"/>
  <c r="E10" i="41"/>
  <c r="E11" i="41"/>
  <c r="H11" i="41" s="1"/>
  <c r="E12" i="41"/>
  <c r="E13" i="41"/>
  <c r="H13" i="41" s="1"/>
  <c r="E14" i="41"/>
  <c r="H14" i="41" s="1"/>
  <c r="E15" i="41"/>
  <c r="E16" i="41"/>
  <c r="H16" i="41" s="1"/>
  <c r="E17" i="41"/>
  <c r="E18" i="41"/>
  <c r="H18" i="41" s="1"/>
  <c r="E19" i="41"/>
  <c r="E20" i="41"/>
  <c r="H20" i="41" s="1"/>
  <c r="E21" i="41"/>
  <c r="H21" i="41" s="1"/>
  <c r="E22" i="41"/>
  <c r="E23" i="41"/>
  <c r="E24" i="41"/>
  <c r="H24" i="41" s="1"/>
  <c r="E25" i="41"/>
  <c r="E26" i="41"/>
  <c r="H26" i="41" s="1"/>
  <c r="E27" i="41"/>
  <c r="H27" i="41" s="1"/>
  <c r="E28" i="41"/>
  <c r="H28" i="41" s="1"/>
  <c r="E29" i="41"/>
  <c r="H29" i="41" s="1"/>
  <c r="E30" i="41"/>
  <c r="H30" i="41" s="1"/>
  <c r="E31" i="41"/>
  <c r="H31" i="41" s="1"/>
  <c r="E32" i="41"/>
  <c r="H32" i="41" s="1"/>
  <c r="E33" i="41"/>
  <c r="E34" i="41"/>
  <c r="E35" i="41"/>
  <c r="E36" i="41"/>
  <c r="H36" i="41" s="1"/>
  <c r="E37" i="41"/>
  <c r="E38" i="41"/>
  <c r="E39" i="41"/>
  <c r="H39" i="41" s="1"/>
  <c r="E40" i="41"/>
  <c r="H40" i="41" s="1"/>
  <c r="E41" i="41"/>
  <c r="E42" i="41"/>
  <c r="E43" i="41"/>
  <c r="E44" i="41"/>
  <c r="E45" i="41"/>
  <c r="E46" i="41"/>
  <c r="H46" i="41" s="1"/>
  <c r="E48" i="41"/>
  <c r="H48" i="41" s="1"/>
  <c r="E49" i="41"/>
  <c r="H49" i="41" s="1"/>
  <c r="E50" i="41"/>
  <c r="E51" i="41"/>
  <c r="H51" i="41" s="1"/>
  <c r="E52" i="41"/>
  <c r="E53" i="41"/>
  <c r="H53" i="41" s="1"/>
  <c r="E54" i="41"/>
  <c r="H54" i="41" s="1"/>
  <c r="E55" i="41"/>
  <c r="H55" i="41" s="1"/>
  <c r="E57" i="41"/>
  <c r="H57" i="41" s="1"/>
  <c r="E58" i="41"/>
  <c r="H58" i="41" s="1"/>
  <c r="E59" i="41"/>
  <c r="E60" i="41"/>
  <c r="E61" i="41"/>
  <c r="E62" i="41"/>
  <c r="H62" i="41" s="1"/>
  <c r="E63" i="41"/>
  <c r="H63" i="41" s="1"/>
  <c r="E64" i="41"/>
  <c r="H64" i="41" s="1"/>
  <c r="E65" i="41"/>
  <c r="H65" i="41" s="1"/>
  <c r="E66" i="41"/>
  <c r="H66" i="41" s="1"/>
  <c r="E67" i="41"/>
  <c r="H67" i="41" s="1"/>
  <c r="E68" i="41"/>
  <c r="H68" i="41" s="1"/>
  <c r="E69" i="41"/>
  <c r="H69" i="41" s="1"/>
  <c r="E70" i="41"/>
  <c r="H70" i="41" s="1"/>
  <c r="E71" i="41"/>
  <c r="H71" i="41" s="1"/>
  <c r="E72" i="41"/>
  <c r="H72" i="41" s="1"/>
  <c r="E73" i="41"/>
  <c r="E74" i="41"/>
  <c r="H74" i="41" s="1"/>
  <c r="E75" i="41"/>
  <c r="H75" i="41" s="1"/>
  <c r="E76" i="41"/>
  <c r="E77" i="41"/>
  <c r="H77" i="41" s="1"/>
  <c r="E78" i="41"/>
  <c r="H78" i="41" s="1"/>
  <c r="E79" i="41"/>
  <c r="E80" i="41"/>
  <c r="H80" i="41" s="1"/>
  <c r="E81" i="41"/>
  <c r="H81" i="41" s="1"/>
  <c r="E82" i="41"/>
  <c r="H82" i="41" s="1"/>
  <c r="E83" i="41"/>
  <c r="H83" i="41" s="1"/>
  <c r="E84" i="41"/>
  <c r="H84" i="41" s="1"/>
  <c r="E85" i="41"/>
  <c r="H85" i="41" s="1"/>
  <c r="E86" i="41"/>
  <c r="E87" i="41"/>
  <c r="E88" i="41"/>
  <c r="H88" i="41" s="1"/>
  <c r="E89" i="41"/>
  <c r="H89" i="41" s="1"/>
  <c r="E90" i="41"/>
  <c r="H90" i="41" s="1"/>
  <c r="E91" i="41"/>
  <c r="E92" i="41"/>
  <c r="H92" i="41" s="1"/>
  <c r="E93" i="41"/>
  <c r="H93" i="41" s="1"/>
  <c r="E94" i="41"/>
  <c r="H94" i="41" s="1"/>
  <c r="E95" i="41"/>
  <c r="H95" i="41" s="1"/>
  <c r="E96" i="41"/>
  <c r="E97" i="41"/>
  <c r="H97" i="41" s="1"/>
  <c r="E98" i="41"/>
  <c r="H98" i="41" s="1"/>
  <c r="E99" i="41"/>
  <c r="H99" i="41" s="1"/>
  <c r="E100" i="41"/>
  <c r="H100" i="41" s="1"/>
  <c r="E101" i="41"/>
  <c r="H101" i="41" s="1"/>
  <c r="E102" i="41"/>
  <c r="E103" i="41"/>
  <c r="H103" i="41" s="1"/>
  <c r="E104" i="41"/>
  <c r="E105" i="41"/>
  <c r="H105" i="41" s="1"/>
  <c r="E106" i="41"/>
  <c r="H106" i="41" s="1"/>
  <c r="E107" i="41"/>
  <c r="H107" i="41" s="1"/>
  <c r="E108" i="41"/>
  <c r="E109" i="41"/>
  <c r="H109" i="41" s="1"/>
  <c r="E110" i="41"/>
  <c r="H110" i="41" s="1"/>
  <c r="E111" i="41"/>
  <c r="E113" i="41"/>
  <c r="H113" i="41" s="1"/>
  <c r="E114" i="41"/>
  <c r="E115" i="41"/>
  <c r="H115" i="41" s="1"/>
  <c r="E116" i="41"/>
  <c r="E117" i="41"/>
  <c r="H117" i="41" s="1"/>
  <c r="E118" i="41"/>
  <c r="H118" i="41" s="1"/>
  <c r="E119" i="41"/>
  <c r="H119" i="41" s="1"/>
  <c r="E120" i="41"/>
  <c r="H120" i="41" s="1"/>
  <c r="E121" i="41"/>
  <c r="H121" i="41" s="1"/>
  <c r="E122" i="41"/>
  <c r="E123" i="41"/>
  <c r="E124" i="41"/>
  <c r="H124" i="41" s="1"/>
  <c r="E125" i="41"/>
  <c r="H125" i="41" s="1"/>
  <c r="E126" i="41"/>
  <c r="H126" i="41" s="1"/>
  <c r="E127" i="41"/>
  <c r="H127" i="41" s="1"/>
  <c r="E128" i="41"/>
  <c r="H128" i="41" s="1"/>
  <c r="E129" i="41"/>
  <c r="H129" i="41" s="1"/>
  <c r="E130" i="41"/>
  <c r="H130" i="41" s="1"/>
  <c r="E131" i="41"/>
  <c r="H131" i="41" s="1"/>
  <c r="E132" i="41"/>
  <c r="H132" i="41" s="1"/>
  <c r="E133" i="41"/>
  <c r="H133" i="41" s="1"/>
  <c r="E134" i="41"/>
  <c r="E135" i="41"/>
  <c r="H135" i="41" s="1"/>
  <c r="E136" i="41"/>
  <c r="E137" i="41"/>
  <c r="E138" i="41"/>
  <c r="H138" i="41" s="1"/>
  <c r="E139" i="41"/>
  <c r="E140" i="41"/>
  <c r="H140" i="41" s="1"/>
  <c r="E142" i="41"/>
  <c r="H142" i="41" s="1"/>
  <c r="E143" i="41"/>
  <c r="H143" i="41" s="1"/>
  <c r="E144" i="41"/>
  <c r="H144" i="41" s="1"/>
  <c r="E145" i="41"/>
  <c r="E147" i="41"/>
  <c r="H147" i="41" s="1"/>
  <c r="E148" i="41"/>
  <c r="H148" i="41" s="1"/>
  <c r="E149" i="41"/>
  <c r="E150" i="41"/>
  <c r="H150" i="41" s="1"/>
  <c r="E151" i="41"/>
  <c r="H151" i="41" s="1"/>
  <c r="E152" i="41"/>
  <c r="H152" i="41" s="1"/>
  <c r="E153" i="41"/>
  <c r="E154" i="41"/>
  <c r="E155" i="41"/>
  <c r="E156" i="41"/>
  <c r="H156" i="41" s="1"/>
  <c r="E157" i="41"/>
  <c r="E158" i="41"/>
  <c r="E159" i="41"/>
  <c r="E160" i="41"/>
  <c r="E161" i="41"/>
  <c r="E162" i="41"/>
  <c r="E163" i="41"/>
  <c r="H163" i="41" s="1"/>
  <c r="E164" i="41"/>
  <c r="H164" i="41" s="1"/>
  <c r="E165" i="41"/>
  <c r="H165" i="41" s="1"/>
  <c r="E166" i="41"/>
  <c r="H166" i="41" s="1"/>
  <c r="E167" i="41"/>
  <c r="H167" i="41" s="1"/>
  <c r="E168" i="41"/>
  <c r="H168" i="41" s="1"/>
  <c r="E169" i="41"/>
  <c r="H169" i="41" s="1"/>
  <c r="E170" i="41"/>
  <c r="H170" i="41" s="1"/>
  <c r="E171" i="41"/>
  <c r="H171" i="41" s="1"/>
  <c r="E172" i="41"/>
  <c r="H172" i="41" s="1"/>
  <c r="E173" i="41"/>
  <c r="E174" i="41"/>
  <c r="H174" i="41" s="1"/>
  <c r="E175" i="41"/>
  <c r="H175" i="41" s="1"/>
  <c r="E176" i="41"/>
  <c r="H176" i="41" s="1"/>
  <c r="E177" i="41"/>
  <c r="E178" i="41"/>
  <c r="H178" i="41" s="1"/>
  <c r="E179" i="41"/>
  <c r="H179" i="41" s="1"/>
  <c r="E180" i="41"/>
  <c r="H180" i="41" s="1"/>
  <c r="E181" i="41"/>
  <c r="H181" i="41" s="1"/>
  <c r="E182" i="41"/>
  <c r="H182" i="41" s="1"/>
  <c r="E183" i="41"/>
  <c r="E184" i="41"/>
  <c r="H184" i="41" s="1"/>
  <c r="E185" i="41"/>
  <c r="H185" i="41" s="1"/>
  <c r="E186" i="41"/>
  <c r="H186" i="41" s="1"/>
  <c r="E187" i="41"/>
  <c r="E188" i="41"/>
  <c r="E189" i="41"/>
  <c r="H189" i="41" s="1"/>
  <c r="E190" i="41"/>
  <c r="E192" i="41"/>
  <c r="H192" i="41" s="1"/>
  <c r="E193" i="41"/>
  <c r="E194" i="41"/>
  <c r="H194" i="41" s="1"/>
  <c r="E195" i="41"/>
  <c r="H195" i="41" s="1"/>
  <c r="E196" i="41"/>
  <c r="E197" i="41"/>
  <c r="H197" i="41" s="1"/>
  <c r="E198" i="41"/>
  <c r="E199" i="41"/>
  <c r="H199" i="41" s="1"/>
  <c r="E200" i="41"/>
  <c r="H200" i="41" s="1"/>
  <c r="E201" i="41"/>
  <c r="H201" i="41" s="1"/>
  <c r="E202" i="41"/>
  <c r="E203" i="41"/>
  <c r="H203" i="41" s="1"/>
  <c r="E204" i="41"/>
  <c r="H204" i="41" s="1"/>
  <c r="E205" i="41"/>
  <c r="E206" i="41"/>
  <c r="H206" i="41" s="1"/>
  <c r="E207" i="41"/>
  <c r="E208" i="41"/>
  <c r="E209" i="41"/>
  <c r="H209" i="41" s="1"/>
  <c r="E210" i="41"/>
  <c r="H210" i="41" s="1"/>
  <c r="E211" i="41"/>
  <c r="H211" i="41" s="1"/>
  <c r="E212" i="41"/>
  <c r="H212" i="41" s="1"/>
  <c r="E213" i="41"/>
  <c r="E214" i="41"/>
  <c r="H214" i="41" s="1"/>
  <c r="E215" i="41"/>
  <c r="H215" i="41" s="1"/>
  <c r="E216" i="41"/>
  <c r="H216" i="41" s="1"/>
  <c r="E217" i="41"/>
  <c r="E218" i="41"/>
  <c r="E219" i="41"/>
  <c r="H219" i="41" s="1"/>
  <c r="E220" i="41"/>
  <c r="H220" i="41" s="1"/>
  <c r="E221" i="41"/>
  <c r="H221" i="41" s="1"/>
  <c r="E223" i="41"/>
  <c r="H223" i="41" s="1"/>
  <c r="E224" i="41"/>
  <c r="H224" i="41" s="1"/>
  <c r="E225" i="41"/>
  <c r="H225" i="41" s="1"/>
  <c r="E228" i="41"/>
  <c r="E229" i="41"/>
  <c r="E230" i="41"/>
  <c r="H230" i="41" s="1"/>
  <c r="E231" i="41"/>
  <c r="H231" i="41" s="1"/>
  <c r="E232" i="41"/>
  <c r="E233" i="41"/>
  <c r="H233" i="41" s="1"/>
  <c r="E234" i="41"/>
  <c r="E235" i="41"/>
  <c r="H235" i="41" s="1"/>
  <c r="E236" i="41"/>
  <c r="H236" i="41" s="1"/>
  <c r="E237" i="41"/>
  <c r="H237" i="41" s="1"/>
  <c r="E238" i="41"/>
  <c r="H238" i="41" s="1"/>
  <c r="E239" i="41"/>
  <c r="H239" i="41" s="1"/>
  <c r="E240" i="41"/>
  <c r="H240" i="41" s="1"/>
  <c r="E241" i="41"/>
  <c r="H241" i="41" s="1"/>
  <c r="E242" i="41"/>
  <c r="E243" i="41"/>
  <c r="H243" i="41" s="1"/>
  <c r="E244" i="41"/>
  <c r="E245" i="41"/>
  <c r="H245" i="41" s="1"/>
  <c r="E246" i="41"/>
  <c r="E247" i="41"/>
  <c r="E248" i="41"/>
  <c r="H248" i="41" s="1"/>
  <c r="E249" i="41"/>
  <c r="H249" i="41" s="1"/>
  <c r="E250" i="41"/>
  <c r="H250" i="41" s="1"/>
  <c r="E251" i="41"/>
  <c r="H251" i="41" s="1"/>
  <c r="E252" i="41"/>
  <c r="H252" i="41" s="1"/>
  <c r="E253" i="41"/>
  <c r="E254" i="41"/>
  <c r="H254" i="41" s="1"/>
  <c r="E255" i="41"/>
  <c r="E256" i="41"/>
  <c r="E257" i="41"/>
  <c r="H257" i="41" s="1"/>
  <c r="E258" i="41"/>
  <c r="E259" i="41"/>
  <c r="H259" i="41" s="1"/>
  <c r="E260" i="41"/>
  <c r="H260" i="41" s="1"/>
  <c r="E262" i="41"/>
  <c r="H262" i="41" s="1"/>
  <c r="E263" i="41"/>
  <c r="E264" i="41"/>
  <c r="H264" i="41" s="1"/>
  <c r="E265" i="41"/>
  <c r="E266" i="41"/>
  <c r="H266" i="41" s="1"/>
  <c r="E267" i="41"/>
  <c r="H267" i="41" s="1"/>
  <c r="E268" i="41"/>
  <c r="E269" i="41"/>
  <c r="H269" i="41" s="1"/>
  <c r="E270" i="41"/>
  <c r="H270" i="41" s="1"/>
  <c r="E271" i="41"/>
  <c r="E272" i="41"/>
  <c r="H272" i="41" s="1"/>
  <c r="E273" i="41"/>
  <c r="H273" i="41" s="1"/>
  <c r="E274" i="41"/>
  <c r="H274" i="41" s="1"/>
  <c r="E275" i="41"/>
  <c r="E276" i="41"/>
  <c r="E277" i="41"/>
  <c r="H277" i="41" s="1"/>
  <c r="E278" i="41"/>
  <c r="H278" i="41" s="1"/>
  <c r="E279" i="41"/>
  <c r="H279" i="41" s="1"/>
  <c r="E280" i="41"/>
  <c r="E281" i="41"/>
  <c r="E282" i="41"/>
  <c r="H282" i="41" s="1"/>
  <c r="E283" i="41"/>
  <c r="H283" i="41" s="1"/>
  <c r="E284" i="41"/>
  <c r="H284" i="41" s="1"/>
  <c r="E285" i="41"/>
  <c r="H285" i="41" s="1"/>
  <c r="E286" i="41"/>
  <c r="H286" i="41" s="1"/>
  <c r="E287" i="41"/>
  <c r="H287" i="41" s="1"/>
  <c r="E288" i="41"/>
  <c r="H288" i="41" s="1"/>
  <c r="E289" i="41"/>
  <c r="E290" i="41"/>
  <c r="E291" i="41"/>
  <c r="H291" i="41" s="1"/>
  <c r="E292" i="41"/>
  <c r="H292" i="41" s="1"/>
  <c r="E293" i="41"/>
  <c r="E294" i="41"/>
  <c r="H294" i="41" s="1"/>
  <c r="E295" i="41"/>
  <c r="H295" i="41" s="1"/>
  <c r="E296" i="41"/>
  <c r="H296" i="41" s="1"/>
  <c r="E297" i="41"/>
  <c r="H297" i="41" s="1"/>
  <c r="E298" i="41"/>
  <c r="H298" i="41" s="1"/>
  <c r="E299" i="41"/>
  <c r="H299" i="41" s="1"/>
  <c r="E300" i="41"/>
  <c r="E301" i="41"/>
  <c r="H301" i="41" s="1"/>
  <c r="E2" i="41"/>
  <c r="H2" i="41" s="1"/>
  <c r="D3" i="41"/>
  <c r="D4" i="41"/>
  <c r="D5" i="41"/>
  <c r="D6" i="41"/>
  <c r="D7" i="41"/>
  <c r="D8" i="41"/>
  <c r="D9" i="41"/>
  <c r="D10" i="41"/>
  <c r="D11" i="41"/>
  <c r="D12" i="41"/>
  <c r="D13" i="41"/>
  <c r="D14" i="41"/>
  <c r="D15" i="41"/>
  <c r="D16" i="41"/>
  <c r="D17" i="41"/>
  <c r="D18" i="41"/>
  <c r="D19" i="41"/>
  <c r="D20" i="41"/>
  <c r="D21" i="41"/>
  <c r="D22" i="41"/>
  <c r="D23" i="41"/>
  <c r="D24" i="41"/>
  <c r="D25" i="41"/>
  <c r="D26" i="41"/>
  <c r="D27" i="41"/>
  <c r="D28" i="41"/>
  <c r="D29" i="41"/>
  <c r="D30" i="41"/>
  <c r="D31" i="41"/>
  <c r="D32" i="41"/>
  <c r="D33" i="41"/>
  <c r="D34" i="41"/>
  <c r="D35" i="41"/>
  <c r="D36" i="41"/>
  <c r="D37" i="41"/>
  <c r="D38" i="41"/>
  <c r="D39" i="41"/>
  <c r="D40" i="41"/>
  <c r="D41" i="41"/>
  <c r="D42" i="41"/>
  <c r="D43" i="41"/>
  <c r="D44" i="41"/>
  <c r="D45" i="41"/>
  <c r="D46" i="41"/>
  <c r="D48" i="41"/>
  <c r="D49" i="41"/>
  <c r="D50" i="41"/>
  <c r="D51" i="41"/>
  <c r="D52" i="41"/>
  <c r="D53" i="41"/>
  <c r="D54" i="41"/>
  <c r="D55" i="41"/>
  <c r="D57" i="41"/>
  <c r="D58" i="41"/>
  <c r="D59" i="41"/>
  <c r="D60" i="41"/>
  <c r="D61" i="41"/>
  <c r="D62" i="41"/>
  <c r="D63" i="41"/>
  <c r="D64" i="41"/>
  <c r="D65" i="41"/>
  <c r="D66" i="41"/>
  <c r="D67" i="41"/>
  <c r="D68" i="41"/>
  <c r="D69" i="41"/>
  <c r="D70" i="41"/>
  <c r="D71" i="41"/>
  <c r="D72" i="41"/>
  <c r="D73" i="41"/>
  <c r="D74" i="41"/>
  <c r="D75" i="41"/>
  <c r="D76" i="41"/>
  <c r="D77" i="41"/>
  <c r="D78" i="41"/>
  <c r="D79" i="41"/>
  <c r="D80" i="41"/>
  <c r="D81" i="41"/>
  <c r="D82" i="41"/>
  <c r="D83" i="41"/>
  <c r="D84" i="41"/>
  <c r="D85" i="41"/>
  <c r="D86" i="41"/>
  <c r="D87" i="41"/>
  <c r="D88" i="41"/>
  <c r="D89" i="41"/>
  <c r="D90" i="41"/>
  <c r="D91" i="41"/>
  <c r="D92" i="41"/>
  <c r="D93" i="41"/>
  <c r="D94" i="41"/>
  <c r="D95" i="41"/>
  <c r="D96" i="41"/>
  <c r="D97" i="41"/>
  <c r="D98" i="41"/>
  <c r="D99" i="41"/>
  <c r="D100" i="41"/>
  <c r="D101" i="41"/>
  <c r="D102" i="41"/>
  <c r="D103" i="41"/>
  <c r="D104" i="41"/>
  <c r="D105" i="41"/>
  <c r="D106" i="41"/>
  <c r="D107" i="41"/>
  <c r="D108" i="41"/>
  <c r="D109" i="41"/>
  <c r="D110" i="41"/>
  <c r="D111" i="41"/>
  <c r="D113" i="41"/>
  <c r="D114" i="41"/>
  <c r="D115" i="41"/>
  <c r="D116" i="41"/>
  <c r="D117" i="41"/>
  <c r="D118" i="41"/>
  <c r="D119" i="41"/>
  <c r="D120" i="41"/>
  <c r="D121" i="41"/>
  <c r="D122" i="41"/>
  <c r="D123" i="41"/>
  <c r="D124" i="41"/>
  <c r="D125" i="41"/>
  <c r="D126" i="41"/>
  <c r="D127" i="41"/>
  <c r="D128" i="41"/>
  <c r="D129" i="41"/>
  <c r="D130" i="41"/>
  <c r="D131" i="41"/>
  <c r="D132" i="41"/>
  <c r="D133" i="41"/>
  <c r="D134" i="41"/>
  <c r="D135" i="41"/>
  <c r="D136" i="41"/>
  <c r="D137" i="41"/>
  <c r="D138" i="41"/>
  <c r="D139" i="41"/>
  <c r="D140" i="41"/>
  <c r="D142" i="41"/>
  <c r="D143" i="41"/>
  <c r="D144" i="41"/>
  <c r="D145" i="41"/>
  <c r="D147" i="41"/>
  <c r="D148" i="41"/>
  <c r="D149" i="41"/>
  <c r="D150" i="41"/>
  <c r="D151" i="41"/>
  <c r="D152" i="41"/>
  <c r="D153" i="41"/>
  <c r="D154" i="41"/>
  <c r="D155" i="41"/>
  <c r="D156" i="41"/>
  <c r="D157" i="41"/>
  <c r="D158" i="41"/>
  <c r="D159" i="41"/>
  <c r="D160" i="41"/>
  <c r="D161" i="41"/>
  <c r="D162" i="41"/>
  <c r="D163" i="41"/>
  <c r="D164" i="41"/>
  <c r="D165" i="41"/>
  <c r="D166" i="41"/>
  <c r="D167" i="41"/>
  <c r="D168" i="41"/>
  <c r="D169" i="41"/>
  <c r="D170" i="41"/>
  <c r="D171" i="41"/>
  <c r="D172" i="41"/>
  <c r="D173" i="41"/>
  <c r="D174" i="41"/>
  <c r="D175" i="41"/>
  <c r="D176" i="41"/>
  <c r="D177" i="41"/>
  <c r="D178" i="41"/>
  <c r="D179" i="41"/>
  <c r="D180" i="41"/>
  <c r="D181" i="41"/>
  <c r="D182" i="41"/>
  <c r="D183" i="41"/>
  <c r="D184" i="41"/>
  <c r="D185" i="41"/>
  <c r="D186" i="41"/>
  <c r="D187" i="41"/>
  <c r="D188" i="41"/>
  <c r="D189" i="41"/>
  <c r="D190" i="41"/>
  <c r="D192" i="41"/>
  <c r="D193" i="41"/>
  <c r="D194" i="41"/>
  <c r="D195" i="41"/>
  <c r="D196" i="41"/>
  <c r="D197" i="41"/>
  <c r="D198" i="41"/>
  <c r="D199" i="41"/>
  <c r="D200" i="41"/>
  <c r="D201" i="41"/>
  <c r="D202" i="41"/>
  <c r="D203" i="41"/>
  <c r="D204" i="41"/>
  <c r="D205" i="41"/>
  <c r="D206" i="41"/>
  <c r="D207" i="41"/>
  <c r="D208" i="41"/>
  <c r="D209" i="41"/>
  <c r="D210" i="41"/>
  <c r="D211" i="41"/>
  <c r="D212" i="41"/>
  <c r="D213" i="41"/>
  <c r="D214" i="41"/>
  <c r="D215" i="41"/>
  <c r="D216" i="41"/>
  <c r="D217" i="41"/>
  <c r="D218" i="41"/>
  <c r="D219" i="41"/>
  <c r="D220" i="41"/>
  <c r="D221" i="41"/>
  <c r="D223" i="41"/>
  <c r="D224" i="41"/>
  <c r="D225" i="41"/>
  <c r="D228" i="41"/>
  <c r="D229" i="41"/>
  <c r="D230" i="41"/>
  <c r="D231" i="41"/>
  <c r="D232" i="41"/>
  <c r="D233" i="41"/>
  <c r="D234" i="41"/>
  <c r="D235" i="41"/>
  <c r="D236" i="41"/>
  <c r="D237" i="41"/>
  <c r="D238" i="41"/>
  <c r="D239" i="41"/>
  <c r="D240" i="41"/>
  <c r="D241" i="41"/>
  <c r="D242" i="41"/>
  <c r="D243" i="41"/>
  <c r="D244" i="41"/>
  <c r="D245" i="41"/>
  <c r="D246" i="41"/>
  <c r="D247" i="41"/>
  <c r="D248" i="41"/>
  <c r="D249" i="41"/>
  <c r="D250" i="41"/>
  <c r="D251" i="41"/>
  <c r="D252" i="41"/>
  <c r="D253" i="41"/>
  <c r="D254" i="41"/>
  <c r="D255" i="41"/>
  <c r="D256" i="41"/>
  <c r="D257" i="41"/>
  <c r="D258" i="41"/>
  <c r="D259" i="41"/>
  <c r="D260" i="41"/>
  <c r="D262" i="41"/>
  <c r="D263" i="41"/>
  <c r="D264" i="41"/>
  <c r="D265" i="41"/>
  <c r="D266" i="41"/>
  <c r="D267" i="41"/>
  <c r="D268" i="41"/>
  <c r="D269" i="41"/>
  <c r="D270" i="41"/>
  <c r="D271" i="41"/>
  <c r="D272" i="41"/>
  <c r="D273" i="41"/>
  <c r="D274" i="41"/>
  <c r="D275" i="41"/>
  <c r="D276" i="41"/>
  <c r="D277" i="41"/>
  <c r="D278" i="41"/>
  <c r="D279" i="41"/>
  <c r="D280" i="41"/>
  <c r="D281" i="41"/>
  <c r="D282" i="41"/>
  <c r="D283" i="41"/>
  <c r="D284" i="41"/>
  <c r="D285" i="41"/>
  <c r="D286" i="41"/>
  <c r="D287" i="41"/>
  <c r="D288" i="41"/>
  <c r="D289" i="41"/>
  <c r="D290" i="41"/>
  <c r="D291" i="41"/>
  <c r="D292" i="41"/>
  <c r="D293" i="41"/>
  <c r="D294" i="41"/>
  <c r="D295" i="41"/>
  <c r="D296" i="41"/>
  <c r="D297" i="41"/>
  <c r="D298" i="41"/>
  <c r="D299" i="41"/>
  <c r="D300" i="41"/>
  <c r="D301" i="41"/>
  <c r="D2" i="41"/>
  <c r="C3" i="41"/>
  <c r="I3" i="41" s="1"/>
  <c r="C4" i="41"/>
  <c r="I4" i="41" s="1"/>
  <c r="C5" i="41"/>
  <c r="I5" i="41" s="1"/>
  <c r="C6" i="41"/>
  <c r="I6" i="41" s="1"/>
  <c r="C7" i="41"/>
  <c r="I7" i="41" s="1"/>
  <c r="C8" i="41"/>
  <c r="I8" i="41" s="1"/>
  <c r="C9" i="41"/>
  <c r="I9" i="41" s="1"/>
  <c r="C10" i="41"/>
  <c r="I10" i="41" s="1"/>
  <c r="C11" i="41"/>
  <c r="I11" i="41" s="1"/>
  <c r="C12" i="41"/>
  <c r="I12" i="41" s="1"/>
  <c r="C13" i="41"/>
  <c r="I13" i="41" s="1"/>
  <c r="C14" i="41"/>
  <c r="I14" i="41" s="1"/>
  <c r="C15" i="41"/>
  <c r="I15" i="41" s="1"/>
  <c r="C16" i="41"/>
  <c r="I16" i="41" s="1"/>
  <c r="C17" i="41"/>
  <c r="I17" i="41" s="1"/>
  <c r="C18" i="41"/>
  <c r="I18" i="41" s="1"/>
  <c r="C19" i="41"/>
  <c r="I19" i="41" s="1"/>
  <c r="C20" i="41"/>
  <c r="I20" i="41" s="1"/>
  <c r="C21" i="41"/>
  <c r="I21" i="41" s="1"/>
  <c r="C22" i="41"/>
  <c r="I22" i="41" s="1"/>
  <c r="C23" i="41"/>
  <c r="I23" i="41" s="1"/>
  <c r="C24" i="41"/>
  <c r="I24" i="41" s="1"/>
  <c r="C25" i="41"/>
  <c r="I25" i="41" s="1"/>
  <c r="C26" i="41"/>
  <c r="I26" i="41" s="1"/>
  <c r="C27" i="41"/>
  <c r="I27" i="41" s="1"/>
  <c r="C28" i="41"/>
  <c r="I28" i="41" s="1"/>
  <c r="C29" i="41"/>
  <c r="I29" i="41" s="1"/>
  <c r="C30" i="41"/>
  <c r="I30" i="41" s="1"/>
  <c r="C31" i="41"/>
  <c r="I31" i="41" s="1"/>
  <c r="C32" i="41"/>
  <c r="I32" i="41" s="1"/>
  <c r="C33" i="41"/>
  <c r="I33" i="41" s="1"/>
  <c r="C34" i="41"/>
  <c r="I34" i="41" s="1"/>
  <c r="C35" i="41"/>
  <c r="I35" i="41" s="1"/>
  <c r="C36" i="41"/>
  <c r="I36" i="41" s="1"/>
  <c r="C37" i="41"/>
  <c r="I37" i="41" s="1"/>
  <c r="C38" i="41"/>
  <c r="I38" i="41" s="1"/>
  <c r="C39" i="41"/>
  <c r="I39" i="41" s="1"/>
  <c r="C40" i="41"/>
  <c r="I40" i="41" s="1"/>
  <c r="C41" i="41"/>
  <c r="I41" i="41" s="1"/>
  <c r="C42" i="41"/>
  <c r="I42" i="41" s="1"/>
  <c r="C43" i="41"/>
  <c r="I43" i="41" s="1"/>
  <c r="C44" i="41"/>
  <c r="I44" i="41" s="1"/>
  <c r="C45" i="41"/>
  <c r="I45" i="41" s="1"/>
  <c r="C46" i="41"/>
  <c r="I46" i="41" s="1"/>
  <c r="C48" i="41"/>
  <c r="I48" i="41" s="1"/>
  <c r="C49" i="41"/>
  <c r="I49" i="41" s="1"/>
  <c r="C50" i="41"/>
  <c r="I50" i="41" s="1"/>
  <c r="C51" i="41"/>
  <c r="I51" i="41" s="1"/>
  <c r="C52" i="41"/>
  <c r="I52" i="41" s="1"/>
  <c r="C53" i="41"/>
  <c r="I53" i="41" s="1"/>
  <c r="C54" i="41"/>
  <c r="I54" i="41" s="1"/>
  <c r="C55" i="41"/>
  <c r="I55" i="41" s="1"/>
  <c r="C57" i="41"/>
  <c r="I57" i="41" s="1"/>
  <c r="C58" i="41"/>
  <c r="I58" i="41" s="1"/>
  <c r="C59" i="41"/>
  <c r="I59" i="41" s="1"/>
  <c r="C60" i="41"/>
  <c r="I60" i="41" s="1"/>
  <c r="C61" i="41"/>
  <c r="I61" i="41" s="1"/>
  <c r="C62" i="41"/>
  <c r="I62" i="41" s="1"/>
  <c r="C63" i="41"/>
  <c r="I63" i="41" s="1"/>
  <c r="C64" i="41"/>
  <c r="I64" i="41" s="1"/>
  <c r="C65" i="41"/>
  <c r="I65" i="41" s="1"/>
  <c r="C66" i="41"/>
  <c r="I66" i="41" s="1"/>
  <c r="C67" i="41"/>
  <c r="I67" i="41" s="1"/>
  <c r="C68" i="41"/>
  <c r="I68" i="41" s="1"/>
  <c r="C69" i="41"/>
  <c r="I69" i="41" s="1"/>
  <c r="C70" i="41"/>
  <c r="I70" i="41" s="1"/>
  <c r="C71" i="41"/>
  <c r="I71" i="41" s="1"/>
  <c r="C72" i="41"/>
  <c r="I72" i="41" s="1"/>
  <c r="C73" i="41"/>
  <c r="I73" i="41" s="1"/>
  <c r="C74" i="41"/>
  <c r="I74" i="41" s="1"/>
  <c r="C75" i="41"/>
  <c r="I75" i="41" s="1"/>
  <c r="C76" i="41"/>
  <c r="I76" i="41" s="1"/>
  <c r="C77" i="41"/>
  <c r="I77" i="41" s="1"/>
  <c r="C78" i="41"/>
  <c r="I78" i="41" s="1"/>
  <c r="C79" i="41"/>
  <c r="I79" i="41" s="1"/>
  <c r="C80" i="41"/>
  <c r="I80" i="41" s="1"/>
  <c r="C81" i="41"/>
  <c r="I81" i="41" s="1"/>
  <c r="C82" i="41"/>
  <c r="I82" i="41" s="1"/>
  <c r="C83" i="41"/>
  <c r="I83" i="41" s="1"/>
  <c r="C84" i="41"/>
  <c r="I84" i="41" s="1"/>
  <c r="C85" i="41"/>
  <c r="I85" i="41" s="1"/>
  <c r="C86" i="41"/>
  <c r="I86" i="41" s="1"/>
  <c r="C87" i="41"/>
  <c r="I87" i="41" s="1"/>
  <c r="C88" i="41"/>
  <c r="I88" i="41" s="1"/>
  <c r="C89" i="41"/>
  <c r="I89" i="41" s="1"/>
  <c r="C90" i="41"/>
  <c r="I90" i="41" s="1"/>
  <c r="C91" i="41"/>
  <c r="I91" i="41" s="1"/>
  <c r="C92" i="41"/>
  <c r="I92" i="41" s="1"/>
  <c r="C93" i="41"/>
  <c r="I93" i="41" s="1"/>
  <c r="C94" i="41"/>
  <c r="I94" i="41" s="1"/>
  <c r="C95" i="41"/>
  <c r="I95" i="41" s="1"/>
  <c r="C96" i="41"/>
  <c r="I96" i="41" s="1"/>
  <c r="C97" i="41"/>
  <c r="I97" i="41" s="1"/>
  <c r="C98" i="41"/>
  <c r="I98" i="41" s="1"/>
  <c r="C99" i="41"/>
  <c r="I99" i="41" s="1"/>
  <c r="C100" i="41"/>
  <c r="I100" i="41" s="1"/>
  <c r="C101" i="41"/>
  <c r="I101" i="41" s="1"/>
  <c r="C102" i="41"/>
  <c r="I102" i="41" s="1"/>
  <c r="C103" i="41"/>
  <c r="I103" i="41" s="1"/>
  <c r="C104" i="41"/>
  <c r="I104" i="41" s="1"/>
  <c r="C105" i="41"/>
  <c r="I105" i="41" s="1"/>
  <c r="C106" i="41"/>
  <c r="I106" i="41" s="1"/>
  <c r="C107" i="41"/>
  <c r="I107" i="41" s="1"/>
  <c r="C108" i="41"/>
  <c r="I108" i="41" s="1"/>
  <c r="C109" i="41"/>
  <c r="I109" i="41" s="1"/>
  <c r="C110" i="41"/>
  <c r="I110" i="41" s="1"/>
  <c r="C111" i="41"/>
  <c r="I111" i="41" s="1"/>
  <c r="C113" i="41"/>
  <c r="I113" i="41" s="1"/>
  <c r="C114" i="41"/>
  <c r="I114" i="41" s="1"/>
  <c r="C115" i="41"/>
  <c r="I115" i="41" s="1"/>
  <c r="C116" i="41"/>
  <c r="I116" i="41" s="1"/>
  <c r="C117" i="41"/>
  <c r="I117" i="41" s="1"/>
  <c r="C118" i="41"/>
  <c r="I118" i="41" s="1"/>
  <c r="C119" i="41"/>
  <c r="I119" i="41" s="1"/>
  <c r="C120" i="41"/>
  <c r="I120" i="41" s="1"/>
  <c r="C121" i="41"/>
  <c r="I121" i="41" s="1"/>
  <c r="C122" i="41"/>
  <c r="I122" i="41" s="1"/>
  <c r="C123" i="41"/>
  <c r="I123" i="41" s="1"/>
  <c r="C124" i="41"/>
  <c r="I124" i="41" s="1"/>
  <c r="C125" i="41"/>
  <c r="I125" i="41" s="1"/>
  <c r="C126" i="41"/>
  <c r="I126" i="41" s="1"/>
  <c r="C127" i="41"/>
  <c r="I127" i="41" s="1"/>
  <c r="C128" i="41"/>
  <c r="I128" i="41" s="1"/>
  <c r="C129" i="41"/>
  <c r="I129" i="41" s="1"/>
  <c r="C130" i="41"/>
  <c r="I130" i="41" s="1"/>
  <c r="C131" i="41"/>
  <c r="I131" i="41" s="1"/>
  <c r="C132" i="41"/>
  <c r="I132" i="41" s="1"/>
  <c r="C133" i="41"/>
  <c r="I133" i="41" s="1"/>
  <c r="C134" i="41"/>
  <c r="I134" i="41" s="1"/>
  <c r="C135" i="41"/>
  <c r="I135" i="41" s="1"/>
  <c r="C136" i="41"/>
  <c r="I136" i="41" s="1"/>
  <c r="C137" i="41"/>
  <c r="I137" i="41" s="1"/>
  <c r="C138" i="41"/>
  <c r="I138" i="41" s="1"/>
  <c r="C139" i="41"/>
  <c r="I139" i="41" s="1"/>
  <c r="C140" i="41"/>
  <c r="I140" i="41" s="1"/>
  <c r="C142" i="41"/>
  <c r="I142" i="41" s="1"/>
  <c r="C143" i="41"/>
  <c r="I143" i="41" s="1"/>
  <c r="C144" i="41"/>
  <c r="I144" i="41" s="1"/>
  <c r="C145" i="41"/>
  <c r="I145" i="41" s="1"/>
  <c r="C147" i="41"/>
  <c r="I147" i="41" s="1"/>
  <c r="C148" i="41"/>
  <c r="I148" i="41" s="1"/>
  <c r="C149" i="41"/>
  <c r="I149" i="41" s="1"/>
  <c r="C150" i="41"/>
  <c r="I150" i="41" s="1"/>
  <c r="C151" i="41"/>
  <c r="I151" i="41" s="1"/>
  <c r="C152" i="41"/>
  <c r="I152" i="41" s="1"/>
  <c r="C153" i="41"/>
  <c r="I153" i="41" s="1"/>
  <c r="C154" i="41"/>
  <c r="I154" i="41" s="1"/>
  <c r="C155" i="41"/>
  <c r="I155" i="41" s="1"/>
  <c r="C156" i="41"/>
  <c r="I156" i="41" s="1"/>
  <c r="C157" i="41"/>
  <c r="I157" i="41" s="1"/>
  <c r="C158" i="41"/>
  <c r="I158" i="41" s="1"/>
  <c r="C159" i="41"/>
  <c r="I159" i="41" s="1"/>
  <c r="C160" i="41"/>
  <c r="I160" i="41" s="1"/>
  <c r="C161" i="41"/>
  <c r="I161" i="41" s="1"/>
  <c r="C162" i="41"/>
  <c r="I162" i="41" s="1"/>
  <c r="C163" i="41"/>
  <c r="I163" i="41" s="1"/>
  <c r="C164" i="41"/>
  <c r="I164" i="41" s="1"/>
  <c r="C165" i="41"/>
  <c r="I165" i="41" s="1"/>
  <c r="C166" i="41"/>
  <c r="I166" i="41" s="1"/>
  <c r="C167" i="41"/>
  <c r="I167" i="41" s="1"/>
  <c r="C168" i="41"/>
  <c r="I168" i="41" s="1"/>
  <c r="C169" i="41"/>
  <c r="I169" i="41" s="1"/>
  <c r="C170" i="41"/>
  <c r="I170" i="41" s="1"/>
  <c r="C171" i="41"/>
  <c r="I171" i="41" s="1"/>
  <c r="C172" i="41"/>
  <c r="I172" i="41" s="1"/>
  <c r="C173" i="41"/>
  <c r="I173" i="41" s="1"/>
  <c r="C174" i="41"/>
  <c r="I174" i="41" s="1"/>
  <c r="C175" i="41"/>
  <c r="I175" i="41" s="1"/>
  <c r="C176" i="41"/>
  <c r="I176" i="41" s="1"/>
  <c r="C177" i="41"/>
  <c r="I177" i="41" s="1"/>
  <c r="C178" i="41"/>
  <c r="I178" i="41" s="1"/>
  <c r="C179" i="41"/>
  <c r="I179" i="41" s="1"/>
  <c r="C180" i="41"/>
  <c r="I180" i="41" s="1"/>
  <c r="C181" i="41"/>
  <c r="I181" i="41" s="1"/>
  <c r="C182" i="41"/>
  <c r="I182" i="41" s="1"/>
  <c r="C183" i="41"/>
  <c r="I183" i="41" s="1"/>
  <c r="C184" i="41"/>
  <c r="I184" i="41" s="1"/>
  <c r="C185" i="41"/>
  <c r="I185" i="41" s="1"/>
  <c r="C186" i="41"/>
  <c r="I186" i="41" s="1"/>
  <c r="C187" i="41"/>
  <c r="I187" i="41" s="1"/>
  <c r="C188" i="41"/>
  <c r="I188" i="41" s="1"/>
  <c r="C189" i="41"/>
  <c r="I189" i="41" s="1"/>
  <c r="C190" i="41"/>
  <c r="I190" i="41" s="1"/>
  <c r="C192" i="41"/>
  <c r="I192" i="41" s="1"/>
  <c r="C193" i="41"/>
  <c r="I193" i="41" s="1"/>
  <c r="C194" i="41"/>
  <c r="I194" i="41" s="1"/>
  <c r="C195" i="41"/>
  <c r="I195" i="41" s="1"/>
  <c r="C196" i="41"/>
  <c r="I196" i="41" s="1"/>
  <c r="C197" i="41"/>
  <c r="I197" i="41" s="1"/>
  <c r="C198" i="41"/>
  <c r="I198" i="41" s="1"/>
  <c r="C199" i="41"/>
  <c r="I199" i="41" s="1"/>
  <c r="C200" i="41"/>
  <c r="I200" i="41" s="1"/>
  <c r="C201" i="41"/>
  <c r="I201" i="41" s="1"/>
  <c r="C202" i="41"/>
  <c r="I202" i="41" s="1"/>
  <c r="C203" i="41"/>
  <c r="I203" i="41" s="1"/>
  <c r="C204" i="41"/>
  <c r="I204" i="41" s="1"/>
  <c r="C205" i="41"/>
  <c r="I205" i="41" s="1"/>
  <c r="C206" i="41"/>
  <c r="I206" i="41" s="1"/>
  <c r="C207" i="41"/>
  <c r="I207" i="41" s="1"/>
  <c r="C208" i="41"/>
  <c r="I208" i="41" s="1"/>
  <c r="C209" i="41"/>
  <c r="I209" i="41" s="1"/>
  <c r="C210" i="41"/>
  <c r="I210" i="41" s="1"/>
  <c r="C211" i="41"/>
  <c r="I211" i="41" s="1"/>
  <c r="C212" i="41"/>
  <c r="I212" i="41" s="1"/>
  <c r="C213" i="41"/>
  <c r="I213" i="41" s="1"/>
  <c r="C214" i="41"/>
  <c r="I214" i="41" s="1"/>
  <c r="C215" i="41"/>
  <c r="I215" i="41" s="1"/>
  <c r="C216" i="41"/>
  <c r="I216" i="41" s="1"/>
  <c r="C217" i="41"/>
  <c r="I217" i="41" s="1"/>
  <c r="C218" i="41"/>
  <c r="I218" i="41" s="1"/>
  <c r="C219" i="41"/>
  <c r="I219" i="41" s="1"/>
  <c r="C220" i="41"/>
  <c r="I220" i="41" s="1"/>
  <c r="C221" i="41"/>
  <c r="I221" i="41" s="1"/>
  <c r="C223" i="41"/>
  <c r="I223" i="41" s="1"/>
  <c r="C224" i="41"/>
  <c r="I224" i="41" s="1"/>
  <c r="C225" i="41"/>
  <c r="I225" i="41" s="1"/>
  <c r="C228" i="41"/>
  <c r="I228" i="41" s="1"/>
  <c r="C229" i="41"/>
  <c r="I229" i="41" s="1"/>
  <c r="C230" i="41"/>
  <c r="I230" i="41" s="1"/>
  <c r="C231" i="41"/>
  <c r="I231" i="41" s="1"/>
  <c r="C232" i="41"/>
  <c r="I232" i="41" s="1"/>
  <c r="C233" i="41"/>
  <c r="I233" i="41" s="1"/>
  <c r="C234" i="41"/>
  <c r="I234" i="41" s="1"/>
  <c r="C235" i="41"/>
  <c r="I235" i="41" s="1"/>
  <c r="C236" i="41"/>
  <c r="I236" i="41" s="1"/>
  <c r="C237" i="41"/>
  <c r="I237" i="41" s="1"/>
  <c r="C238" i="41"/>
  <c r="I238" i="41" s="1"/>
  <c r="C239" i="41"/>
  <c r="I239" i="41" s="1"/>
  <c r="C240" i="41"/>
  <c r="I240" i="41" s="1"/>
  <c r="C241" i="41"/>
  <c r="I241" i="41" s="1"/>
  <c r="C242" i="41"/>
  <c r="I242" i="41" s="1"/>
  <c r="C243" i="41"/>
  <c r="I243" i="41" s="1"/>
  <c r="C244" i="41"/>
  <c r="I244" i="41" s="1"/>
  <c r="C245" i="41"/>
  <c r="I245" i="41" s="1"/>
  <c r="C246" i="41"/>
  <c r="I246" i="41" s="1"/>
  <c r="C247" i="41"/>
  <c r="I247" i="41" s="1"/>
  <c r="C248" i="41"/>
  <c r="I248" i="41" s="1"/>
  <c r="C249" i="41"/>
  <c r="I249" i="41" s="1"/>
  <c r="C250" i="41"/>
  <c r="I250" i="41" s="1"/>
  <c r="C251" i="41"/>
  <c r="I251" i="41" s="1"/>
  <c r="C252" i="41"/>
  <c r="I252" i="41" s="1"/>
  <c r="C253" i="41"/>
  <c r="I253" i="41" s="1"/>
  <c r="C254" i="41"/>
  <c r="I254" i="41" s="1"/>
  <c r="C255" i="41"/>
  <c r="I255" i="41" s="1"/>
  <c r="C256" i="41"/>
  <c r="I256" i="41" s="1"/>
  <c r="C257" i="41"/>
  <c r="I257" i="41" s="1"/>
  <c r="C258" i="41"/>
  <c r="I258" i="41" s="1"/>
  <c r="C259" i="41"/>
  <c r="I259" i="41" s="1"/>
  <c r="C260" i="41"/>
  <c r="I260" i="41" s="1"/>
  <c r="C262" i="41"/>
  <c r="I262" i="41" s="1"/>
  <c r="C263" i="41"/>
  <c r="I263" i="41" s="1"/>
  <c r="C264" i="41"/>
  <c r="I264" i="41" s="1"/>
  <c r="C265" i="41"/>
  <c r="I265" i="41" s="1"/>
  <c r="C266" i="41"/>
  <c r="I266" i="41" s="1"/>
  <c r="C267" i="41"/>
  <c r="I267" i="41" s="1"/>
  <c r="C268" i="41"/>
  <c r="I268" i="41" s="1"/>
  <c r="C269" i="41"/>
  <c r="I269" i="41" s="1"/>
  <c r="C270" i="41"/>
  <c r="I270" i="41" s="1"/>
  <c r="C271" i="41"/>
  <c r="I271" i="41" s="1"/>
  <c r="C272" i="41"/>
  <c r="I272" i="41" s="1"/>
  <c r="C273" i="41"/>
  <c r="I273" i="41" s="1"/>
  <c r="C274" i="41"/>
  <c r="I274" i="41" s="1"/>
  <c r="C275" i="41"/>
  <c r="I275" i="41" s="1"/>
  <c r="C276" i="41"/>
  <c r="I276" i="41" s="1"/>
  <c r="C277" i="41"/>
  <c r="I277" i="41" s="1"/>
  <c r="C278" i="41"/>
  <c r="I278" i="41" s="1"/>
  <c r="C279" i="41"/>
  <c r="I279" i="41" s="1"/>
  <c r="C280" i="41"/>
  <c r="I280" i="41" s="1"/>
  <c r="C281" i="41"/>
  <c r="I281" i="41" s="1"/>
  <c r="C282" i="41"/>
  <c r="I282" i="41" s="1"/>
  <c r="C283" i="41"/>
  <c r="I283" i="41" s="1"/>
  <c r="C284" i="41"/>
  <c r="I284" i="41" s="1"/>
  <c r="C285" i="41"/>
  <c r="I285" i="41" s="1"/>
  <c r="C286" i="41"/>
  <c r="I286" i="41" s="1"/>
  <c r="C287" i="41"/>
  <c r="I287" i="41" s="1"/>
  <c r="C288" i="41"/>
  <c r="I288" i="41" s="1"/>
  <c r="C289" i="41"/>
  <c r="I289" i="41" s="1"/>
  <c r="C290" i="41"/>
  <c r="I290" i="41" s="1"/>
  <c r="C291" i="41"/>
  <c r="I291" i="41" s="1"/>
  <c r="C292" i="41"/>
  <c r="I292" i="41" s="1"/>
  <c r="C293" i="41"/>
  <c r="I293" i="41" s="1"/>
  <c r="C294" i="41"/>
  <c r="I294" i="41" s="1"/>
  <c r="C295" i="41"/>
  <c r="I295" i="41" s="1"/>
  <c r="C296" i="41"/>
  <c r="I296" i="41" s="1"/>
  <c r="C297" i="41"/>
  <c r="I297" i="41" s="1"/>
  <c r="C298" i="41"/>
  <c r="I298" i="41" s="1"/>
  <c r="C299" i="41"/>
  <c r="I299" i="41" s="1"/>
  <c r="C300" i="41"/>
  <c r="I300" i="41" s="1"/>
  <c r="C301" i="41"/>
  <c r="I301" i="41" s="1"/>
  <c r="C2" i="41"/>
  <c r="I2" i="41" s="1"/>
  <c r="B3" i="41"/>
  <c r="B4" i="41"/>
  <c r="B5" i="41"/>
  <c r="B6" i="41"/>
  <c r="B7" i="41"/>
  <c r="B8" i="41"/>
  <c r="B9" i="41"/>
  <c r="B10" i="41"/>
  <c r="B11" i="41"/>
  <c r="B12" i="41"/>
  <c r="B13" i="41"/>
  <c r="B14" i="41"/>
  <c r="B15" i="41"/>
  <c r="B16" i="41"/>
  <c r="B17" i="41"/>
  <c r="B18" i="41"/>
  <c r="B19" i="41"/>
  <c r="B20" i="41"/>
  <c r="B21" i="41"/>
  <c r="B22" i="41"/>
  <c r="B23" i="41"/>
  <c r="B24" i="41"/>
  <c r="B25" i="41"/>
  <c r="B26" i="41"/>
  <c r="B27" i="41"/>
  <c r="B28" i="41"/>
  <c r="B29" i="41"/>
  <c r="B30" i="41"/>
  <c r="B31" i="41"/>
  <c r="B32" i="41"/>
  <c r="B33" i="41"/>
  <c r="B34" i="41"/>
  <c r="B35" i="41"/>
  <c r="B36" i="41"/>
  <c r="B37" i="41"/>
  <c r="B38" i="41"/>
  <c r="B39" i="41"/>
  <c r="B40" i="41"/>
  <c r="B41" i="41"/>
  <c r="B42" i="41"/>
  <c r="B43" i="41"/>
  <c r="B44" i="41"/>
  <c r="B45" i="41"/>
  <c r="B46" i="41"/>
  <c r="B48" i="41"/>
  <c r="B49" i="41"/>
  <c r="B50" i="41"/>
  <c r="B51" i="41"/>
  <c r="B52" i="41"/>
  <c r="B53" i="41"/>
  <c r="B54" i="41"/>
  <c r="B55" i="41"/>
  <c r="B57" i="41"/>
  <c r="B58" i="41"/>
  <c r="B59" i="41"/>
  <c r="B60" i="41"/>
  <c r="B61" i="41"/>
  <c r="B62" i="41"/>
  <c r="B63" i="41"/>
  <c r="B64" i="41"/>
  <c r="B65" i="41"/>
  <c r="B66" i="41"/>
  <c r="B67" i="41"/>
  <c r="B68" i="41"/>
  <c r="B69" i="41"/>
  <c r="B70" i="41"/>
  <c r="B71" i="41"/>
  <c r="B72" i="41"/>
  <c r="B73" i="41"/>
  <c r="B74" i="41"/>
  <c r="B75" i="41"/>
  <c r="B76" i="41"/>
  <c r="B77" i="41"/>
  <c r="B78" i="41"/>
  <c r="B79" i="41"/>
  <c r="B80" i="41"/>
  <c r="B81" i="41"/>
  <c r="B82" i="41"/>
  <c r="B83" i="41"/>
  <c r="B84" i="41"/>
  <c r="B85" i="41"/>
  <c r="B86" i="41"/>
  <c r="B87" i="41"/>
  <c r="B88" i="41"/>
  <c r="B89" i="41"/>
  <c r="B90" i="41"/>
  <c r="B91" i="41"/>
  <c r="B92" i="41"/>
  <c r="B93" i="41"/>
  <c r="B94" i="41"/>
  <c r="B95" i="41"/>
  <c r="B96" i="41"/>
  <c r="B97" i="41"/>
  <c r="B98" i="41"/>
  <c r="B99" i="41"/>
  <c r="B100" i="41"/>
  <c r="B101" i="41"/>
  <c r="B102" i="41"/>
  <c r="B103" i="41"/>
  <c r="B104" i="41"/>
  <c r="B105" i="41"/>
  <c r="B106" i="41"/>
  <c r="B107" i="41"/>
  <c r="B108" i="41"/>
  <c r="B109" i="41"/>
  <c r="B110" i="41"/>
  <c r="B111" i="41"/>
  <c r="B113" i="41"/>
  <c r="B114" i="41"/>
  <c r="B115" i="41"/>
  <c r="B116" i="41"/>
  <c r="B117" i="41"/>
  <c r="B118" i="41"/>
  <c r="B119" i="41"/>
  <c r="B120" i="41"/>
  <c r="B121" i="41"/>
  <c r="B122" i="41"/>
  <c r="B123" i="41"/>
  <c r="B124" i="41"/>
  <c r="B125" i="41"/>
  <c r="B126" i="41"/>
  <c r="B127" i="41"/>
  <c r="B128" i="41"/>
  <c r="B129" i="41"/>
  <c r="B130" i="41"/>
  <c r="B131" i="41"/>
  <c r="B132" i="41"/>
  <c r="B133" i="41"/>
  <c r="B134" i="41"/>
  <c r="B135" i="41"/>
  <c r="B136" i="41"/>
  <c r="B137" i="41"/>
  <c r="B138" i="41"/>
  <c r="B139" i="41"/>
  <c r="B140" i="41"/>
  <c r="B142" i="41"/>
  <c r="B143" i="41"/>
  <c r="B144" i="41"/>
  <c r="B145" i="41"/>
  <c r="B147" i="41"/>
  <c r="B148" i="41"/>
  <c r="B149" i="41"/>
  <c r="B150" i="41"/>
  <c r="B151" i="41"/>
  <c r="B152" i="41"/>
  <c r="B153" i="41"/>
  <c r="B154" i="41"/>
  <c r="B155" i="41"/>
  <c r="B156" i="41"/>
  <c r="B157" i="41"/>
  <c r="B158" i="41"/>
  <c r="B159" i="41"/>
  <c r="B160" i="41"/>
  <c r="B161" i="41"/>
  <c r="B162" i="41"/>
  <c r="B163" i="41"/>
  <c r="B164" i="41"/>
  <c r="B165" i="41"/>
  <c r="B166" i="41"/>
  <c r="B167" i="41"/>
  <c r="B168" i="41"/>
  <c r="B169" i="41"/>
  <c r="B170" i="41"/>
  <c r="B171" i="41"/>
  <c r="B172" i="41"/>
  <c r="B173" i="41"/>
  <c r="B174" i="41"/>
  <c r="B175" i="41"/>
  <c r="B176" i="41"/>
  <c r="B177" i="41"/>
  <c r="B178" i="41"/>
  <c r="B179" i="41"/>
  <c r="B180" i="41"/>
  <c r="B181" i="41"/>
  <c r="B182" i="41"/>
  <c r="B183" i="41"/>
  <c r="B184" i="41"/>
  <c r="B185" i="41"/>
  <c r="B186" i="41"/>
  <c r="B187" i="41"/>
  <c r="B188" i="41"/>
  <c r="B189" i="41"/>
  <c r="B190" i="41"/>
  <c r="B192" i="41"/>
  <c r="B193" i="41"/>
  <c r="B194" i="41"/>
  <c r="B195" i="41"/>
  <c r="B196" i="41"/>
  <c r="B197" i="41"/>
  <c r="B198" i="41"/>
  <c r="B199" i="41"/>
  <c r="B200" i="41"/>
  <c r="B201" i="41"/>
  <c r="B202" i="41"/>
  <c r="B203" i="41"/>
  <c r="B204" i="41"/>
  <c r="B205" i="41"/>
  <c r="B206" i="41"/>
  <c r="B207" i="41"/>
  <c r="B208" i="41"/>
  <c r="B209" i="41"/>
  <c r="B210" i="41"/>
  <c r="B211" i="41"/>
  <c r="B212" i="41"/>
  <c r="B213" i="41"/>
  <c r="B214" i="41"/>
  <c r="B215" i="41"/>
  <c r="B216" i="41"/>
  <c r="B217" i="41"/>
  <c r="B218" i="41"/>
  <c r="B219" i="41"/>
  <c r="B220" i="41"/>
  <c r="B221" i="41"/>
  <c r="B223" i="41"/>
  <c r="B224" i="41"/>
  <c r="B225" i="41"/>
  <c r="B228" i="41"/>
  <c r="B229" i="41"/>
  <c r="B230" i="41"/>
  <c r="B231" i="41"/>
  <c r="B232" i="41"/>
  <c r="B233" i="41"/>
  <c r="B234" i="41"/>
  <c r="B235" i="41"/>
  <c r="B236" i="41"/>
  <c r="B237" i="41"/>
  <c r="B238" i="41"/>
  <c r="B239" i="41"/>
  <c r="B240" i="41"/>
  <c r="B241" i="41"/>
  <c r="B242" i="41"/>
  <c r="B243" i="41"/>
  <c r="B244" i="41"/>
  <c r="B245" i="41"/>
  <c r="B246" i="41"/>
  <c r="B247" i="41"/>
  <c r="B248" i="41"/>
  <c r="B249" i="41"/>
  <c r="B250" i="41"/>
  <c r="B251" i="41"/>
  <c r="B252" i="41"/>
  <c r="B253" i="41"/>
  <c r="B254" i="41"/>
  <c r="B255" i="41"/>
  <c r="B256" i="41"/>
  <c r="B257" i="41"/>
  <c r="B258" i="41"/>
  <c r="B259" i="41"/>
  <c r="B260" i="41"/>
  <c r="B262" i="41"/>
  <c r="B263" i="41"/>
  <c r="B264" i="41"/>
  <c r="B265" i="41"/>
  <c r="B266" i="41"/>
  <c r="B267" i="41"/>
  <c r="B268" i="41"/>
  <c r="B269" i="41"/>
  <c r="B270" i="41"/>
  <c r="B271" i="41"/>
  <c r="B272" i="41"/>
  <c r="B273" i="41"/>
  <c r="B274" i="41"/>
  <c r="B275" i="41"/>
  <c r="B276" i="41"/>
  <c r="B277" i="41"/>
  <c r="B278" i="41"/>
  <c r="B279" i="41"/>
  <c r="B280" i="41"/>
  <c r="B281" i="41"/>
  <c r="B282" i="41"/>
  <c r="B283" i="41"/>
  <c r="B284" i="41"/>
  <c r="B285" i="41"/>
  <c r="B286" i="41"/>
  <c r="B287" i="41"/>
  <c r="B288" i="41"/>
  <c r="B289" i="41"/>
  <c r="B290" i="41"/>
  <c r="B291" i="41"/>
  <c r="B292" i="41"/>
  <c r="B293" i="41"/>
  <c r="B294" i="41"/>
  <c r="B295" i="41"/>
  <c r="B296" i="41"/>
  <c r="B297" i="41"/>
  <c r="B298" i="41"/>
  <c r="B299" i="41"/>
  <c r="B300" i="41"/>
  <c r="B301" i="41"/>
  <c r="B2" i="41"/>
  <c r="A4" i="41"/>
  <c r="A5" i="41"/>
  <c r="A6" i="41"/>
  <c r="A7" i="41"/>
  <c r="A8" i="41"/>
  <c r="A9" i="41"/>
  <c r="A10" i="41"/>
  <c r="A11" i="41"/>
  <c r="A12" i="41"/>
  <c r="A13" i="41"/>
  <c r="A14" i="41"/>
  <c r="A15" i="41"/>
  <c r="A16" i="41"/>
  <c r="A17" i="41"/>
  <c r="A18" i="41"/>
  <c r="A19" i="41"/>
  <c r="A20" i="41"/>
  <c r="A21" i="41"/>
  <c r="A22" i="41"/>
  <c r="A23" i="41"/>
  <c r="A24" i="41"/>
  <c r="A25" i="41"/>
  <c r="A26" i="41"/>
  <c r="A27" i="41"/>
  <c r="A28" i="41"/>
  <c r="A29" i="41"/>
  <c r="A30" i="41"/>
  <c r="A31" i="41"/>
  <c r="A32" i="41"/>
  <c r="A33" i="41"/>
  <c r="A34" i="41"/>
  <c r="A35" i="41"/>
  <c r="A36" i="41"/>
  <c r="A37" i="41"/>
  <c r="A38" i="41"/>
  <c r="A39" i="41"/>
  <c r="A40" i="41"/>
  <c r="A41" i="41"/>
  <c r="A42" i="41"/>
  <c r="A43" i="41"/>
  <c r="A44" i="41"/>
  <c r="A45" i="41"/>
  <c r="A46" i="41"/>
  <c r="A227" i="41"/>
  <c r="A48" i="41"/>
  <c r="A49" i="41"/>
  <c r="A50" i="41"/>
  <c r="A51" i="41"/>
  <c r="A52" i="41"/>
  <c r="A53" i="41"/>
  <c r="A54" i="41"/>
  <c r="A55" i="41"/>
  <c r="A261" i="41"/>
  <c r="A57" i="41"/>
  <c r="A58" i="41"/>
  <c r="A59" i="41"/>
  <c r="A60" i="41"/>
  <c r="A61" i="41"/>
  <c r="A62" i="41"/>
  <c r="A63" i="41"/>
  <c r="A64" i="41"/>
  <c r="A65" i="41"/>
  <c r="A66" i="41"/>
  <c r="A67" i="41"/>
  <c r="A68" i="41"/>
  <c r="A69" i="41"/>
  <c r="A70" i="41"/>
  <c r="A71" i="41"/>
  <c r="A72" i="41"/>
  <c r="A73" i="41"/>
  <c r="A74" i="41"/>
  <c r="A75" i="41"/>
  <c r="A76" i="41"/>
  <c r="A77" i="41"/>
  <c r="A78" i="41"/>
  <c r="A79" i="41"/>
  <c r="A80" i="41"/>
  <c r="A81" i="41"/>
  <c r="A82" i="41"/>
  <c r="A83" i="41"/>
  <c r="A84" i="41"/>
  <c r="A85" i="41"/>
  <c r="A86" i="41"/>
  <c r="A87" i="41"/>
  <c r="A88" i="41"/>
  <c r="A89" i="41"/>
  <c r="A90" i="41"/>
  <c r="A91" i="41"/>
  <c r="A92" i="41"/>
  <c r="A93" i="41"/>
  <c r="A94" i="41"/>
  <c r="A95" i="41"/>
  <c r="A96" i="41"/>
  <c r="A97" i="41"/>
  <c r="A98" i="41"/>
  <c r="A99" i="41"/>
  <c r="A100" i="41"/>
  <c r="A101" i="41"/>
  <c r="A102" i="41"/>
  <c r="A103" i="41"/>
  <c r="A104" i="41"/>
  <c r="A105" i="41"/>
  <c r="A106" i="41"/>
  <c r="A107" i="41"/>
  <c r="A108" i="41"/>
  <c r="A109" i="41"/>
  <c r="A110" i="41"/>
  <c r="A111" i="41"/>
  <c r="A56" i="41"/>
  <c r="A113" i="41"/>
  <c r="A114" i="41"/>
  <c r="A115" i="41"/>
  <c r="A116" i="41"/>
  <c r="A117" i="41"/>
  <c r="A118" i="41"/>
  <c r="A119" i="41"/>
  <c r="A120" i="41"/>
  <c r="A121" i="41"/>
  <c r="A122" i="41"/>
  <c r="A123" i="41"/>
  <c r="A124" i="41"/>
  <c r="A125" i="41"/>
  <c r="A126" i="41"/>
  <c r="A127" i="41"/>
  <c r="A128" i="41"/>
  <c r="A129" i="41"/>
  <c r="A130" i="41"/>
  <c r="A131" i="41"/>
  <c r="A132" i="41"/>
  <c r="A133" i="41"/>
  <c r="A134" i="41"/>
  <c r="A135" i="41"/>
  <c r="A136" i="41"/>
  <c r="A137" i="41"/>
  <c r="A138" i="41"/>
  <c r="A139" i="41"/>
  <c r="A140" i="41"/>
  <c r="A191" i="41"/>
  <c r="A142" i="41"/>
  <c r="A143" i="41"/>
  <c r="A144" i="41"/>
  <c r="A145" i="41"/>
  <c r="A146" i="41"/>
  <c r="A147" i="41"/>
  <c r="A148" i="41"/>
  <c r="A149" i="41"/>
  <c r="A150" i="41"/>
  <c r="A151" i="41"/>
  <c r="A152" i="41"/>
  <c r="A153" i="41"/>
  <c r="A154" i="41"/>
  <c r="A155" i="41"/>
  <c r="A156" i="41"/>
  <c r="A157" i="41"/>
  <c r="A158" i="41"/>
  <c r="A159" i="41"/>
  <c r="A160" i="41"/>
  <c r="A161" i="41"/>
  <c r="A162" i="41"/>
  <c r="A163" i="41"/>
  <c r="A164" i="41"/>
  <c r="A165" i="41"/>
  <c r="A166" i="41"/>
  <c r="A167" i="41"/>
  <c r="A168" i="41"/>
  <c r="A169" i="41"/>
  <c r="A170" i="41"/>
  <c r="A171" i="41"/>
  <c r="A172" i="41"/>
  <c r="A173" i="41"/>
  <c r="A174" i="41"/>
  <c r="A175" i="41"/>
  <c r="A176" i="41"/>
  <c r="A177" i="41"/>
  <c r="A178" i="41"/>
  <c r="A179" i="41"/>
  <c r="A180" i="41"/>
  <c r="A181" i="41"/>
  <c r="A182" i="41"/>
  <c r="A183" i="41"/>
  <c r="A184" i="41"/>
  <c r="A185" i="41"/>
  <c r="A186" i="41"/>
  <c r="A187" i="41"/>
  <c r="A188" i="41"/>
  <c r="A189" i="41"/>
  <c r="A190" i="41"/>
  <c r="A112" i="41"/>
  <c r="A192" i="41"/>
  <c r="A193" i="41"/>
  <c r="A194" i="41"/>
  <c r="A195" i="41"/>
  <c r="A196" i="41"/>
  <c r="A197" i="41"/>
  <c r="A198" i="41"/>
  <c r="A199" i="41"/>
  <c r="A200" i="41"/>
  <c r="A201" i="41"/>
  <c r="A202" i="41"/>
  <c r="A203" i="41"/>
  <c r="A204" i="41"/>
  <c r="A205" i="41"/>
  <c r="A206" i="41"/>
  <c r="A207" i="41"/>
  <c r="A208" i="41"/>
  <c r="A209" i="41"/>
  <c r="A210" i="41"/>
  <c r="A211" i="41"/>
  <c r="A212" i="41"/>
  <c r="A213" i="41"/>
  <c r="A214" i="41"/>
  <c r="A215" i="41"/>
  <c r="A216" i="41"/>
  <c r="A217" i="41"/>
  <c r="A218" i="41"/>
  <c r="A219" i="41"/>
  <c r="A220" i="41"/>
  <c r="A221" i="41"/>
  <c r="A223" i="41"/>
  <c r="A224" i="41"/>
  <c r="A225" i="41"/>
  <c r="A141" i="41"/>
  <c r="A222" i="41"/>
  <c r="A228" i="41"/>
  <c r="A229" i="41"/>
  <c r="A230" i="41"/>
  <c r="A231" i="41"/>
  <c r="A232" i="41"/>
  <c r="A233" i="41"/>
  <c r="A234" i="41"/>
  <c r="A235" i="41"/>
  <c r="A236" i="41"/>
  <c r="A237" i="41"/>
  <c r="A238" i="41"/>
  <c r="A239" i="41"/>
  <c r="A240" i="41"/>
  <c r="A241" i="41"/>
  <c r="A242" i="41"/>
  <c r="A243" i="41"/>
  <c r="A244" i="41"/>
  <c r="A245" i="41"/>
  <c r="A246" i="41"/>
  <c r="A247" i="41"/>
  <c r="A248" i="41"/>
  <c r="A249" i="41"/>
  <c r="A250" i="41"/>
  <c r="A251" i="41"/>
  <c r="A252" i="41"/>
  <c r="A253" i="41"/>
  <c r="A254" i="41"/>
  <c r="A255" i="41"/>
  <c r="A256" i="41"/>
  <c r="A257" i="41"/>
  <c r="A258" i="41"/>
  <c r="A259" i="41"/>
  <c r="A260" i="41"/>
  <c r="A226" i="41"/>
  <c r="A262" i="41"/>
  <c r="A263" i="41"/>
  <c r="A264" i="41"/>
  <c r="A265" i="41"/>
  <c r="A266" i="41"/>
  <c r="A267" i="41"/>
  <c r="A268" i="41"/>
  <c r="A269" i="41"/>
  <c r="A270" i="41"/>
  <c r="A271" i="41"/>
  <c r="A272" i="41"/>
  <c r="A273" i="41"/>
  <c r="A274" i="41"/>
  <c r="A275" i="41"/>
  <c r="A276" i="41"/>
  <c r="A277" i="41"/>
  <c r="A278" i="41"/>
  <c r="A279" i="41"/>
  <c r="A280" i="41"/>
  <c r="A281" i="41"/>
  <c r="A282" i="41"/>
  <c r="A283" i="41"/>
  <c r="A284" i="41"/>
  <c r="A285" i="41"/>
  <c r="A286" i="41"/>
  <c r="A287" i="41"/>
  <c r="A288" i="41"/>
  <c r="A289" i="41"/>
  <c r="A290" i="41"/>
  <c r="A291" i="41"/>
  <c r="A292" i="41"/>
  <c r="A293" i="41"/>
  <c r="A294" i="41"/>
  <c r="A295" i="41"/>
  <c r="A296" i="41"/>
  <c r="A297" i="41"/>
  <c r="A298" i="41"/>
  <c r="A299" i="41"/>
  <c r="A300" i="41"/>
  <c r="A301" i="41"/>
  <c r="J301" i="1"/>
  <c r="I301" i="1"/>
  <c r="H301" i="1"/>
  <c r="J300" i="1"/>
  <c r="I300" i="1"/>
  <c r="H300" i="1"/>
  <c r="J299" i="1"/>
  <c r="I299" i="1"/>
  <c r="H299" i="1"/>
  <c r="J298" i="1"/>
  <c r="I298" i="1"/>
  <c r="H298" i="1"/>
  <c r="J297" i="1"/>
  <c r="I297" i="1"/>
  <c r="H297" i="1"/>
  <c r="J296" i="1"/>
  <c r="I296" i="1"/>
  <c r="H296" i="1"/>
  <c r="J295" i="1"/>
  <c r="I295" i="1"/>
  <c r="H295" i="1"/>
  <c r="J294" i="1"/>
  <c r="I294" i="1"/>
  <c r="H294" i="1"/>
  <c r="J293" i="1"/>
  <c r="I293" i="1"/>
  <c r="H293" i="1"/>
  <c r="J292" i="1"/>
  <c r="I292" i="1"/>
  <c r="H292" i="1"/>
  <c r="J291" i="1"/>
  <c r="I291" i="1"/>
  <c r="H291" i="1"/>
  <c r="J290" i="1"/>
  <c r="I290" i="1"/>
  <c r="H290" i="1"/>
  <c r="J289" i="1"/>
  <c r="I289" i="1"/>
  <c r="H289" i="1"/>
  <c r="J288" i="1"/>
  <c r="I288" i="1"/>
  <c r="H288" i="1"/>
  <c r="J287" i="1"/>
  <c r="I287" i="1"/>
  <c r="H287" i="1"/>
  <c r="J286" i="1"/>
  <c r="I286" i="1"/>
  <c r="H286" i="1"/>
  <c r="J285" i="1"/>
  <c r="I285" i="1"/>
  <c r="H285" i="1"/>
  <c r="J284" i="1"/>
  <c r="I284" i="1"/>
  <c r="H284" i="1"/>
  <c r="J283" i="1"/>
  <c r="I283" i="1"/>
  <c r="H283" i="1"/>
  <c r="J282" i="1"/>
  <c r="I282" i="1"/>
  <c r="H282" i="1"/>
  <c r="J281" i="1"/>
  <c r="I281" i="1"/>
  <c r="H281" i="1"/>
  <c r="J280" i="1"/>
  <c r="I280" i="1"/>
  <c r="H280" i="1"/>
  <c r="J279" i="1"/>
  <c r="I279" i="1"/>
  <c r="H279" i="1"/>
  <c r="J278" i="1"/>
  <c r="I278" i="1"/>
  <c r="H278" i="1"/>
  <c r="J277" i="1"/>
  <c r="I277" i="1"/>
  <c r="H277" i="1"/>
  <c r="J276" i="1"/>
  <c r="I276" i="1"/>
  <c r="H276" i="1"/>
  <c r="J275" i="1"/>
  <c r="I275" i="1"/>
  <c r="H275" i="1"/>
  <c r="J274" i="1"/>
  <c r="I274" i="1"/>
  <c r="H274" i="1"/>
  <c r="J273" i="1"/>
  <c r="I273" i="1"/>
  <c r="H273" i="1"/>
  <c r="J272" i="1"/>
  <c r="I272" i="1"/>
  <c r="H272" i="1"/>
  <c r="J271" i="1"/>
  <c r="I271" i="1"/>
  <c r="H271" i="1"/>
  <c r="J270" i="1"/>
  <c r="I270" i="1"/>
  <c r="H270" i="1"/>
  <c r="J269" i="1"/>
  <c r="I269" i="1"/>
  <c r="H269" i="1"/>
  <c r="J268" i="1"/>
  <c r="I268" i="1"/>
  <c r="H268" i="1"/>
  <c r="J267" i="1"/>
  <c r="I267" i="1"/>
  <c r="H267" i="1"/>
  <c r="J266" i="1"/>
  <c r="I266" i="1"/>
  <c r="H266" i="1"/>
  <c r="J265" i="1"/>
  <c r="I265" i="1"/>
  <c r="H265" i="1"/>
  <c r="J264" i="1"/>
  <c r="I264" i="1"/>
  <c r="H264" i="1"/>
  <c r="J263" i="1"/>
  <c r="I263" i="1"/>
  <c r="H263" i="1"/>
  <c r="J262" i="1"/>
  <c r="I262" i="1"/>
  <c r="H262" i="1"/>
  <c r="J261" i="1"/>
  <c r="I261" i="1"/>
  <c r="H261" i="1"/>
  <c r="J260" i="1"/>
  <c r="I260" i="1"/>
  <c r="H260" i="1"/>
  <c r="J259" i="1"/>
  <c r="I259" i="1"/>
  <c r="H259" i="1"/>
  <c r="J258" i="1"/>
  <c r="I258" i="1"/>
  <c r="H258" i="1"/>
  <c r="J257" i="1"/>
  <c r="I257" i="1"/>
  <c r="H257" i="1"/>
  <c r="J256" i="1"/>
  <c r="I256" i="1"/>
  <c r="H256" i="1"/>
  <c r="J255" i="1"/>
  <c r="I255" i="1"/>
  <c r="H255" i="1"/>
  <c r="J254" i="1"/>
  <c r="I254" i="1"/>
  <c r="H254" i="1"/>
  <c r="J253" i="1"/>
  <c r="I253" i="1"/>
  <c r="H253" i="1"/>
  <c r="J252" i="1"/>
  <c r="I252" i="1"/>
  <c r="H252" i="1"/>
  <c r="J251" i="1"/>
  <c r="I251" i="1"/>
  <c r="H251" i="1"/>
  <c r="J250" i="1"/>
  <c r="I250" i="1"/>
  <c r="H250" i="1"/>
  <c r="J249" i="1"/>
  <c r="I249" i="1"/>
  <c r="H249" i="1"/>
  <c r="J248" i="1"/>
  <c r="I248" i="1"/>
  <c r="H248" i="1"/>
  <c r="J247" i="1"/>
  <c r="I247" i="1"/>
  <c r="H247" i="1"/>
  <c r="J246" i="1"/>
  <c r="I246" i="1"/>
  <c r="H246" i="1"/>
  <c r="J245" i="1"/>
  <c r="I245" i="1"/>
  <c r="H245" i="1"/>
  <c r="J244" i="1"/>
  <c r="I244" i="1"/>
  <c r="H244" i="1"/>
  <c r="J243" i="1"/>
  <c r="I243" i="1"/>
  <c r="H243" i="1"/>
  <c r="J242" i="1"/>
  <c r="I242" i="1"/>
  <c r="H242" i="1"/>
  <c r="J241" i="1"/>
  <c r="I241" i="1"/>
  <c r="H241" i="1"/>
  <c r="J240" i="1"/>
  <c r="I240" i="1"/>
  <c r="H240" i="1"/>
  <c r="J239" i="1"/>
  <c r="I239" i="1"/>
  <c r="H239" i="1"/>
  <c r="J238" i="1"/>
  <c r="I238" i="1"/>
  <c r="H238" i="1"/>
  <c r="J237" i="1"/>
  <c r="I237" i="1"/>
  <c r="H237" i="1"/>
  <c r="J236" i="1"/>
  <c r="I236" i="1"/>
  <c r="H236" i="1"/>
  <c r="J235" i="1"/>
  <c r="I235" i="1"/>
  <c r="H235" i="1"/>
  <c r="J234" i="1"/>
  <c r="I234" i="1"/>
  <c r="H234" i="1"/>
  <c r="J233" i="1"/>
  <c r="I233" i="1"/>
  <c r="H233" i="1"/>
  <c r="J232" i="1"/>
  <c r="I232" i="1"/>
  <c r="H232" i="1"/>
  <c r="J231" i="1"/>
  <c r="I231" i="1"/>
  <c r="H231" i="1"/>
  <c r="J230" i="1"/>
  <c r="I230" i="1"/>
  <c r="H230" i="1"/>
  <c r="J229" i="1"/>
  <c r="I229" i="1"/>
  <c r="H229" i="1"/>
  <c r="J228" i="1"/>
  <c r="I228" i="1"/>
  <c r="H228" i="1"/>
  <c r="J227" i="1"/>
  <c r="I227" i="1"/>
  <c r="H227" i="1"/>
  <c r="J226" i="1"/>
  <c r="I226" i="1"/>
  <c r="H226" i="1"/>
  <c r="J225" i="1"/>
  <c r="I225" i="1"/>
  <c r="H225" i="1"/>
  <c r="J224" i="1"/>
  <c r="I224" i="1"/>
  <c r="H224" i="1"/>
  <c r="J223" i="1"/>
  <c r="I223" i="1"/>
  <c r="H223" i="1"/>
  <c r="J222" i="1"/>
  <c r="I222" i="1"/>
  <c r="H222" i="1"/>
  <c r="J221" i="1"/>
  <c r="I221" i="1"/>
  <c r="H221" i="1"/>
  <c r="J220" i="1"/>
  <c r="I220" i="1"/>
  <c r="H220" i="1"/>
  <c r="J219" i="1"/>
  <c r="I219" i="1"/>
  <c r="H219" i="1"/>
  <c r="J218" i="1"/>
  <c r="I218" i="1"/>
  <c r="H218" i="1"/>
  <c r="J217" i="1"/>
  <c r="I217" i="1"/>
  <c r="H217" i="1"/>
  <c r="J216" i="1"/>
  <c r="I216" i="1"/>
  <c r="H216" i="1"/>
  <c r="J215" i="1"/>
  <c r="I215" i="1"/>
  <c r="H215" i="1"/>
  <c r="J214" i="1"/>
  <c r="I214" i="1"/>
  <c r="H214" i="1"/>
  <c r="J213" i="1"/>
  <c r="I213" i="1"/>
  <c r="H213" i="1"/>
  <c r="J212" i="1"/>
  <c r="I212" i="1"/>
  <c r="H212" i="1"/>
  <c r="J211" i="1"/>
  <c r="I211" i="1"/>
  <c r="H211" i="1"/>
  <c r="J210" i="1"/>
  <c r="I210" i="1"/>
  <c r="H210" i="1"/>
  <c r="J209" i="1"/>
  <c r="I209" i="1"/>
  <c r="H209" i="1"/>
  <c r="J208" i="1"/>
  <c r="I208" i="1"/>
  <c r="H208" i="1"/>
  <c r="J207" i="1"/>
  <c r="I207" i="1"/>
  <c r="H207" i="1"/>
  <c r="J206" i="1"/>
  <c r="I206" i="1"/>
  <c r="H206" i="1"/>
  <c r="J205" i="1"/>
  <c r="I205" i="1"/>
  <c r="H205" i="1"/>
  <c r="J204" i="1"/>
  <c r="I204" i="1"/>
  <c r="H204" i="1"/>
  <c r="J203" i="1"/>
  <c r="I203" i="1"/>
  <c r="H203" i="1"/>
  <c r="J202" i="1"/>
  <c r="I202" i="1"/>
  <c r="H202" i="1"/>
  <c r="J201" i="1"/>
  <c r="I201" i="1"/>
  <c r="H201" i="1"/>
  <c r="J200" i="1"/>
  <c r="I200" i="1"/>
  <c r="H200" i="1"/>
  <c r="J199" i="1"/>
  <c r="I199" i="1"/>
  <c r="H199" i="1"/>
  <c r="J198" i="1"/>
  <c r="I198" i="1"/>
  <c r="H198" i="1"/>
  <c r="J197" i="1"/>
  <c r="I197" i="1"/>
  <c r="H197" i="1"/>
  <c r="J196" i="1"/>
  <c r="I196" i="1"/>
  <c r="H196" i="1"/>
  <c r="J195" i="1"/>
  <c r="I195" i="1"/>
  <c r="H195" i="1"/>
  <c r="J194" i="1"/>
  <c r="I194" i="1"/>
  <c r="H194" i="1"/>
  <c r="J193" i="1"/>
  <c r="I193" i="1"/>
  <c r="H193" i="1"/>
  <c r="J192" i="1"/>
  <c r="I192" i="1"/>
  <c r="H192" i="1"/>
  <c r="J191" i="1"/>
  <c r="I191" i="1"/>
  <c r="H191" i="1"/>
  <c r="J190" i="1"/>
  <c r="I190" i="1"/>
  <c r="H190" i="1"/>
  <c r="J189" i="1"/>
  <c r="I189" i="1"/>
  <c r="H189" i="1"/>
  <c r="J188" i="1"/>
  <c r="I188" i="1"/>
  <c r="H188" i="1"/>
  <c r="J187" i="1"/>
  <c r="I187" i="1"/>
  <c r="H187" i="1"/>
  <c r="J186" i="1"/>
  <c r="I186" i="1"/>
  <c r="H186" i="1"/>
  <c r="J185" i="1"/>
  <c r="I185" i="1"/>
  <c r="H185" i="1"/>
  <c r="J184" i="1"/>
  <c r="I184" i="1"/>
  <c r="H184" i="1"/>
  <c r="J183" i="1"/>
  <c r="I183" i="1"/>
  <c r="H183" i="1"/>
  <c r="J182" i="1"/>
  <c r="I182" i="1"/>
  <c r="H182" i="1"/>
  <c r="J181" i="1"/>
  <c r="I181" i="1"/>
  <c r="H181" i="1"/>
  <c r="J180" i="1"/>
  <c r="I180" i="1"/>
  <c r="H180" i="1"/>
  <c r="J179" i="1"/>
  <c r="I179" i="1"/>
  <c r="H179" i="1"/>
  <c r="J178" i="1"/>
  <c r="I178" i="1"/>
  <c r="H178" i="1"/>
  <c r="J177" i="1"/>
  <c r="I177" i="1"/>
  <c r="H177" i="1"/>
  <c r="J176" i="1"/>
  <c r="I176" i="1"/>
  <c r="H176" i="1"/>
  <c r="J175" i="1"/>
  <c r="I175" i="1"/>
  <c r="H175" i="1"/>
  <c r="J174" i="1"/>
  <c r="I174" i="1"/>
  <c r="H174" i="1"/>
  <c r="J173" i="1"/>
  <c r="I173" i="1"/>
  <c r="H173" i="1"/>
  <c r="J172" i="1"/>
  <c r="I172" i="1"/>
  <c r="H172" i="1"/>
  <c r="J171" i="1"/>
  <c r="I171" i="1"/>
  <c r="H171" i="1"/>
  <c r="J170" i="1"/>
  <c r="I170" i="1"/>
  <c r="H170" i="1"/>
  <c r="J169" i="1"/>
  <c r="I169" i="1"/>
  <c r="H169" i="1"/>
  <c r="J168" i="1"/>
  <c r="I168" i="1"/>
  <c r="H168" i="1"/>
  <c r="J167" i="1"/>
  <c r="I167" i="1"/>
  <c r="H167" i="1"/>
  <c r="J166" i="1"/>
  <c r="I166" i="1"/>
  <c r="H166" i="1"/>
  <c r="J165" i="1"/>
  <c r="I165" i="1"/>
  <c r="H165" i="1"/>
  <c r="J164" i="1"/>
  <c r="I164" i="1"/>
  <c r="H164" i="1"/>
  <c r="J163" i="1"/>
  <c r="I163" i="1"/>
  <c r="H163" i="1"/>
  <c r="J162" i="1"/>
  <c r="I162" i="1"/>
  <c r="H162" i="1"/>
  <c r="J161" i="1"/>
  <c r="I161" i="1"/>
  <c r="H161" i="1"/>
  <c r="J160" i="1"/>
  <c r="I160" i="1"/>
  <c r="H160" i="1"/>
  <c r="J159" i="1"/>
  <c r="I159" i="1"/>
  <c r="H159" i="1"/>
  <c r="J158" i="1"/>
  <c r="I158" i="1"/>
  <c r="H158" i="1"/>
  <c r="J157" i="1"/>
  <c r="I157" i="1"/>
  <c r="H157" i="1"/>
  <c r="J156" i="1"/>
  <c r="I156" i="1"/>
  <c r="H156" i="1"/>
  <c r="J155" i="1"/>
  <c r="I155" i="1"/>
  <c r="H155" i="1"/>
  <c r="J154" i="1"/>
  <c r="I154" i="1"/>
  <c r="H154" i="1"/>
  <c r="J153" i="1"/>
  <c r="I153" i="1"/>
  <c r="H153" i="1"/>
  <c r="J152" i="1"/>
  <c r="I152" i="1"/>
  <c r="H152" i="1"/>
  <c r="J151" i="1"/>
  <c r="I151" i="1"/>
  <c r="H151" i="1"/>
  <c r="J150" i="1"/>
  <c r="I150" i="1"/>
  <c r="H150" i="1"/>
  <c r="J149" i="1"/>
  <c r="I149" i="1"/>
  <c r="H149" i="1"/>
  <c r="J148" i="1"/>
  <c r="I148" i="1"/>
  <c r="H148" i="1"/>
  <c r="J147" i="1"/>
  <c r="I147" i="1"/>
  <c r="H147" i="1"/>
  <c r="J146" i="1"/>
  <c r="I146" i="1"/>
  <c r="H146" i="1"/>
  <c r="J145" i="1"/>
  <c r="I145" i="1"/>
  <c r="H145" i="1"/>
  <c r="J144" i="1"/>
  <c r="I144" i="1"/>
  <c r="H144" i="1"/>
  <c r="J143" i="1"/>
  <c r="I143" i="1"/>
  <c r="H143" i="1"/>
  <c r="J142" i="1"/>
  <c r="I142" i="1"/>
  <c r="H142" i="1"/>
  <c r="J141" i="1"/>
  <c r="I141" i="1"/>
  <c r="H141" i="1"/>
  <c r="J140" i="1"/>
  <c r="I140" i="1"/>
  <c r="H140" i="1"/>
  <c r="J139" i="1"/>
  <c r="I139" i="1"/>
  <c r="H139" i="1"/>
  <c r="J138" i="1"/>
  <c r="I138" i="1"/>
  <c r="H138" i="1"/>
  <c r="J137" i="1"/>
  <c r="I137" i="1"/>
  <c r="H137" i="1"/>
  <c r="J136" i="1"/>
  <c r="I136" i="1"/>
  <c r="H136" i="1"/>
  <c r="J135" i="1"/>
  <c r="I135" i="1"/>
  <c r="H135" i="1"/>
  <c r="J134" i="1"/>
  <c r="I134" i="1"/>
  <c r="H134" i="1"/>
  <c r="J133" i="1"/>
  <c r="I133" i="1"/>
  <c r="H133" i="1"/>
  <c r="J132" i="1"/>
  <c r="I132" i="1"/>
  <c r="H132" i="1"/>
  <c r="J131" i="1"/>
  <c r="I131" i="1"/>
  <c r="H131" i="1"/>
  <c r="J130" i="1"/>
  <c r="I130" i="1"/>
  <c r="H130" i="1"/>
  <c r="J129" i="1"/>
  <c r="I129" i="1"/>
  <c r="H129" i="1"/>
  <c r="J128" i="1"/>
  <c r="I128" i="1"/>
  <c r="H128" i="1"/>
  <c r="J127" i="1"/>
  <c r="I127" i="1"/>
  <c r="H127" i="1"/>
  <c r="J126" i="1"/>
  <c r="I126" i="1"/>
  <c r="H126" i="1"/>
  <c r="J125" i="1"/>
  <c r="I125" i="1"/>
  <c r="H125" i="1"/>
  <c r="J124" i="1"/>
  <c r="I124" i="1"/>
  <c r="H124" i="1"/>
  <c r="J123" i="1"/>
  <c r="I123" i="1"/>
  <c r="H123" i="1"/>
  <c r="J122" i="1"/>
  <c r="I122" i="1"/>
  <c r="H122" i="1"/>
  <c r="J121" i="1"/>
  <c r="I121" i="1"/>
  <c r="H121" i="1"/>
  <c r="J120" i="1"/>
  <c r="I120" i="1"/>
  <c r="H120" i="1"/>
  <c r="J119" i="1"/>
  <c r="I119" i="1"/>
  <c r="H119" i="1"/>
  <c r="J118" i="1"/>
  <c r="I118" i="1"/>
  <c r="H118" i="1"/>
  <c r="J117" i="1"/>
  <c r="I117" i="1"/>
  <c r="H117" i="1"/>
  <c r="J116" i="1"/>
  <c r="I116" i="1"/>
  <c r="H116" i="1"/>
  <c r="J115" i="1"/>
  <c r="I115" i="1"/>
  <c r="H115" i="1"/>
  <c r="J114" i="1"/>
  <c r="I114" i="1"/>
  <c r="H114" i="1"/>
  <c r="J113" i="1"/>
  <c r="I113" i="1"/>
  <c r="H113" i="1"/>
  <c r="J112" i="1"/>
  <c r="I112" i="1"/>
  <c r="H112" i="1"/>
  <c r="J111" i="1"/>
  <c r="I111" i="1"/>
  <c r="H111" i="1"/>
  <c r="J110" i="1"/>
  <c r="I110" i="1"/>
  <c r="H110" i="1"/>
  <c r="J109" i="1"/>
  <c r="I109" i="1"/>
  <c r="H109" i="1"/>
  <c r="J108" i="1"/>
  <c r="I108" i="1"/>
  <c r="H108" i="1"/>
  <c r="J107" i="1"/>
  <c r="I107" i="1"/>
  <c r="H107" i="1"/>
  <c r="J106" i="1"/>
  <c r="I106" i="1"/>
  <c r="H106" i="1"/>
  <c r="J105" i="1"/>
  <c r="I105" i="1"/>
  <c r="H105" i="1"/>
  <c r="J104" i="1"/>
  <c r="I104" i="1"/>
  <c r="H104" i="1"/>
  <c r="J103" i="1"/>
  <c r="I103" i="1"/>
  <c r="H103" i="1"/>
  <c r="J102" i="1"/>
  <c r="I102" i="1"/>
  <c r="H102" i="1"/>
  <c r="J101" i="1"/>
  <c r="I101" i="1"/>
  <c r="H101" i="1"/>
  <c r="J100" i="1"/>
  <c r="I100" i="1"/>
  <c r="H100" i="1"/>
  <c r="J99" i="1"/>
  <c r="I99" i="1"/>
  <c r="H99" i="1"/>
  <c r="J98" i="1"/>
  <c r="I98" i="1"/>
  <c r="H98" i="1"/>
  <c r="J97" i="1"/>
  <c r="I97" i="1"/>
  <c r="H97" i="1"/>
  <c r="J96" i="1"/>
  <c r="I96" i="1"/>
  <c r="H96" i="1"/>
  <c r="J95" i="1"/>
  <c r="I95" i="1"/>
  <c r="H95" i="1"/>
  <c r="J94" i="1"/>
  <c r="I94" i="1"/>
  <c r="H94" i="1"/>
  <c r="J93" i="1"/>
  <c r="I93" i="1"/>
  <c r="H93" i="1"/>
  <c r="J92" i="1"/>
  <c r="I92" i="1"/>
  <c r="H92" i="1"/>
  <c r="J91" i="1"/>
  <c r="I91" i="1"/>
  <c r="H91" i="1"/>
  <c r="J90" i="1"/>
  <c r="I90" i="1"/>
  <c r="H90" i="1"/>
  <c r="J89" i="1"/>
  <c r="I89" i="1"/>
  <c r="H89" i="1"/>
  <c r="J88" i="1"/>
  <c r="I88" i="1"/>
  <c r="H88" i="1"/>
  <c r="J87" i="1"/>
  <c r="I87" i="1"/>
  <c r="H87" i="1"/>
  <c r="J86" i="1"/>
  <c r="I86" i="1"/>
  <c r="H86" i="1"/>
  <c r="J85" i="1"/>
  <c r="I85" i="1"/>
  <c r="H85" i="1"/>
  <c r="J84" i="1"/>
  <c r="I84" i="1"/>
  <c r="H84" i="1"/>
  <c r="J83" i="1"/>
  <c r="I83" i="1"/>
  <c r="H83" i="1"/>
  <c r="J82" i="1"/>
  <c r="I82" i="1"/>
  <c r="H82" i="1"/>
  <c r="J81" i="1"/>
  <c r="I81" i="1"/>
  <c r="H81" i="1"/>
  <c r="J80" i="1"/>
  <c r="I80" i="1"/>
  <c r="H80" i="1"/>
  <c r="J79" i="1"/>
  <c r="I79" i="1"/>
  <c r="H79" i="1"/>
  <c r="J78" i="1"/>
  <c r="I78" i="1"/>
  <c r="H78" i="1"/>
  <c r="J77" i="1"/>
  <c r="I77" i="1"/>
  <c r="H77" i="1"/>
  <c r="J76" i="1"/>
  <c r="I76" i="1"/>
  <c r="H76" i="1"/>
  <c r="J75" i="1"/>
  <c r="I75" i="1"/>
  <c r="H75" i="1"/>
  <c r="J74" i="1"/>
  <c r="I74" i="1"/>
  <c r="H74" i="1"/>
  <c r="J73" i="1"/>
  <c r="I73" i="1"/>
  <c r="H73" i="1"/>
  <c r="J72" i="1"/>
  <c r="I72" i="1"/>
  <c r="H72" i="1"/>
  <c r="J71" i="1"/>
  <c r="I71" i="1"/>
  <c r="H71" i="1"/>
  <c r="J70" i="1"/>
  <c r="I70" i="1"/>
  <c r="H70" i="1"/>
  <c r="J69" i="1"/>
  <c r="I69" i="1"/>
  <c r="H69" i="1"/>
  <c r="J68" i="1"/>
  <c r="I68" i="1"/>
  <c r="H68" i="1"/>
  <c r="J67" i="1"/>
  <c r="I67" i="1"/>
  <c r="H67" i="1"/>
  <c r="J66" i="1"/>
  <c r="I66" i="1"/>
  <c r="H66" i="1"/>
  <c r="J65" i="1"/>
  <c r="I65" i="1"/>
  <c r="H65" i="1"/>
  <c r="J64" i="1"/>
  <c r="I64" i="1"/>
  <c r="H64" i="1"/>
  <c r="J63" i="1"/>
  <c r="I63" i="1"/>
  <c r="H63" i="1"/>
  <c r="J62" i="1"/>
  <c r="I62" i="1"/>
  <c r="H62" i="1"/>
  <c r="J61" i="1"/>
  <c r="I61" i="1"/>
  <c r="H61" i="1"/>
  <c r="J60" i="1"/>
  <c r="I60" i="1"/>
  <c r="H60" i="1"/>
  <c r="J59" i="1"/>
  <c r="I59" i="1"/>
  <c r="H59" i="1"/>
  <c r="J58" i="1"/>
  <c r="I58" i="1"/>
  <c r="H58" i="1"/>
  <c r="J57" i="1"/>
  <c r="I57" i="1"/>
  <c r="H57" i="1"/>
  <c r="J56" i="1"/>
  <c r="I56" i="1"/>
  <c r="H56" i="1"/>
  <c r="J55" i="1"/>
  <c r="I55" i="1"/>
  <c r="H55" i="1"/>
  <c r="J54" i="1"/>
  <c r="I54" i="1"/>
  <c r="H54" i="1"/>
  <c r="J53" i="1"/>
  <c r="I53" i="1"/>
  <c r="H53" i="1"/>
  <c r="J52" i="1"/>
  <c r="I52" i="1"/>
  <c r="H52" i="1"/>
  <c r="J51" i="1"/>
  <c r="I51" i="1"/>
  <c r="H51" i="1"/>
  <c r="J50" i="1"/>
  <c r="I50" i="1"/>
  <c r="H50" i="1"/>
  <c r="J49" i="1"/>
  <c r="I49" i="1"/>
  <c r="H49" i="1"/>
  <c r="J48" i="1"/>
  <c r="I48" i="1"/>
  <c r="H48" i="1"/>
  <c r="J47" i="1"/>
  <c r="I47" i="1"/>
  <c r="H47" i="1"/>
  <c r="J46" i="1"/>
  <c r="I46" i="1"/>
  <c r="H46" i="1"/>
  <c r="J45" i="1"/>
  <c r="I45" i="1"/>
  <c r="H45" i="1"/>
  <c r="J44" i="1"/>
  <c r="I44" i="1"/>
  <c r="H44" i="1"/>
  <c r="J43" i="1"/>
  <c r="I43" i="1"/>
  <c r="H43" i="1"/>
  <c r="J42" i="1"/>
  <c r="I42" i="1"/>
  <c r="H42" i="1"/>
  <c r="J41" i="1"/>
  <c r="I41" i="1"/>
  <c r="H41" i="1"/>
  <c r="J40" i="1"/>
  <c r="I40" i="1"/>
  <c r="H40" i="1"/>
  <c r="J39" i="1"/>
  <c r="I39" i="1"/>
  <c r="H39" i="1"/>
  <c r="J38" i="1"/>
  <c r="I38" i="1"/>
  <c r="H38" i="1"/>
  <c r="J37" i="1"/>
  <c r="I37" i="1"/>
  <c r="H37" i="1"/>
  <c r="J36" i="1"/>
  <c r="I36" i="1"/>
  <c r="H36" i="1"/>
  <c r="J35" i="1"/>
  <c r="I35" i="1"/>
  <c r="H35" i="1"/>
  <c r="J34" i="1"/>
  <c r="I34" i="1"/>
  <c r="H34" i="1"/>
  <c r="J33" i="1"/>
  <c r="I33" i="1"/>
  <c r="H33" i="1"/>
  <c r="J32" i="1"/>
  <c r="I32" i="1"/>
  <c r="H32" i="1"/>
  <c r="J31" i="1"/>
  <c r="I31" i="1"/>
  <c r="H31" i="1"/>
  <c r="J30" i="1"/>
  <c r="I30" i="1"/>
  <c r="H30" i="1"/>
  <c r="J29" i="1"/>
  <c r="I29" i="1"/>
  <c r="H29" i="1"/>
  <c r="J28" i="1"/>
  <c r="I28" i="1"/>
  <c r="H28" i="1"/>
  <c r="J27" i="1"/>
  <c r="I27" i="1"/>
  <c r="H27" i="1"/>
  <c r="J26" i="1"/>
  <c r="I26" i="1"/>
  <c r="H26" i="1"/>
  <c r="J25" i="1"/>
  <c r="I25" i="1"/>
  <c r="H25" i="1"/>
  <c r="J24" i="1"/>
  <c r="I24" i="1"/>
  <c r="H24" i="1"/>
  <c r="J23" i="1"/>
  <c r="I23" i="1"/>
  <c r="H23" i="1"/>
  <c r="J22" i="1"/>
  <c r="I22" i="1"/>
  <c r="H22" i="1"/>
  <c r="J21" i="1"/>
  <c r="I21" i="1"/>
  <c r="H21" i="1"/>
  <c r="J20" i="1"/>
  <c r="I20" i="1"/>
  <c r="H20" i="1"/>
  <c r="J19" i="1"/>
  <c r="I19" i="1"/>
  <c r="H19" i="1"/>
  <c r="J18" i="1"/>
  <c r="I18" i="1"/>
  <c r="H18" i="1"/>
  <c r="J17" i="1"/>
  <c r="I17" i="1"/>
  <c r="H17" i="1"/>
  <c r="J16" i="1"/>
  <c r="I16" i="1"/>
  <c r="H16" i="1"/>
  <c r="J15" i="1"/>
  <c r="I15" i="1"/>
  <c r="H15" i="1"/>
  <c r="J14" i="1"/>
  <c r="I14" i="1"/>
  <c r="H14" i="1"/>
  <c r="J13" i="1"/>
  <c r="I13" i="1"/>
  <c r="H13" i="1"/>
  <c r="J12" i="1"/>
  <c r="I12" i="1"/>
  <c r="H12" i="1"/>
  <c r="J11" i="1"/>
  <c r="I11" i="1"/>
  <c r="H11" i="1"/>
  <c r="J10" i="1"/>
  <c r="I10" i="1"/>
  <c r="H10" i="1"/>
  <c r="J9" i="1"/>
  <c r="I9" i="1"/>
  <c r="H9" i="1"/>
  <c r="J8" i="1"/>
  <c r="I8" i="1"/>
  <c r="H8" i="1"/>
  <c r="J7" i="1"/>
  <c r="I7" i="1"/>
  <c r="H7" i="1"/>
  <c r="J6" i="1"/>
  <c r="I6" i="1"/>
  <c r="H6" i="1"/>
  <c r="J5" i="1"/>
  <c r="I5" i="1"/>
  <c r="H5" i="1"/>
  <c r="J4" i="1"/>
  <c r="I4" i="1"/>
  <c r="H4" i="1"/>
  <c r="J3" i="1"/>
  <c r="I3" i="1"/>
  <c r="H3" i="1"/>
  <c r="J2" i="1"/>
  <c r="I2" i="1"/>
  <c r="H2" i="1"/>
  <c r="B6" i="19"/>
  <c r="A6" i="19"/>
  <c r="B5" i="19"/>
  <c r="A5" i="19"/>
  <c r="B4" i="19"/>
  <c r="A4" i="19"/>
  <c r="B3" i="19"/>
  <c r="A3" i="19"/>
  <c r="B2" i="19"/>
  <c r="A2" i="19"/>
  <c r="I24" i="18"/>
  <c r="H24" i="18"/>
  <c r="I23" i="18"/>
  <c r="H23" i="18"/>
  <c r="I22" i="18"/>
  <c r="H22" i="18"/>
  <c r="I21" i="18"/>
  <c r="H21" i="18"/>
  <c r="I20" i="18"/>
  <c r="H20" i="18"/>
  <c r="P118" i="5"/>
  <c r="P116" i="5"/>
  <c r="E70" i="5"/>
  <c r="D70" i="5"/>
  <c r="E69" i="5"/>
  <c r="D69" i="5"/>
  <c r="E68" i="5"/>
  <c r="D68" i="5"/>
  <c r="E67" i="5"/>
  <c r="D67" i="5"/>
  <c r="E66" i="5"/>
  <c r="D66" i="5"/>
  <c r="M301" i="2"/>
  <c r="L301" i="2"/>
  <c r="K301" i="2"/>
  <c r="J301" i="2"/>
  <c r="I301" i="2"/>
  <c r="H301" i="2"/>
  <c r="M300" i="2"/>
  <c r="L300" i="2"/>
  <c r="K300" i="2"/>
  <c r="J300" i="2"/>
  <c r="I300" i="2"/>
  <c r="H300" i="2"/>
  <c r="M299" i="2"/>
  <c r="L299" i="2"/>
  <c r="K299" i="2"/>
  <c r="J299" i="2"/>
  <c r="I299" i="2"/>
  <c r="H299" i="2"/>
  <c r="M298" i="2"/>
  <c r="L298" i="2"/>
  <c r="K298" i="2"/>
  <c r="J298" i="2"/>
  <c r="I298" i="2"/>
  <c r="H298" i="2"/>
  <c r="M297" i="2"/>
  <c r="L297" i="2"/>
  <c r="K297" i="2"/>
  <c r="J297" i="2"/>
  <c r="I297" i="2"/>
  <c r="H297" i="2"/>
  <c r="M296" i="2"/>
  <c r="L296" i="2"/>
  <c r="K296" i="2"/>
  <c r="J296" i="2"/>
  <c r="I296" i="2"/>
  <c r="H296" i="2"/>
  <c r="M295" i="2"/>
  <c r="L295" i="2"/>
  <c r="K295" i="2"/>
  <c r="J295" i="2"/>
  <c r="I295" i="2"/>
  <c r="H295" i="2"/>
  <c r="M294" i="2"/>
  <c r="L294" i="2"/>
  <c r="K294" i="2"/>
  <c r="J294" i="2"/>
  <c r="I294" i="2"/>
  <c r="H294" i="2"/>
  <c r="M293" i="2"/>
  <c r="L293" i="2"/>
  <c r="K293" i="2"/>
  <c r="J293" i="2"/>
  <c r="I293" i="2"/>
  <c r="H293" i="2"/>
  <c r="M292" i="2"/>
  <c r="L292" i="2"/>
  <c r="K292" i="2"/>
  <c r="J292" i="2"/>
  <c r="I292" i="2"/>
  <c r="H292" i="2"/>
  <c r="M291" i="2"/>
  <c r="L291" i="2"/>
  <c r="K291" i="2"/>
  <c r="J291" i="2"/>
  <c r="I291" i="2"/>
  <c r="H291" i="2"/>
  <c r="M290" i="2"/>
  <c r="L290" i="2"/>
  <c r="K290" i="2"/>
  <c r="J290" i="2"/>
  <c r="I290" i="2"/>
  <c r="H290" i="2"/>
  <c r="M289" i="2"/>
  <c r="L289" i="2"/>
  <c r="K289" i="2"/>
  <c r="J289" i="2"/>
  <c r="I289" i="2"/>
  <c r="H289" i="2"/>
  <c r="M288" i="2"/>
  <c r="L288" i="2"/>
  <c r="K288" i="2"/>
  <c r="J288" i="2"/>
  <c r="I288" i="2"/>
  <c r="H288" i="2"/>
  <c r="M287" i="2"/>
  <c r="L287" i="2"/>
  <c r="K287" i="2"/>
  <c r="J287" i="2"/>
  <c r="I287" i="2"/>
  <c r="H287" i="2"/>
  <c r="M286" i="2"/>
  <c r="L286" i="2"/>
  <c r="K286" i="2"/>
  <c r="J286" i="2"/>
  <c r="I286" i="2"/>
  <c r="H286" i="2"/>
  <c r="M285" i="2"/>
  <c r="L285" i="2"/>
  <c r="K285" i="2"/>
  <c r="J285" i="2"/>
  <c r="I285" i="2"/>
  <c r="H285" i="2"/>
  <c r="M284" i="2"/>
  <c r="L284" i="2"/>
  <c r="K284" i="2"/>
  <c r="J284" i="2"/>
  <c r="I284" i="2"/>
  <c r="H284" i="2"/>
  <c r="M283" i="2"/>
  <c r="L283" i="2"/>
  <c r="K283" i="2"/>
  <c r="J283" i="2"/>
  <c r="I283" i="2"/>
  <c r="H283" i="2"/>
  <c r="M282" i="2"/>
  <c r="L282" i="2"/>
  <c r="K282" i="2"/>
  <c r="J282" i="2"/>
  <c r="I282" i="2"/>
  <c r="H282" i="2"/>
  <c r="M281" i="2"/>
  <c r="L281" i="2"/>
  <c r="K281" i="2"/>
  <c r="J281" i="2"/>
  <c r="I281" i="2"/>
  <c r="H281" i="2"/>
  <c r="M280" i="2"/>
  <c r="L280" i="2"/>
  <c r="K280" i="2"/>
  <c r="J280" i="2"/>
  <c r="I280" i="2"/>
  <c r="H280" i="2"/>
  <c r="M279" i="2"/>
  <c r="L279" i="2"/>
  <c r="K279" i="2"/>
  <c r="J279" i="2"/>
  <c r="I279" i="2"/>
  <c r="H279" i="2"/>
  <c r="M278" i="2"/>
  <c r="L278" i="2"/>
  <c r="K278" i="2"/>
  <c r="J278" i="2"/>
  <c r="I278" i="2"/>
  <c r="H278" i="2"/>
  <c r="M277" i="2"/>
  <c r="L277" i="2"/>
  <c r="K277" i="2"/>
  <c r="J277" i="2"/>
  <c r="I277" i="2"/>
  <c r="H277" i="2"/>
  <c r="M276" i="2"/>
  <c r="L276" i="2"/>
  <c r="K276" i="2"/>
  <c r="J276" i="2"/>
  <c r="I276" i="2"/>
  <c r="H276" i="2"/>
  <c r="M275" i="2"/>
  <c r="L275" i="2"/>
  <c r="K275" i="2"/>
  <c r="J275" i="2"/>
  <c r="I275" i="2"/>
  <c r="H275" i="2"/>
  <c r="M274" i="2"/>
  <c r="L274" i="2"/>
  <c r="K274" i="2"/>
  <c r="J274" i="2"/>
  <c r="I274" i="2"/>
  <c r="H274" i="2"/>
  <c r="M273" i="2"/>
  <c r="L273" i="2"/>
  <c r="K273" i="2"/>
  <c r="J273" i="2"/>
  <c r="I273" i="2"/>
  <c r="H273" i="2"/>
  <c r="M272" i="2"/>
  <c r="L272" i="2"/>
  <c r="K272" i="2"/>
  <c r="J272" i="2"/>
  <c r="I272" i="2"/>
  <c r="H272" i="2"/>
  <c r="M271" i="2"/>
  <c r="L271" i="2"/>
  <c r="K271" i="2"/>
  <c r="J271" i="2"/>
  <c r="I271" i="2"/>
  <c r="H271" i="2"/>
  <c r="M270" i="2"/>
  <c r="L270" i="2"/>
  <c r="K270" i="2"/>
  <c r="J270" i="2"/>
  <c r="I270" i="2"/>
  <c r="H270" i="2"/>
  <c r="M269" i="2"/>
  <c r="L269" i="2"/>
  <c r="K269" i="2"/>
  <c r="J269" i="2"/>
  <c r="I269" i="2"/>
  <c r="H269" i="2"/>
  <c r="M268" i="2"/>
  <c r="L268" i="2"/>
  <c r="K268" i="2"/>
  <c r="J268" i="2"/>
  <c r="I268" i="2"/>
  <c r="H268" i="2"/>
  <c r="M267" i="2"/>
  <c r="L267" i="2"/>
  <c r="K267" i="2"/>
  <c r="J267" i="2"/>
  <c r="I267" i="2"/>
  <c r="H267" i="2"/>
  <c r="M266" i="2"/>
  <c r="L266" i="2"/>
  <c r="K266" i="2"/>
  <c r="J266" i="2"/>
  <c r="I266" i="2"/>
  <c r="H266" i="2"/>
  <c r="M265" i="2"/>
  <c r="L265" i="2"/>
  <c r="K265" i="2"/>
  <c r="J265" i="2"/>
  <c r="I265" i="2"/>
  <c r="H265" i="2"/>
  <c r="M264" i="2"/>
  <c r="L264" i="2"/>
  <c r="K264" i="2"/>
  <c r="J264" i="2"/>
  <c r="I264" i="2"/>
  <c r="H264" i="2"/>
  <c r="M263" i="2"/>
  <c r="L263" i="2"/>
  <c r="K263" i="2"/>
  <c r="J263" i="2"/>
  <c r="I263" i="2"/>
  <c r="H263" i="2"/>
  <c r="M262" i="2"/>
  <c r="L262" i="2"/>
  <c r="K262" i="2"/>
  <c r="J262" i="2"/>
  <c r="I262" i="2"/>
  <c r="H262" i="2"/>
  <c r="M261" i="2"/>
  <c r="L261" i="2"/>
  <c r="K261" i="2"/>
  <c r="J261" i="2"/>
  <c r="I261" i="2"/>
  <c r="H261" i="2"/>
  <c r="M260" i="2"/>
  <c r="L260" i="2"/>
  <c r="K260" i="2"/>
  <c r="J260" i="2"/>
  <c r="I260" i="2"/>
  <c r="H260" i="2"/>
  <c r="M259" i="2"/>
  <c r="L259" i="2"/>
  <c r="K259" i="2"/>
  <c r="J259" i="2"/>
  <c r="I259" i="2"/>
  <c r="H259" i="2"/>
  <c r="M258" i="2"/>
  <c r="L258" i="2"/>
  <c r="K258" i="2"/>
  <c r="J258" i="2"/>
  <c r="I258" i="2"/>
  <c r="H258" i="2"/>
  <c r="M257" i="2"/>
  <c r="L257" i="2"/>
  <c r="K257" i="2"/>
  <c r="J257" i="2"/>
  <c r="I257" i="2"/>
  <c r="H257" i="2"/>
  <c r="M256" i="2"/>
  <c r="L256" i="2"/>
  <c r="K256" i="2"/>
  <c r="J256" i="2"/>
  <c r="I256" i="2"/>
  <c r="H256" i="2"/>
  <c r="M255" i="2"/>
  <c r="L255" i="2"/>
  <c r="K255" i="2"/>
  <c r="J255" i="2"/>
  <c r="I255" i="2"/>
  <c r="H255" i="2"/>
  <c r="M254" i="2"/>
  <c r="L254" i="2"/>
  <c r="K254" i="2"/>
  <c r="J254" i="2"/>
  <c r="I254" i="2"/>
  <c r="H254" i="2"/>
  <c r="M253" i="2"/>
  <c r="L253" i="2"/>
  <c r="K253" i="2"/>
  <c r="J253" i="2"/>
  <c r="I253" i="2"/>
  <c r="H253" i="2"/>
  <c r="M252" i="2"/>
  <c r="L252" i="2"/>
  <c r="K252" i="2"/>
  <c r="J252" i="2"/>
  <c r="I252" i="2"/>
  <c r="H252" i="2"/>
  <c r="M251" i="2"/>
  <c r="L251" i="2"/>
  <c r="K251" i="2"/>
  <c r="J251" i="2"/>
  <c r="I251" i="2"/>
  <c r="H251" i="2"/>
  <c r="M250" i="2"/>
  <c r="L250" i="2"/>
  <c r="K250" i="2"/>
  <c r="J250" i="2"/>
  <c r="I250" i="2"/>
  <c r="H250" i="2"/>
  <c r="M249" i="2"/>
  <c r="L249" i="2"/>
  <c r="K249" i="2"/>
  <c r="J249" i="2"/>
  <c r="I249" i="2"/>
  <c r="H249" i="2"/>
  <c r="M248" i="2"/>
  <c r="L248" i="2"/>
  <c r="K248" i="2"/>
  <c r="J248" i="2"/>
  <c r="I248" i="2"/>
  <c r="H248" i="2"/>
  <c r="M247" i="2"/>
  <c r="L247" i="2"/>
  <c r="K247" i="2"/>
  <c r="J247" i="2"/>
  <c r="I247" i="2"/>
  <c r="H247" i="2"/>
  <c r="M246" i="2"/>
  <c r="L246" i="2"/>
  <c r="K246" i="2"/>
  <c r="J246" i="2"/>
  <c r="I246" i="2"/>
  <c r="H246" i="2"/>
  <c r="M245" i="2"/>
  <c r="L245" i="2"/>
  <c r="K245" i="2"/>
  <c r="J245" i="2"/>
  <c r="I245" i="2"/>
  <c r="H245" i="2"/>
  <c r="M244" i="2"/>
  <c r="L244" i="2"/>
  <c r="K244" i="2"/>
  <c r="J244" i="2"/>
  <c r="I244" i="2"/>
  <c r="H244" i="2"/>
  <c r="M243" i="2"/>
  <c r="L243" i="2"/>
  <c r="K243" i="2"/>
  <c r="J243" i="2"/>
  <c r="I243" i="2"/>
  <c r="H243" i="2"/>
  <c r="M242" i="2"/>
  <c r="L242" i="2"/>
  <c r="K242" i="2"/>
  <c r="J242" i="2"/>
  <c r="I242" i="2"/>
  <c r="H242" i="2"/>
  <c r="M241" i="2"/>
  <c r="L241" i="2"/>
  <c r="K241" i="2"/>
  <c r="J241" i="2"/>
  <c r="I241" i="2"/>
  <c r="H241" i="2"/>
  <c r="M240" i="2"/>
  <c r="L240" i="2"/>
  <c r="K240" i="2"/>
  <c r="J240" i="2"/>
  <c r="I240" i="2"/>
  <c r="H240" i="2"/>
  <c r="M239" i="2"/>
  <c r="L239" i="2"/>
  <c r="K239" i="2"/>
  <c r="J239" i="2"/>
  <c r="I239" i="2"/>
  <c r="H239" i="2"/>
  <c r="M238" i="2"/>
  <c r="L238" i="2"/>
  <c r="K238" i="2"/>
  <c r="J238" i="2"/>
  <c r="I238" i="2"/>
  <c r="H238" i="2"/>
  <c r="M237" i="2"/>
  <c r="L237" i="2"/>
  <c r="K237" i="2"/>
  <c r="J237" i="2"/>
  <c r="I237" i="2"/>
  <c r="H237" i="2"/>
  <c r="M236" i="2"/>
  <c r="L236" i="2"/>
  <c r="K236" i="2"/>
  <c r="J236" i="2"/>
  <c r="I236" i="2"/>
  <c r="H236" i="2"/>
  <c r="M235" i="2"/>
  <c r="L235" i="2"/>
  <c r="K235" i="2"/>
  <c r="J235" i="2"/>
  <c r="I235" i="2"/>
  <c r="H235" i="2"/>
  <c r="M234" i="2"/>
  <c r="L234" i="2"/>
  <c r="K234" i="2"/>
  <c r="J234" i="2"/>
  <c r="I234" i="2"/>
  <c r="H234" i="2"/>
  <c r="M233" i="2"/>
  <c r="L233" i="2"/>
  <c r="K233" i="2"/>
  <c r="J233" i="2"/>
  <c r="I233" i="2"/>
  <c r="H233" i="2"/>
  <c r="M232" i="2"/>
  <c r="L232" i="2"/>
  <c r="K232" i="2"/>
  <c r="J232" i="2"/>
  <c r="I232" i="2"/>
  <c r="H232" i="2"/>
  <c r="M231" i="2"/>
  <c r="L231" i="2"/>
  <c r="K231" i="2"/>
  <c r="J231" i="2"/>
  <c r="I231" i="2"/>
  <c r="H231" i="2"/>
  <c r="M230" i="2"/>
  <c r="L230" i="2"/>
  <c r="K230" i="2"/>
  <c r="J230" i="2"/>
  <c r="I230" i="2"/>
  <c r="H230" i="2"/>
  <c r="M229" i="2"/>
  <c r="L229" i="2"/>
  <c r="K229" i="2"/>
  <c r="J229" i="2"/>
  <c r="I229" i="2"/>
  <c r="H229" i="2"/>
  <c r="M228" i="2"/>
  <c r="L228" i="2"/>
  <c r="K228" i="2"/>
  <c r="J228" i="2"/>
  <c r="I228" i="2"/>
  <c r="H228" i="2"/>
  <c r="M227" i="2"/>
  <c r="L227" i="2"/>
  <c r="K227" i="2"/>
  <c r="J227" i="2"/>
  <c r="I227" i="2"/>
  <c r="H227" i="2"/>
  <c r="M226" i="2"/>
  <c r="L226" i="2"/>
  <c r="K226" i="2"/>
  <c r="J226" i="2"/>
  <c r="I226" i="2"/>
  <c r="H226" i="2"/>
  <c r="M225" i="2"/>
  <c r="L225" i="2"/>
  <c r="K225" i="2"/>
  <c r="J225" i="2"/>
  <c r="I225" i="2"/>
  <c r="H225" i="2"/>
  <c r="M224" i="2"/>
  <c r="L224" i="2"/>
  <c r="K224" i="2"/>
  <c r="J224" i="2"/>
  <c r="I224" i="2"/>
  <c r="H224" i="2"/>
  <c r="M223" i="2"/>
  <c r="L223" i="2"/>
  <c r="K223" i="2"/>
  <c r="J223" i="2"/>
  <c r="I223" i="2"/>
  <c r="H223" i="2"/>
  <c r="M222" i="2"/>
  <c r="L222" i="2"/>
  <c r="K222" i="2"/>
  <c r="J222" i="2"/>
  <c r="I222" i="2"/>
  <c r="H222" i="2"/>
  <c r="M221" i="2"/>
  <c r="L221" i="2"/>
  <c r="K221" i="2"/>
  <c r="J221" i="2"/>
  <c r="I221" i="2"/>
  <c r="H221" i="2"/>
  <c r="M220" i="2"/>
  <c r="L220" i="2"/>
  <c r="K220" i="2"/>
  <c r="J220" i="2"/>
  <c r="I220" i="2"/>
  <c r="H220" i="2"/>
  <c r="M219" i="2"/>
  <c r="L219" i="2"/>
  <c r="K219" i="2"/>
  <c r="J219" i="2"/>
  <c r="I219" i="2"/>
  <c r="H219" i="2"/>
  <c r="M218" i="2"/>
  <c r="L218" i="2"/>
  <c r="K218" i="2"/>
  <c r="J218" i="2"/>
  <c r="I218" i="2"/>
  <c r="H218" i="2"/>
  <c r="M217" i="2"/>
  <c r="L217" i="2"/>
  <c r="K217" i="2"/>
  <c r="J217" i="2"/>
  <c r="I217" i="2"/>
  <c r="H217" i="2"/>
  <c r="M216" i="2"/>
  <c r="L216" i="2"/>
  <c r="K216" i="2"/>
  <c r="J216" i="2"/>
  <c r="I216" i="2"/>
  <c r="H216" i="2"/>
  <c r="M215" i="2"/>
  <c r="L215" i="2"/>
  <c r="K215" i="2"/>
  <c r="J215" i="2"/>
  <c r="I215" i="2"/>
  <c r="H215" i="2"/>
  <c r="M214" i="2"/>
  <c r="L214" i="2"/>
  <c r="K214" i="2"/>
  <c r="J214" i="2"/>
  <c r="I214" i="2"/>
  <c r="H214" i="2"/>
  <c r="M213" i="2"/>
  <c r="L213" i="2"/>
  <c r="K213" i="2"/>
  <c r="J213" i="2"/>
  <c r="I213" i="2"/>
  <c r="H213" i="2"/>
  <c r="M212" i="2"/>
  <c r="L212" i="2"/>
  <c r="K212" i="2"/>
  <c r="J212" i="2"/>
  <c r="I212" i="2"/>
  <c r="H212" i="2"/>
  <c r="M211" i="2"/>
  <c r="L211" i="2"/>
  <c r="K211" i="2"/>
  <c r="J211" i="2"/>
  <c r="I211" i="2"/>
  <c r="H211" i="2"/>
  <c r="M210" i="2"/>
  <c r="L210" i="2"/>
  <c r="K210" i="2"/>
  <c r="J210" i="2"/>
  <c r="I210" i="2"/>
  <c r="H210" i="2"/>
  <c r="M209" i="2"/>
  <c r="L209" i="2"/>
  <c r="K209" i="2"/>
  <c r="J209" i="2"/>
  <c r="I209" i="2"/>
  <c r="H209" i="2"/>
  <c r="M208" i="2"/>
  <c r="L208" i="2"/>
  <c r="K208" i="2"/>
  <c r="J208" i="2"/>
  <c r="I208" i="2"/>
  <c r="H208" i="2"/>
  <c r="M207" i="2"/>
  <c r="L207" i="2"/>
  <c r="K207" i="2"/>
  <c r="J207" i="2"/>
  <c r="I207" i="2"/>
  <c r="H207" i="2"/>
  <c r="M206" i="2"/>
  <c r="L206" i="2"/>
  <c r="K206" i="2"/>
  <c r="J206" i="2"/>
  <c r="I206" i="2"/>
  <c r="H206" i="2"/>
  <c r="M205" i="2"/>
  <c r="L205" i="2"/>
  <c r="K205" i="2"/>
  <c r="J205" i="2"/>
  <c r="I205" i="2"/>
  <c r="H205" i="2"/>
  <c r="M204" i="2"/>
  <c r="L204" i="2"/>
  <c r="K204" i="2"/>
  <c r="J204" i="2"/>
  <c r="I204" i="2"/>
  <c r="H204" i="2"/>
  <c r="M203" i="2"/>
  <c r="L203" i="2"/>
  <c r="K203" i="2"/>
  <c r="J203" i="2"/>
  <c r="I203" i="2"/>
  <c r="H203" i="2"/>
  <c r="M202" i="2"/>
  <c r="L202" i="2"/>
  <c r="K202" i="2"/>
  <c r="J202" i="2"/>
  <c r="I202" i="2"/>
  <c r="H202" i="2"/>
  <c r="M201" i="2"/>
  <c r="L201" i="2"/>
  <c r="K201" i="2"/>
  <c r="J201" i="2"/>
  <c r="I201" i="2"/>
  <c r="H201" i="2"/>
  <c r="M200" i="2"/>
  <c r="L200" i="2"/>
  <c r="K200" i="2"/>
  <c r="J200" i="2"/>
  <c r="I200" i="2"/>
  <c r="H200" i="2"/>
  <c r="M199" i="2"/>
  <c r="L199" i="2"/>
  <c r="K199" i="2"/>
  <c r="J199" i="2"/>
  <c r="I199" i="2"/>
  <c r="H199" i="2"/>
  <c r="M198" i="2"/>
  <c r="L198" i="2"/>
  <c r="K198" i="2"/>
  <c r="J198" i="2"/>
  <c r="I198" i="2"/>
  <c r="H198" i="2"/>
  <c r="M197" i="2"/>
  <c r="L197" i="2"/>
  <c r="K197" i="2"/>
  <c r="J197" i="2"/>
  <c r="I197" i="2"/>
  <c r="H197" i="2"/>
  <c r="M196" i="2"/>
  <c r="L196" i="2"/>
  <c r="K196" i="2"/>
  <c r="J196" i="2"/>
  <c r="I196" i="2"/>
  <c r="H196" i="2"/>
  <c r="M195" i="2"/>
  <c r="L195" i="2"/>
  <c r="K195" i="2"/>
  <c r="J195" i="2"/>
  <c r="I195" i="2"/>
  <c r="H195" i="2"/>
  <c r="M194" i="2"/>
  <c r="L194" i="2"/>
  <c r="K194" i="2"/>
  <c r="J194" i="2"/>
  <c r="I194" i="2"/>
  <c r="H194" i="2"/>
  <c r="M193" i="2"/>
  <c r="L193" i="2"/>
  <c r="K193" i="2"/>
  <c r="J193" i="2"/>
  <c r="I193" i="2"/>
  <c r="H193" i="2"/>
  <c r="M192" i="2"/>
  <c r="L192" i="2"/>
  <c r="K192" i="2"/>
  <c r="J192" i="2"/>
  <c r="I192" i="2"/>
  <c r="H192" i="2"/>
  <c r="M191" i="2"/>
  <c r="L191" i="2"/>
  <c r="K191" i="2"/>
  <c r="J191" i="2"/>
  <c r="I191" i="2"/>
  <c r="H191" i="2"/>
  <c r="M190" i="2"/>
  <c r="L190" i="2"/>
  <c r="K190" i="2"/>
  <c r="J190" i="2"/>
  <c r="I190" i="2"/>
  <c r="H190" i="2"/>
  <c r="M189" i="2"/>
  <c r="L189" i="2"/>
  <c r="K189" i="2"/>
  <c r="J189" i="2"/>
  <c r="I189" i="2"/>
  <c r="H189" i="2"/>
  <c r="M188" i="2"/>
  <c r="L188" i="2"/>
  <c r="K188" i="2"/>
  <c r="J188" i="2"/>
  <c r="I188" i="2"/>
  <c r="H188" i="2"/>
  <c r="M187" i="2"/>
  <c r="L187" i="2"/>
  <c r="K187" i="2"/>
  <c r="J187" i="2"/>
  <c r="I187" i="2"/>
  <c r="H187" i="2"/>
  <c r="M186" i="2"/>
  <c r="L186" i="2"/>
  <c r="K186" i="2"/>
  <c r="J186" i="2"/>
  <c r="I186" i="2"/>
  <c r="H186" i="2"/>
  <c r="M185" i="2"/>
  <c r="L185" i="2"/>
  <c r="K185" i="2"/>
  <c r="J185" i="2"/>
  <c r="I185" i="2"/>
  <c r="H185" i="2"/>
  <c r="M184" i="2"/>
  <c r="L184" i="2"/>
  <c r="K184" i="2"/>
  <c r="J184" i="2"/>
  <c r="I184" i="2"/>
  <c r="H184" i="2"/>
  <c r="M183" i="2"/>
  <c r="L183" i="2"/>
  <c r="K183" i="2"/>
  <c r="J183" i="2"/>
  <c r="I183" i="2"/>
  <c r="H183" i="2"/>
  <c r="M182" i="2"/>
  <c r="L182" i="2"/>
  <c r="K182" i="2"/>
  <c r="J182" i="2"/>
  <c r="I182" i="2"/>
  <c r="H182" i="2"/>
  <c r="M181" i="2"/>
  <c r="L181" i="2"/>
  <c r="K181" i="2"/>
  <c r="J181" i="2"/>
  <c r="I181" i="2"/>
  <c r="H181" i="2"/>
  <c r="M180" i="2"/>
  <c r="L180" i="2"/>
  <c r="K180" i="2"/>
  <c r="J180" i="2"/>
  <c r="I180" i="2"/>
  <c r="H180" i="2"/>
  <c r="M179" i="2"/>
  <c r="L179" i="2"/>
  <c r="K179" i="2"/>
  <c r="J179" i="2"/>
  <c r="I179" i="2"/>
  <c r="H179" i="2"/>
  <c r="M178" i="2"/>
  <c r="L178" i="2"/>
  <c r="K178" i="2"/>
  <c r="J178" i="2"/>
  <c r="I178" i="2"/>
  <c r="H178" i="2"/>
  <c r="M177" i="2"/>
  <c r="L177" i="2"/>
  <c r="K177" i="2"/>
  <c r="J177" i="2"/>
  <c r="I177" i="2"/>
  <c r="H177" i="2"/>
  <c r="M176" i="2"/>
  <c r="L176" i="2"/>
  <c r="K176" i="2"/>
  <c r="J176" i="2"/>
  <c r="I176" i="2"/>
  <c r="H176" i="2"/>
  <c r="M175" i="2"/>
  <c r="L175" i="2"/>
  <c r="K175" i="2"/>
  <c r="J175" i="2"/>
  <c r="I175" i="2"/>
  <c r="H175" i="2"/>
  <c r="M174" i="2"/>
  <c r="L174" i="2"/>
  <c r="K174" i="2"/>
  <c r="J174" i="2"/>
  <c r="I174" i="2"/>
  <c r="H174" i="2"/>
  <c r="M173" i="2"/>
  <c r="L173" i="2"/>
  <c r="K173" i="2"/>
  <c r="J173" i="2"/>
  <c r="I173" i="2"/>
  <c r="H173" i="2"/>
  <c r="M172" i="2"/>
  <c r="L172" i="2"/>
  <c r="K172" i="2"/>
  <c r="J172" i="2"/>
  <c r="I172" i="2"/>
  <c r="H172" i="2"/>
  <c r="M171" i="2"/>
  <c r="L171" i="2"/>
  <c r="K171" i="2"/>
  <c r="J171" i="2"/>
  <c r="I171" i="2"/>
  <c r="H171" i="2"/>
  <c r="M170" i="2"/>
  <c r="L170" i="2"/>
  <c r="K170" i="2"/>
  <c r="J170" i="2"/>
  <c r="I170" i="2"/>
  <c r="H170" i="2"/>
  <c r="M169" i="2"/>
  <c r="L169" i="2"/>
  <c r="K169" i="2"/>
  <c r="J169" i="2"/>
  <c r="I169" i="2"/>
  <c r="H169" i="2"/>
  <c r="M168" i="2"/>
  <c r="L168" i="2"/>
  <c r="K168" i="2"/>
  <c r="J168" i="2"/>
  <c r="I168" i="2"/>
  <c r="H168" i="2"/>
  <c r="M167" i="2"/>
  <c r="L167" i="2"/>
  <c r="K167" i="2"/>
  <c r="J167" i="2"/>
  <c r="I167" i="2"/>
  <c r="H167" i="2"/>
  <c r="M166" i="2"/>
  <c r="L166" i="2"/>
  <c r="K166" i="2"/>
  <c r="J166" i="2"/>
  <c r="I166" i="2"/>
  <c r="H166" i="2"/>
  <c r="M165" i="2"/>
  <c r="L165" i="2"/>
  <c r="K165" i="2"/>
  <c r="J165" i="2"/>
  <c r="I165" i="2"/>
  <c r="H165" i="2"/>
  <c r="M164" i="2"/>
  <c r="L164" i="2"/>
  <c r="K164" i="2"/>
  <c r="J164" i="2"/>
  <c r="I164" i="2"/>
  <c r="H164" i="2"/>
  <c r="M163" i="2"/>
  <c r="L163" i="2"/>
  <c r="K163" i="2"/>
  <c r="J163" i="2"/>
  <c r="I163" i="2"/>
  <c r="H163" i="2"/>
  <c r="M162" i="2"/>
  <c r="L162" i="2"/>
  <c r="K162" i="2"/>
  <c r="J162" i="2"/>
  <c r="I162" i="2"/>
  <c r="H162" i="2"/>
  <c r="M161" i="2"/>
  <c r="L161" i="2"/>
  <c r="K161" i="2"/>
  <c r="J161" i="2"/>
  <c r="I161" i="2"/>
  <c r="H161" i="2"/>
  <c r="M160" i="2"/>
  <c r="L160" i="2"/>
  <c r="K160" i="2"/>
  <c r="J160" i="2"/>
  <c r="I160" i="2"/>
  <c r="H160" i="2"/>
  <c r="M159" i="2"/>
  <c r="L159" i="2"/>
  <c r="K159" i="2"/>
  <c r="J159" i="2"/>
  <c r="I159" i="2"/>
  <c r="H159" i="2"/>
  <c r="M158" i="2"/>
  <c r="L158" i="2"/>
  <c r="K158" i="2"/>
  <c r="J158" i="2"/>
  <c r="I158" i="2"/>
  <c r="H158" i="2"/>
  <c r="M157" i="2"/>
  <c r="L157" i="2"/>
  <c r="K157" i="2"/>
  <c r="J157" i="2"/>
  <c r="I157" i="2"/>
  <c r="H157" i="2"/>
  <c r="M156" i="2"/>
  <c r="L156" i="2"/>
  <c r="K156" i="2"/>
  <c r="J156" i="2"/>
  <c r="I156" i="2"/>
  <c r="H156" i="2"/>
  <c r="M155" i="2"/>
  <c r="L155" i="2"/>
  <c r="K155" i="2"/>
  <c r="J155" i="2"/>
  <c r="I155" i="2"/>
  <c r="H155" i="2"/>
  <c r="M154" i="2"/>
  <c r="L154" i="2"/>
  <c r="K154" i="2"/>
  <c r="J154" i="2"/>
  <c r="I154" i="2"/>
  <c r="H154" i="2"/>
  <c r="M153" i="2"/>
  <c r="L153" i="2"/>
  <c r="K153" i="2"/>
  <c r="J153" i="2"/>
  <c r="I153" i="2"/>
  <c r="H153" i="2"/>
  <c r="M152" i="2"/>
  <c r="L152" i="2"/>
  <c r="K152" i="2"/>
  <c r="J152" i="2"/>
  <c r="I152" i="2"/>
  <c r="H152" i="2"/>
  <c r="M151" i="2"/>
  <c r="L151" i="2"/>
  <c r="K151" i="2"/>
  <c r="J151" i="2"/>
  <c r="I151" i="2"/>
  <c r="H151" i="2"/>
  <c r="M150" i="2"/>
  <c r="L150" i="2"/>
  <c r="K150" i="2"/>
  <c r="J150" i="2"/>
  <c r="I150" i="2"/>
  <c r="H150" i="2"/>
  <c r="M149" i="2"/>
  <c r="L149" i="2"/>
  <c r="K149" i="2"/>
  <c r="J149" i="2"/>
  <c r="I149" i="2"/>
  <c r="H149" i="2"/>
  <c r="M148" i="2"/>
  <c r="L148" i="2"/>
  <c r="K148" i="2"/>
  <c r="J148" i="2"/>
  <c r="I148" i="2"/>
  <c r="H148" i="2"/>
  <c r="M147" i="2"/>
  <c r="L147" i="2"/>
  <c r="K147" i="2"/>
  <c r="J147" i="2"/>
  <c r="I147" i="2"/>
  <c r="H147" i="2"/>
  <c r="M146" i="2"/>
  <c r="L146" i="2"/>
  <c r="K146" i="2"/>
  <c r="J146" i="2"/>
  <c r="I146" i="2"/>
  <c r="H146" i="2"/>
  <c r="M145" i="2"/>
  <c r="L145" i="2"/>
  <c r="K145" i="2"/>
  <c r="J145" i="2"/>
  <c r="I145" i="2"/>
  <c r="H145" i="2"/>
  <c r="M144" i="2"/>
  <c r="L144" i="2"/>
  <c r="K144" i="2"/>
  <c r="J144" i="2"/>
  <c r="I144" i="2"/>
  <c r="H144" i="2"/>
  <c r="M143" i="2"/>
  <c r="L143" i="2"/>
  <c r="K143" i="2"/>
  <c r="J143" i="2"/>
  <c r="I143" i="2"/>
  <c r="H143" i="2"/>
  <c r="M142" i="2"/>
  <c r="L142" i="2"/>
  <c r="K142" i="2"/>
  <c r="J142" i="2"/>
  <c r="I142" i="2"/>
  <c r="H142" i="2"/>
  <c r="M141" i="2"/>
  <c r="L141" i="2"/>
  <c r="K141" i="2"/>
  <c r="J141" i="2"/>
  <c r="I141" i="2"/>
  <c r="H141" i="2"/>
  <c r="M140" i="2"/>
  <c r="L140" i="2"/>
  <c r="K140" i="2"/>
  <c r="J140" i="2"/>
  <c r="I140" i="2"/>
  <c r="H140" i="2"/>
  <c r="M139" i="2"/>
  <c r="L139" i="2"/>
  <c r="K139" i="2"/>
  <c r="J139" i="2"/>
  <c r="I139" i="2"/>
  <c r="H139" i="2"/>
  <c r="M138" i="2"/>
  <c r="L138" i="2"/>
  <c r="K138" i="2"/>
  <c r="J138" i="2"/>
  <c r="I138" i="2"/>
  <c r="H138" i="2"/>
  <c r="M137" i="2"/>
  <c r="L137" i="2"/>
  <c r="K137" i="2"/>
  <c r="J137" i="2"/>
  <c r="I137" i="2"/>
  <c r="H137" i="2"/>
  <c r="M136" i="2"/>
  <c r="L136" i="2"/>
  <c r="K136" i="2"/>
  <c r="J136" i="2"/>
  <c r="I136" i="2"/>
  <c r="H136" i="2"/>
  <c r="M135" i="2"/>
  <c r="L135" i="2"/>
  <c r="K135" i="2"/>
  <c r="J135" i="2"/>
  <c r="I135" i="2"/>
  <c r="H135" i="2"/>
  <c r="M134" i="2"/>
  <c r="L134" i="2"/>
  <c r="K134" i="2"/>
  <c r="J134" i="2"/>
  <c r="I134" i="2"/>
  <c r="H134" i="2"/>
  <c r="M133" i="2"/>
  <c r="L133" i="2"/>
  <c r="K133" i="2"/>
  <c r="J133" i="2"/>
  <c r="I133" i="2"/>
  <c r="H133" i="2"/>
  <c r="M132" i="2"/>
  <c r="L132" i="2"/>
  <c r="K132" i="2"/>
  <c r="J132" i="2"/>
  <c r="I132" i="2"/>
  <c r="H132" i="2"/>
  <c r="M131" i="2"/>
  <c r="L131" i="2"/>
  <c r="K131" i="2"/>
  <c r="J131" i="2"/>
  <c r="I131" i="2"/>
  <c r="H131" i="2"/>
  <c r="M130" i="2"/>
  <c r="L130" i="2"/>
  <c r="K130" i="2"/>
  <c r="J130" i="2"/>
  <c r="I130" i="2"/>
  <c r="H130" i="2"/>
  <c r="M129" i="2"/>
  <c r="L129" i="2"/>
  <c r="K129" i="2"/>
  <c r="J129" i="2"/>
  <c r="I129" i="2"/>
  <c r="H129" i="2"/>
  <c r="M128" i="2"/>
  <c r="L128" i="2"/>
  <c r="K128" i="2"/>
  <c r="J128" i="2"/>
  <c r="I128" i="2"/>
  <c r="H128" i="2"/>
  <c r="M127" i="2"/>
  <c r="L127" i="2"/>
  <c r="K127" i="2"/>
  <c r="J127" i="2"/>
  <c r="I127" i="2"/>
  <c r="H127" i="2"/>
  <c r="M126" i="2"/>
  <c r="L126" i="2"/>
  <c r="K126" i="2"/>
  <c r="J126" i="2"/>
  <c r="I126" i="2"/>
  <c r="H126" i="2"/>
  <c r="M125" i="2"/>
  <c r="L125" i="2"/>
  <c r="K125" i="2"/>
  <c r="J125" i="2"/>
  <c r="I125" i="2"/>
  <c r="H125" i="2"/>
  <c r="M124" i="2"/>
  <c r="L124" i="2"/>
  <c r="K124" i="2"/>
  <c r="J124" i="2"/>
  <c r="I124" i="2"/>
  <c r="H124" i="2"/>
  <c r="M123" i="2"/>
  <c r="L123" i="2"/>
  <c r="K123" i="2"/>
  <c r="J123" i="2"/>
  <c r="I123" i="2"/>
  <c r="H123" i="2"/>
  <c r="M122" i="2"/>
  <c r="L122" i="2"/>
  <c r="K122" i="2"/>
  <c r="J122" i="2"/>
  <c r="I122" i="2"/>
  <c r="H122" i="2"/>
  <c r="M121" i="2"/>
  <c r="L121" i="2"/>
  <c r="K121" i="2"/>
  <c r="J121" i="2"/>
  <c r="I121" i="2"/>
  <c r="H121" i="2"/>
  <c r="M120" i="2"/>
  <c r="L120" i="2"/>
  <c r="K120" i="2"/>
  <c r="J120" i="2"/>
  <c r="I120" i="2"/>
  <c r="H120" i="2"/>
  <c r="M119" i="2"/>
  <c r="L119" i="2"/>
  <c r="K119" i="2"/>
  <c r="J119" i="2"/>
  <c r="I119" i="2"/>
  <c r="H119" i="2"/>
  <c r="M118" i="2"/>
  <c r="L118" i="2"/>
  <c r="K118" i="2"/>
  <c r="J118" i="2"/>
  <c r="I118" i="2"/>
  <c r="H118" i="2"/>
  <c r="M117" i="2"/>
  <c r="L117" i="2"/>
  <c r="K117" i="2"/>
  <c r="J117" i="2"/>
  <c r="I117" i="2"/>
  <c r="H117" i="2"/>
  <c r="M116" i="2"/>
  <c r="L116" i="2"/>
  <c r="K116" i="2"/>
  <c r="J116" i="2"/>
  <c r="I116" i="2"/>
  <c r="H116" i="2"/>
  <c r="M115" i="2"/>
  <c r="L115" i="2"/>
  <c r="K115" i="2"/>
  <c r="J115" i="2"/>
  <c r="I115" i="2"/>
  <c r="H115" i="2"/>
  <c r="M114" i="2"/>
  <c r="L114" i="2"/>
  <c r="K114" i="2"/>
  <c r="J114" i="2"/>
  <c r="I114" i="2"/>
  <c r="H114" i="2"/>
  <c r="M113" i="2"/>
  <c r="L113" i="2"/>
  <c r="K113" i="2"/>
  <c r="J113" i="2"/>
  <c r="I113" i="2"/>
  <c r="H113" i="2"/>
  <c r="M112" i="2"/>
  <c r="L112" i="2"/>
  <c r="K112" i="2"/>
  <c r="J112" i="2"/>
  <c r="I112" i="2"/>
  <c r="H112" i="2"/>
  <c r="M111" i="2"/>
  <c r="L111" i="2"/>
  <c r="K111" i="2"/>
  <c r="J111" i="2"/>
  <c r="I111" i="2"/>
  <c r="H111" i="2"/>
  <c r="M110" i="2"/>
  <c r="L110" i="2"/>
  <c r="K110" i="2"/>
  <c r="J110" i="2"/>
  <c r="I110" i="2"/>
  <c r="H110" i="2"/>
  <c r="M109" i="2"/>
  <c r="L109" i="2"/>
  <c r="K109" i="2"/>
  <c r="J109" i="2"/>
  <c r="I109" i="2"/>
  <c r="H109" i="2"/>
  <c r="M108" i="2"/>
  <c r="L108" i="2"/>
  <c r="K108" i="2"/>
  <c r="J108" i="2"/>
  <c r="I108" i="2"/>
  <c r="H108" i="2"/>
  <c r="M107" i="2"/>
  <c r="L107" i="2"/>
  <c r="K107" i="2"/>
  <c r="J107" i="2"/>
  <c r="I107" i="2"/>
  <c r="H107" i="2"/>
  <c r="M106" i="2"/>
  <c r="L106" i="2"/>
  <c r="K106" i="2"/>
  <c r="J106" i="2"/>
  <c r="I106" i="2"/>
  <c r="H106" i="2"/>
  <c r="M105" i="2"/>
  <c r="L105" i="2"/>
  <c r="K105" i="2"/>
  <c r="J105" i="2"/>
  <c r="I105" i="2"/>
  <c r="H105" i="2"/>
  <c r="M104" i="2"/>
  <c r="L104" i="2"/>
  <c r="K104" i="2"/>
  <c r="J104" i="2"/>
  <c r="I104" i="2"/>
  <c r="H104" i="2"/>
  <c r="M103" i="2"/>
  <c r="L103" i="2"/>
  <c r="K103" i="2"/>
  <c r="J103" i="2"/>
  <c r="I103" i="2"/>
  <c r="H103" i="2"/>
  <c r="M102" i="2"/>
  <c r="L102" i="2"/>
  <c r="K102" i="2"/>
  <c r="J102" i="2"/>
  <c r="I102" i="2"/>
  <c r="H102" i="2"/>
  <c r="M101" i="2"/>
  <c r="L101" i="2"/>
  <c r="K101" i="2"/>
  <c r="J101" i="2"/>
  <c r="I101" i="2"/>
  <c r="H101" i="2"/>
  <c r="M100" i="2"/>
  <c r="L100" i="2"/>
  <c r="K100" i="2"/>
  <c r="J100" i="2"/>
  <c r="I100" i="2"/>
  <c r="H100" i="2"/>
  <c r="M99" i="2"/>
  <c r="L99" i="2"/>
  <c r="K99" i="2"/>
  <c r="J99" i="2"/>
  <c r="I99" i="2"/>
  <c r="H99" i="2"/>
  <c r="M98" i="2"/>
  <c r="L98" i="2"/>
  <c r="K98" i="2"/>
  <c r="J98" i="2"/>
  <c r="I98" i="2"/>
  <c r="H98" i="2"/>
  <c r="M97" i="2"/>
  <c r="L97" i="2"/>
  <c r="K97" i="2"/>
  <c r="J97" i="2"/>
  <c r="I97" i="2"/>
  <c r="H97" i="2"/>
  <c r="M96" i="2"/>
  <c r="L96" i="2"/>
  <c r="K96" i="2"/>
  <c r="J96" i="2"/>
  <c r="I96" i="2"/>
  <c r="H96" i="2"/>
  <c r="M95" i="2"/>
  <c r="L95" i="2"/>
  <c r="K95" i="2"/>
  <c r="J95" i="2"/>
  <c r="I95" i="2"/>
  <c r="H95" i="2"/>
  <c r="M94" i="2"/>
  <c r="L94" i="2"/>
  <c r="K94" i="2"/>
  <c r="J94" i="2"/>
  <c r="I94" i="2"/>
  <c r="H94" i="2"/>
  <c r="M93" i="2"/>
  <c r="L93" i="2"/>
  <c r="K93" i="2"/>
  <c r="J93" i="2"/>
  <c r="I93" i="2"/>
  <c r="H93" i="2"/>
  <c r="M92" i="2"/>
  <c r="L92" i="2"/>
  <c r="K92" i="2"/>
  <c r="J92" i="2"/>
  <c r="I92" i="2"/>
  <c r="H92" i="2"/>
  <c r="M91" i="2"/>
  <c r="L91" i="2"/>
  <c r="K91" i="2"/>
  <c r="J91" i="2"/>
  <c r="I91" i="2"/>
  <c r="H91" i="2"/>
  <c r="M90" i="2"/>
  <c r="L90" i="2"/>
  <c r="K90" i="2"/>
  <c r="J90" i="2"/>
  <c r="I90" i="2"/>
  <c r="H90" i="2"/>
  <c r="M89" i="2"/>
  <c r="L89" i="2"/>
  <c r="K89" i="2"/>
  <c r="J89" i="2"/>
  <c r="I89" i="2"/>
  <c r="H89" i="2"/>
  <c r="M88" i="2"/>
  <c r="L88" i="2"/>
  <c r="K88" i="2"/>
  <c r="J88" i="2"/>
  <c r="I88" i="2"/>
  <c r="H88" i="2"/>
  <c r="M87" i="2"/>
  <c r="L87" i="2"/>
  <c r="K87" i="2"/>
  <c r="J87" i="2"/>
  <c r="I87" i="2"/>
  <c r="H87" i="2"/>
  <c r="M86" i="2"/>
  <c r="L86" i="2"/>
  <c r="K86" i="2"/>
  <c r="J86" i="2"/>
  <c r="I86" i="2"/>
  <c r="H86" i="2"/>
  <c r="M85" i="2"/>
  <c r="L85" i="2"/>
  <c r="K85" i="2"/>
  <c r="J85" i="2"/>
  <c r="I85" i="2"/>
  <c r="H85" i="2"/>
  <c r="M84" i="2"/>
  <c r="L84" i="2"/>
  <c r="K84" i="2"/>
  <c r="J84" i="2"/>
  <c r="I84" i="2"/>
  <c r="H84" i="2"/>
  <c r="M83" i="2"/>
  <c r="L83" i="2"/>
  <c r="K83" i="2"/>
  <c r="J83" i="2"/>
  <c r="I83" i="2"/>
  <c r="H83" i="2"/>
  <c r="M82" i="2"/>
  <c r="L82" i="2"/>
  <c r="K82" i="2"/>
  <c r="J82" i="2"/>
  <c r="I82" i="2"/>
  <c r="H82" i="2"/>
  <c r="M81" i="2"/>
  <c r="L81" i="2"/>
  <c r="K81" i="2"/>
  <c r="J81" i="2"/>
  <c r="I81" i="2"/>
  <c r="H81" i="2"/>
  <c r="M80" i="2"/>
  <c r="L80" i="2"/>
  <c r="K80" i="2"/>
  <c r="J80" i="2"/>
  <c r="I80" i="2"/>
  <c r="H80" i="2"/>
  <c r="M79" i="2"/>
  <c r="L79" i="2"/>
  <c r="K79" i="2"/>
  <c r="J79" i="2"/>
  <c r="I79" i="2"/>
  <c r="H79" i="2"/>
  <c r="M78" i="2"/>
  <c r="L78" i="2"/>
  <c r="K78" i="2"/>
  <c r="J78" i="2"/>
  <c r="I78" i="2"/>
  <c r="H78" i="2"/>
  <c r="M77" i="2"/>
  <c r="L77" i="2"/>
  <c r="K77" i="2"/>
  <c r="J77" i="2"/>
  <c r="I77" i="2"/>
  <c r="H77" i="2"/>
  <c r="M76" i="2"/>
  <c r="L76" i="2"/>
  <c r="K76" i="2"/>
  <c r="J76" i="2"/>
  <c r="I76" i="2"/>
  <c r="H76" i="2"/>
  <c r="M75" i="2"/>
  <c r="L75" i="2"/>
  <c r="K75" i="2"/>
  <c r="J75" i="2"/>
  <c r="I75" i="2"/>
  <c r="H75" i="2"/>
  <c r="M74" i="2"/>
  <c r="L74" i="2"/>
  <c r="K74" i="2"/>
  <c r="J74" i="2"/>
  <c r="I74" i="2"/>
  <c r="H74" i="2"/>
  <c r="M73" i="2"/>
  <c r="L73" i="2"/>
  <c r="K73" i="2"/>
  <c r="J73" i="2"/>
  <c r="I73" i="2"/>
  <c r="H73" i="2"/>
  <c r="M72" i="2"/>
  <c r="L72" i="2"/>
  <c r="K72" i="2"/>
  <c r="J72" i="2"/>
  <c r="I72" i="2"/>
  <c r="H72" i="2"/>
  <c r="M71" i="2"/>
  <c r="L71" i="2"/>
  <c r="K71" i="2"/>
  <c r="J71" i="2"/>
  <c r="I71" i="2"/>
  <c r="H71" i="2"/>
  <c r="M70" i="2"/>
  <c r="L70" i="2"/>
  <c r="K70" i="2"/>
  <c r="J70" i="2"/>
  <c r="I70" i="2"/>
  <c r="H70" i="2"/>
  <c r="M69" i="2"/>
  <c r="L69" i="2"/>
  <c r="K69" i="2"/>
  <c r="J69" i="2"/>
  <c r="I69" i="2"/>
  <c r="H69" i="2"/>
  <c r="M68" i="2"/>
  <c r="L68" i="2"/>
  <c r="K68" i="2"/>
  <c r="J68" i="2"/>
  <c r="I68" i="2"/>
  <c r="H68" i="2"/>
  <c r="M67" i="2"/>
  <c r="L67" i="2"/>
  <c r="K67" i="2"/>
  <c r="J67" i="2"/>
  <c r="I67" i="2"/>
  <c r="H67" i="2"/>
  <c r="M66" i="2"/>
  <c r="L66" i="2"/>
  <c r="K66" i="2"/>
  <c r="J66" i="2"/>
  <c r="I66" i="2"/>
  <c r="H66" i="2"/>
  <c r="M65" i="2"/>
  <c r="L65" i="2"/>
  <c r="K65" i="2"/>
  <c r="J65" i="2"/>
  <c r="I65" i="2"/>
  <c r="H65" i="2"/>
  <c r="M64" i="2"/>
  <c r="L64" i="2"/>
  <c r="K64" i="2"/>
  <c r="J64" i="2"/>
  <c r="I64" i="2"/>
  <c r="H64" i="2"/>
  <c r="M63" i="2"/>
  <c r="L63" i="2"/>
  <c r="K63" i="2"/>
  <c r="J63" i="2"/>
  <c r="I63" i="2"/>
  <c r="H63" i="2"/>
  <c r="M62" i="2"/>
  <c r="L62" i="2"/>
  <c r="K62" i="2"/>
  <c r="J62" i="2"/>
  <c r="I62" i="2"/>
  <c r="H62" i="2"/>
  <c r="M61" i="2"/>
  <c r="L61" i="2"/>
  <c r="K61" i="2"/>
  <c r="J61" i="2"/>
  <c r="I61" i="2"/>
  <c r="H61" i="2"/>
  <c r="M60" i="2"/>
  <c r="L60" i="2"/>
  <c r="K60" i="2"/>
  <c r="J60" i="2"/>
  <c r="I60" i="2"/>
  <c r="H60" i="2"/>
  <c r="M59" i="2"/>
  <c r="L59" i="2"/>
  <c r="K59" i="2"/>
  <c r="J59" i="2"/>
  <c r="I59" i="2"/>
  <c r="H59" i="2"/>
  <c r="M58" i="2"/>
  <c r="L58" i="2"/>
  <c r="K58" i="2"/>
  <c r="J58" i="2"/>
  <c r="I58" i="2"/>
  <c r="H58" i="2"/>
  <c r="M57" i="2"/>
  <c r="L57" i="2"/>
  <c r="K57" i="2"/>
  <c r="J57" i="2"/>
  <c r="I57" i="2"/>
  <c r="H57" i="2"/>
  <c r="M56" i="2"/>
  <c r="L56" i="2"/>
  <c r="K56" i="2"/>
  <c r="J56" i="2"/>
  <c r="I56" i="2"/>
  <c r="H56" i="2"/>
  <c r="M55" i="2"/>
  <c r="L55" i="2"/>
  <c r="K55" i="2"/>
  <c r="J55" i="2"/>
  <c r="I55" i="2"/>
  <c r="H55" i="2"/>
  <c r="M54" i="2"/>
  <c r="L54" i="2"/>
  <c r="K54" i="2"/>
  <c r="J54" i="2"/>
  <c r="I54" i="2"/>
  <c r="H54" i="2"/>
  <c r="M53" i="2"/>
  <c r="L53" i="2"/>
  <c r="K53" i="2"/>
  <c r="J53" i="2"/>
  <c r="I53" i="2"/>
  <c r="H53" i="2"/>
  <c r="M52" i="2"/>
  <c r="L52" i="2"/>
  <c r="K52" i="2"/>
  <c r="J52" i="2"/>
  <c r="I52" i="2"/>
  <c r="H52" i="2"/>
  <c r="M51" i="2"/>
  <c r="L51" i="2"/>
  <c r="K51" i="2"/>
  <c r="J51" i="2"/>
  <c r="I51" i="2"/>
  <c r="H51" i="2"/>
  <c r="M50" i="2"/>
  <c r="L50" i="2"/>
  <c r="K50" i="2"/>
  <c r="J50" i="2"/>
  <c r="I50" i="2"/>
  <c r="H50" i="2"/>
  <c r="M49" i="2"/>
  <c r="L49" i="2"/>
  <c r="K49" i="2"/>
  <c r="J49" i="2"/>
  <c r="I49" i="2"/>
  <c r="H49" i="2"/>
  <c r="M48" i="2"/>
  <c r="L48" i="2"/>
  <c r="K48" i="2"/>
  <c r="J48" i="2"/>
  <c r="I48" i="2"/>
  <c r="H48" i="2"/>
  <c r="M47" i="2"/>
  <c r="L47" i="2"/>
  <c r="K47" i="2"/>
  <c r="J47" i="2"/>
  <c r="I47" i="2"/>
  <c r="H47" i="2"/>
  <c r="M46" i="2"/>
  <c r="L46" i="2"/>
  <c r="K46" i="2"/>
  <c r="J46" i="2"/>
  <c r="I46" i="2"/>
  <c r="H46" i="2"/>
  <c r="M45" i="2"/>
  <c r="L45" i="2"/>
  <c r="K45" i="2"/>
  <c r="J45" i="2"/>
  <c r="I45" i="2"/>
  <c r="H45" i="2"/>
  <c r="M44" i="2"/>
  <c r="L44" i="2"/>
  <c r="K44" i="2"/>
  <c r="J44" i="2"/>
  <c r="I44" i="2"/>
  <c r="H44" i="2"/>
  <c r="M43" i="2"/>
  <c r="L43" i="2"/>
  <c r="K43" i="2"/>
  <c r="J43" i="2"/>
  <c r="I43" i="2"/>
  <c r="H43" i="2"/>
  <c r="M42" i="2"/>
  <c r="L42" i="2"/>
  <c r="K42" i="2"/>
  <c r="J42" i="2"/>
  <c r="I42" i="2"/>
  <c r="H42" i="2"/>
  <c r="M41" i="2"/>
  <c r="L41" i="2"/>
  <c r="K41" i="2"/>
  <c r="J41" i="2"/>
  <c r="I41" i="2"/>
  <c r="H41" i="2"/>
  <c r="M40" i="2"/>
  <c r="L40" i="2"/>
  <c r="K40" i="2"/>
  <c r="J40" i="2"/>
  <c r="I40" i="2"/>
  <c r="H40" i="2"/>
  <c r="M39" i="2"/>
  <c r="L39" i="2"/>
  <c r="K39" i="2"/>
  <c r="J39" i="2"/>
  <c r="I39" i="2"/>
  <c r="H39" i="2"/>
  <c r="M38" i="2"/>
  <c r="L38" i="2"/>
  <c r="K38" i="2"/>
  <c r="J38" i="2"/>
  <c r="I38" i="2"/>
  <c r="H38" i="2"/>
  <c r="M37" i="2"/>
  <c r="L37" i="2"/>
  <c r="K37" i="2"/>
  <c r="J37" i="2"/>
  <c r="I37" i="2"/>
  <c r="H37" i="2"/>
  <c r="M36" i="2"/>
  <c r="L36" i="2"/>
  <c r="K36" i="2"/>
  <c r="J36" i="2"/>
  <c r="I36" i="2"/>
  <c r="H36" i="2"/>
  <c r="M35" i="2"/>
  <c r="L35" i="2"/>
  <c r="K35" i="2"/>
  <c r="J35" i="2"/>
  <c r="I35" i="2"/>
  <c r="H35" i="2"/>
  <c r="M34" i="2"/>
  <c r="L34" i="2"/>
  <c r="K34" i="2"/>
  <c r="J34" i="2"/>
  <c r="I34" i="2"/>
  <c r="H34" i="2"/>
  <c r="M33" i="2"/>
  <c r="L33" i="2"/>
  <c r="K33" i="2"/>
  <c r="J33" i="2"/>
  <c r="I33" i="2"/>
  <c r="H33" i="2"/>
  <c r="M32" i="2"/>
  <c r="L32" i="2"/>
  <c r="K32" i="2"/>
  <c r="J32" i="2"/>
  <c r="I32" i="2"/>
  <c r="H32" i="2"/>
  <c r="M31" i="2"/>
  <c r="L31" i="2"/>
  <c r="K31" i="2"/>
  <c r="J31" i="2"/>
  <c r="I31" i="2"/>
  <c r="H31" i="2"/>
  <c r="M30" i="2"/>
  <c r="L30" i="2"/>
  <c r="K30" i="2"/>
  <c r="J30" i="2"/>
  <c r="I30" i="2"/>
  <c r="H30" i="2"/>
  <c r="M29" i="2"/>
  <c r="L29" i="2"/>
  <c r="K29" i="2"/>
  <c r="J29" i="2"/>
  <c r="I29" i="2"/>
  <c r="H29" i="2"/>
  <c r="M28" i="2"/>
  <c r="L28" i="2"/>
  <c r="K28" i="2"/>
  <c r="J28" i="2"/>
  <c r="I28" i="2"/>
  <c r="H28" i="2"/>
  <c r="M27" i="2"/>
  <c r="L27" i="2"/>
  <c r="K27" i="2"/>
  <c r="J27" i="2"/>
  <c r="I27" i="2"/>
  <c r="H27" i="2"/>
  <c r="M26" i="2"/>
  <c r="L26" i="2"/>
  <c r="K26" i="2"/>
  <c r="J26" i="2"/>
  <c r="I26" i="2"/>
  <c r="H26" i="2"/>
  <c r="M25" i="2"/>
  <c r="L25" i="2"/>
  <c r="K25" i="2"/>
  <c r="J25" i="2"/>
  <c r="I25" i="2"/>
  <c r="H25" i="2"/>
  <c r="M24" i="2"/>
  <c r="L24" i="2"/>
  <c r="K24" i="2"/>
  <c r="J24" i="2"/>
  <c r="I24" i="2"/>
  <c r="H24" i="2"/>
  <c r="M23" i="2"/>
  <c r="L23" i="2"/>
  <c r="K23" i="2"/>
  <c r="J23" i="2"/>
  <c r="I23" i="2"/>
  <c r="H23" i="2"/>
  <c r="M22" i="2"/>
  <c r="L22" i="2"/>
  <c r="K22" i="2"/>
  <c r="J22" i="2"/>
  <c r="I22" i="2"/>
  <c r="H22" i="2"/>
  <c r="M21" i="2"/>
  <c r="L21" i="2"/>
  <c r="K21" i="2"/>
  <c r="J21" i="2"/>
  <c r="I21" i="2"/>
  <c r="H21" i="2"/>
  <c r="M20" i="2"/>
  <c r="L20" i="2"/>
  <c r="K20" i="2"/>
  <c r="J20" i="2"/>
  <c r="I20" i="2"/>
  <c r="H20" i="2"/>
  <c r="M19" i="2"/>
  <c r="L19" i="2"/>
  <c r="K19" i="2"/>
  <c r="J19" i="2"/>
  <c r="I19" i="2"/>
  <c r="H19" i="2"/>
  <c r="M18" i="2"/>
  <c r="L18" i="2"/>
  <c r="K18" i="2"/>
  <c r="J18" i="2"/>
  <c r="I18" i="2"/>
  <c r="H18" i="2"/>
  <c r="M17" i="2"/>
  <c r="L17" i="2"/>
  <c r="K17" i="2"/>
  <c r="J17" i="2"/>
  <c r="I17" i="2"/>
  <c r="H17" i="2"/>
  <c r="M16" i="2"/>
  <c r="L16" i="2"/>
  <c r="K16" i="2"/>
  <c r="J16" i="2"/>
  <c r="I16" i="2"/>
  <c r="H16" i="2"/>
  <c r="M15" i="2"/>
  <c r="L15" i="2"/>
  <c r="K15" i="2"/>
  <c r="J15" i="2"/>
  <c r="I15" i="2"/>
  <c r="H15" i="2"/>
  <c r="M14" i="2"/>
  <c r="L14" i="2"/>
  <c r="K14" i="2"/>
  <c r="J14" i="2"/>
  <c r="I14" i="2"/>
  <c r="H14" i="2"/>
  <c r="M13" i="2"/>
  <c r="L13" i="2"/>
  <c r="K13" i="2"/>
  <c r="J13" i="2"/>
  <c r="I13" i="2"/>
  <c r="H13" i="2"/>
  <c r="M12" i="2"/>
  <c r="L12" i="2"/>
  <c r="K12" i="2"/>
  <c r="J12" i="2"/>
  <c r="I12" i="2"/>
  <c r="H12" i="2"/>
  <c r="M11" i="2"/>
  <c r="L11" i="2"/>
  <c r="K11" i="2"/>
  <c r="J11" i="2"/>
  <c r="I11" i="2"/>
  <c r="H11" i="2"/>
  <c r="M10" i="2"/>
  <c r="L10" i="2"/>
  <c r="K10" i="2"/>
  <c r="J10" i="2"/>
  <c r="I10" i="2"/>
  <c r="H10" i="2"/>
  <c r="M9" i="2"/>
  <c r="L9" i="2"/>
  <c r="K9" i="2"/>
  <c r="J9" i="2"/>
  <c r="I9" i="2"/>
  <c r="H9" i="2"/>
  <c r="M8" i="2"/>
  <c r="L8" i="2"/>
  <c r="K8" i="2"/>
  <c r="J8" i="2"/>
  <c r="I8" i="2"/>
  <c r="H8" i="2"/>
  <c r="M7" i="2"/>
  <c r="L7" i="2"/>
  <c r="K7" i="2"/>
  <c r="J7" i="2"/>
  <c r="I7" i="2"/>
  <c r="H7" i="2"/>
  <c r="M6" i="2"/>
  <c r="L6" i="2"/>
  <c r="K6" i="2"/>
  <c r="J6" i="2"/>
  <c r="I6" i="2"/>
  <c r="H6" i="2"/>
  <c r="M5" i="2"/>
  <c r="L5" i="2"/>
  <c r="K5" i="2"/>
  <c r="J5" i="2"/>
  <c r="I5" i="2"/>
  <c r="H5" i="2"/>
  <c r="M4" i="2"/>
  <c r="L4" i="2"/>
  <c r="K4" i="2"/>
  <c r="J4" i="2"/>
  <c r="I4" i="2"/>
  <c r="H4" i="2"/>
  <c r="M3" i="2"/>
  <c r="L3" i="2"/>
  <c r="K3" i="2"/>
  <c r="J3" i="2"/>
  <c r="I3" i="2"/>
  <c r="H3" i="2"/>
  <c r="M2" i="2"/>
  <c r="L2" i="2"/>
  <c r="K2" i="2"/>
  <c r="J2" i="2"/>
  <c r="I2" i="2"/>
  <c r="H2" i="2"/>
  <c r="C303" i="17"/>
  <c r="B303" i="17"/>
  <c r="A303" i="17"/>
  <c r="D303" i="17" s="1"/>
  <c r="C302" i="17"/>
  <c r="B302" i="17"/>
  <c r="A302" i="17"/>
  <c r="D302" i="17" s="1"/>
  <c r="C301" i="17"/>
  <c r="B301" i="17"/>
  <c r="A301" i="17"/>
  <c r="D301" i="17" s="1"/>
  <c r="C300" i="17"/>
  <c r="B300" i="17"/>
  <c r="A300" i="17"/>
  <c r="D300" i="17" s="1"/>
  <c r="C299" i="17"/>
  <c r="B299" i="17"/>
  <c r="A299" i="17"/>
  <c r="D299" i="17" s="1"/>
  <c r="C298" i="17"/>
  <c r="B298" i="17"/>
  <c r="A298" i="17"/>
  <c r="D298" i="17" s="1"/>
  <c r="C297" i="17"/>
  <c r="B297" i="17"/>
  <c r="A297" i="17"/>
  <c r="D297" i="17" s="1"/>
  <c r="C296" i="17"/>
  <c r="B296" i="17"/>
  <c r="A296" i="17"/>
  <c r="D296" i="17" s="1"/>
  <c r="C295" i="17"/>
  <c r="B295" i="17"/>
  <c r="A295" i="17"/>
  <c r="D295" i="17" s="1"/>
  <c r="C294" i="17"/>
  <c r="B294" i="17"/>
  <c r="A294" i="17"/>
  <c r="D294" i="17" s="1"/>
  <c r="C293" i="17"/>
  <c r="B293" i="17"/>
  <c r="A293" i="17"/>
  <c r="D293" i="17" s="1"/>
  <c r="C292" i="17"/>
  <c r="B292" i="17"/>
  <c r="A292" i="17"/>
  <c r="D292" i="17" s="1"/>
  <c r="C291" i="17"/>
  <c r="B291" i="17"/>
  <c r="A291" i="17"/>
  <c r="D291" i="17" s="1"/>
  <c r="C290" i="17"/>
  <c r="B290" i="17"/>
  <c r="A290" i="17"/>
  <c r="D290" i="17" s="1"/>
  <c r="C289" i="17"/>
  <c r="B289" i="17"/>
  <c r="A289" i="17"/>
  <c r="D289" i="17" s="1"/>
  <c r="C288" i="17"/>
  <c r="B288" i="17"/>
  <c r="A288" i="17"/>
  <c r="D288" i="17" s="1"/>
  <c r="C287" i="17"/>
  <c r="B287" i="17"/>
  <c r="A287" i="17"/>
  <c r="D287" i="17" s="1"/>
  <c r="C286" i="17"/>
  <c r="B286" i="17"/>
  <c r="A286" i="17"/>
  <c r="D286" i="17" s="1"/>
  <c r="C285" i="17"/>
  <c r="B285" i="17"/>
  <c r="A285" i="17"/>
  <c r="D285" i="17" s="1"/>
  <c r="C284" i="17"/>
  <c r="B284" i="17"/>
  <c r="A284" i="17"/>
  <c r="D284" i="17" s="1"/>
  <c r="C283" i="17"/>
  <c r="B283" i="17"/>
  <c r="A283" i="17"/>
  <c r="D283" i="17" s="1"/>
  <c r="C282" i="17"/>
  <c r="B282" i="17"/>
  <c r="A282" i="17"/>
  <c r="D282" i="17" s="1"/>
  <c r="C281" i="17"/>
  <c r="B281" i="17"/>
  <c r="A281" i="17"/>
  <c r="D281" i="17" s="1"/>
  <c r="C280" i="17"/>
  <c r="B280" i="17"/>
  <c r="A280" i="17"/>
  <c r="D280" i="17" s="1"/>
  <c r="C279" i="17"/>
  <c r="B279" i="17"/>
  <c r="A279" i="17"/>
  <c r="D279" i="17" s="1"/>
  <c r="C278" i="17"/>
  <c r="B278" i="17"/>
  <c r="A278" i="17"/>
  <c r="D278" i="17" s="1"/>
  <c r="C277" i="17"/>
  <c r="B277" i="17"/>
  <c r="A277" i="17"/>
  <c r="D277" i="17" s="1"/>
  <c r="C276" i="17"/>
  <c r="B276" i="17"/>
  <c r="A276" i="17"/>
  <c r="D276" i="17" s="1"/>
  <c r="C275" i="17"/>
  <c r="B275" i="17"/>
  <c r="A275" i="17"/>
  <c r="D275" i="17" s="1"/>
  <c r="C274" i="17"/>
  <c r="B274" i="17"/>
  <c r="A274" i="17"/>
  <c r="D274" i="17" s="1"/>
  <c r="C273" i="17"/>
  <c r="B273" i="17"/>
  <c r="A273" i="17"/>
  <c r="D273" i="17" s="1"/>
  <c r="C272" i="17"/>
  <c r="B272" i="17"/>
  <c r="A272" i="17"/>
  <c r="D272" i="17" s="1"/>
  <c r="C271" i="17"/>
  <c r="B271" i="17"/>
  <c r="A271" i="17"/>
  <c r="D271" i="17" s="1"/>
  <c r="C270" i="17"/>
  <c r="B270" i="17"/>
  <c r="A270" i="17"/>
  <c r="D270" i="17" s="1"/>
  <c r="C269" i="17"/>
  <c r="B269" i="17"/>
  <c r="A269" i="17"/>
  <c r="D269" i="17" s="1"/>
  <c r="C268" i="17"/>
  <c r="B268" i="17"/>
  <c r="A268" i="17"/>
  <c r="D268" i="17" s="1"/>
  <c r="C267" i="17"/>
  <c r="B267" i="17"/>
  <c r="A267" i="17"/>
  <c r="D267" i="17" s="1"/>
  <c r="C266" i="17"/>
  <c r="B266" i="17"/>
  <c r="A266" i="17"/>
  <c r="D266" i="17" s="1"/>
  <c r="C265" i="17"/>
  <c r="B265" i="17"/>
  <c r="A265" i="17"/>
  <c r="D265" i="17" s="1"/>
  <c r="C264" i="17"/>
  <c r="B264" i="17"/>
  <c r="A264" i="17"/>
  <c r="D264" i="17" s="1"/>
  <c r="C263" i="17"/>
  <c r="B263" i="17"/>
  <c r="A263" i="17"/>
  <c r="D263" i="17" s="1"/>
  <c r="C262" i="17"/>
  <c r="B262" i="17"/>
  <c r="A262" i="17"/>
  <c r="D262" i="17" s="1"/>
  <c r="C261" i="17"/>
  <c r="B261" i="17"/>
  <c r="A261" i="17"/>
  <c r="D261" i="17" s="1"/>
  <c r="C260" i="17"/>
  <c r="B260" i="17"/>
  <c r="A260" i="17"/>
  <c r="D260" i="17" s="1"/>
  <c r="C259" i="17"/>
  <c r="B259" i="17"/>
  <c r="A259" i="17"/>
  <c r="D259" i="17" s="1"/>
  <c r="C258" i="17"/>
  <c r="B258" i="17"/>
  <c r="A258" i="17"/>
  <c r="D258" i="17" s="1"/>
  <c r="C257" i="17"/>
  <c r="B257" i="17"/>
  <c r="A257" i="17"/>
  <c r="D257" i="17" s="1"/>
  <c r="C256" i="17"/>
  <c r="B256" i="17"/>
  <c r="A256" i="17"/>
  <c r="D256" i="17" s="1"/>
  <c r="C255" i="17"/>
  <c r="B255" i="17"/>
  <c r="A255" i="17"/>
  <c r="D255" i="17" s="1"/>
  <c r="C254" i="17"/>
  <c r="B254" i="17"/>
  <c r="A254" i="17"/>
  <c r="D254" i="17" s="1"/>
  <c r="C253" i="17"/>
  <c r="B253" i="17"/>
  <c r="A253" i="17"/>
  <c r="D253" i="17" s="1"/>
  <c r="C252" i="17"/>
  <c r="B252" i="17"/>
  <c r="A252" i="17"/>
  <c r="D252" i="17" s="1"/>
  <c r="C251" i="17"/>
  <c r="B251" i="17"/>
  <c r="A251" i="17"/>
  <c r="D251" i="17" s="1"/>
  <c r="C250" i="17"/>
  <c r="B250" i="17"/>
  <c r="A250" i="17"/>
  <c r="D250" i="17" s="1"/>
  <c r="C249" i="17"/>
  <c r="B249" i="17"/>
  <c r="A249" i="17"/>
  <c r="D249" i="17" s="1"/>
  <c r="C248" i="17"/>
  <c r="B248" i="17"/>
  <c r="A248" i="17"/>
  <c r="D248" i="17" s="1"/>
  <c r="C247" i="17"/>
  <c r="B247" i="17"/>
  <c r="A247" i="17"/>
  <c r="D247" i="17" s="1"/>
  <c r="C246" i="17"/>
  <c r="B246" i="17"/>
  <c r="A246" i="17"/>
  <c r="D246" i="17" s="1"/>
  <c r="C245" i="17"/>
  <c r="B245" i="17"/>
  <c r="A245" i="17"/>
  <c r="D245" i="17" s="1"/>
  <c r="C244" i="17"/>
  <c r="B244" i="17"/>
  <c r="A244" i="17"/>
  <c r="D244" i="17" s="1"/>
  <c r="C243" i="17"/>
  <c r="B243" i="17"/>
  <c r="A243" i="17"/>
  <c r="D243" i="17" s="1"/>
  <c r="C242" i="17"/>
  <c r="B242" i="17"/>
  <c r="A242" i="17"/>
  <c r="D242" i="17" s="1"/>
  <c r="C241" i="17"/>
  <c r="B241" i="17"/>
  <c r="A241" i="17"/>
  <c r="D241" i="17" s="1"/>
  <c r="C240" i="17"/>
  <c r="B240" i="17"/>
  <c r="A240" i="17"/>
  <c r="D240" i="17" s="1"/>
  <c r="C239" i="17"/>
  <c r="B239" i="17"/>
  <c r="A239" i="17"/>
  <c r="D239" i="17" s="1"/>
  <c r="C238" i="17"/>
  <c r="B238" i="17"/>
  <c r="A238" i="17"/>
  <c r="D238" i="17" s="1"/>
  <c r="C237" i="17"/>
  <c r="B237" i="17"/>
  <c r="A237" i="17"/>
  <c r="D237" i="17" s="1"/>
  <c r="C236" i="17"/>
  <c r="B236" i="17"/>
  <c r="A236" i="17"/>
  <c r="D236" i="17" s="1"/>
  <c r="C235" i="17"/>
  <c r="B235" i="17"/>
  <c r="A235" i="17"/>
  <c r="D235" i="17" s="1"/>
  <c r="C234" i="17"/>
  <c r="B234" i="17"/>
  <c r="A234" i="17"/>
  <c r="D234" i="17" s="1"/>
  <c r="C233" i="17"/>
  <c r="B233" i="17"/>
  <c r="A233" i="17"/>
  <c r="D233" i="17" s="1"/>
  <c r="C232" i="17"/>
  <c r="B232" i="17"/>
  <c r="A232" i="17"/>
  <c r="D232" i="17" s="1"/>
  <c r="C231" i="17"/>
  <c r="B231" i="17"/>
  <c r="A231" i="17"/>
  <c r="D231" i="17" s="1"/>
  <c r="C230" i="17"/>
  <c r="B230" i="17"/>
  <c r="A230" i="17"/>
  <c r="D230" i="17" s="1"/>
  <c r="C229" i="17"/>
  <c r="B229" i="17"/>
  <c r="A229" i="17"/>
  <c r="D229" i="17" s="1"/>
  <c r="C228" i="17"/>
  <c r="B228" i="17"/>
  <c r="A228" i="17"/>
  <c r="D228" i="17" s="1"/>
  <c r="C227" i="17"/>
  <c r="B227" i="17"/>
  <c r="A227" i="17"/>
  <c r="D227" i="17" s="1"/>
  <c r="C226" i="17"/>
  <c r="B226" i="17"/>
  <c r="A226" i="17"/>
  <c r="D226" i="17" s="1"/>
  <c r="C225" i="17"/>
  <c r="B225" i="17"/>
  <c r="A225" i="17"/>
  <c r="D225" i="17" s="1"/>
  <c r="C224" i="17"/>
  <c r="B224" i="17"/>
  <c r="A224" i="17"/>
  <c r="D224" i="17" s="1"/>
  <c r="C223" i="17"/>
  <c r="B223" i="17"/>
  <c r="A223" i="17"/>
  <c r="D223" i="17" s="1"/>
  <c r="C222" i="17"/>
  <c r="B222" i="17"/>
  <c r="A222" i="17"/>
  <c r="D222" i="17" s="1"/>
  <c r="C221" i="17"/>
  <c r="B221" i="17"/>
  <c r="A221" i="17"/>
  <c r="D221" i="17" s="1"/>
  <c r="C220" i="17"/>
  <c r="B220" i="17"/>
  <c r="A220" i="17"/>
  <c r="D220" i="17" s="1"/>
  <c r="C219" i="17"/>
  <c r="B219" i="17"/>
  <c r="A219" i="17"/>
  <c r="D219" i="17" s="1"/>
  <c r="C218" i="17"/>
  <c r="B218" i="17"/>
  <c r="A218" i="17"/>
  <c r="D218" i="17" s="1"/>
  <c r="C217" i="17"/>
  <c r="B217" i="17"/>
  <c r="A217" i="17"/>
  <c r="D217" i="17" s="1"/>
  <c r="C216" i="17"/>
  <c r="B216" i="17"/>
  <c r="A216" i="17"/>
  <c r="D216" i="17" s="1"/>
  <c r="C215" i="17"/>
  <c r="B215" i="17"/>
  <c r="A215" i="17"/>
  <c r="D215" i="17" s="1"/>
  <c r="C214" i="17"/>
  <c r="B214" i="17"/>
  <c r="A214" i="17"/>
  <c r="D214" i="17" s="1"/>
  <c r="C213" i="17"/>
  <c r="B213" i="17"/>
  <c r="A213" i="17"/>
  <c r="D213" i="17" s="1"/>
  <c r="C212" i="17"/>
  <c r="B212" i="17"/>
  <c r="A212" i="17"/>
  <c r="D212" i="17" s="1"/>
  <c r="C211" i="17"/>
  <c r="B211" i="17"/>
  <c r="A211" i="17"/>
  <c r="D211" i="17" s="1"/>
  <c r="C210" i="17"/>
  <c r="B210" i="17"/>
  <c r="A210" i="17"/>
  <c r="D210" i="17" s="1"/>
  <c r="C209" i="17"/>
  <c r="B209" i="17"/>
  <c r="A209" i="17"/>
  <c r="D209" i="17" s="1"/>
  <c r="C208" i="17"/>
  <c r="B208" i="17"/>
  <c r="A208" i="17"/>
  <c r="D208" i="17" s="1"/>
  <c r="C207" i="17"/>
  <c r="B207" i="17"/>
  <c r="A207" i="17"/>
  <c r="D207" i="17" s="1"/>
  <c r="C206" i="17"/>
  <c r="B206" i="17"/>
  <c r="A206" i="17"/>
  <c r="D206" i="17" s="1"/>
  <c r="C205" i="17"/>
  <c r="B205" i="17"/>
  <c r="A205" i="17"/>
  <c r="D205" i="17" s="1"/>
  <c r="C204" i="17"/>
  <c r="B204" i="17"/>
  <c r="A204" i="17"/>
  <c r="D204" i="17" s="1"/>
  <c r="C203" i="17"/>
  <c r="B203" i="17"/>
  <c r="A203" i="17"/>
  <c r="D203" i="17" s="1"/>
  <c r="C202" i="17"/>
  <c r="B202" i="17"/>
  <c r="A202" i="17"/>
  <c r="D202" i="17" s="1"/>
  <c r="C201" i="17"/>
  <c r="B201" i="17"/>
  <c r="A201" i="17"/>
  <c r="D201" i="17" s="1"/>
  <c r="C200" i="17"/>
  <c r="B200" i="17"/>
  <c r="A200" i="17"/>
  <c r="D200" i="17" s="1"/>
  <c r="C199" i="17"/>
  <c r="B199" i="17"/>
  <c r="A199" i="17"/>
  <c r="D199" i="17" s="1"/>
  <c r="C198" i="17"/>
  <c r="B198" i="17"/>
  <c r="A198" i="17"/>
  <c r="D198" i="17" s="1"/>
  <c r="C197" i="17"/>
  <c r="B197" i="17"/>
  <c r="A197" i="17"/>
  <c r="D197" i="17" s="1"/>
  <c r="C196" i="17"/>
  <c r="B196" i="17"/>
  <c r="A196" i="17"/>
  <c r="D196" i="17" s="1"/>
  <c r="C195" i="17"/>
  <c r="B195" i="17"/>
  <c r="A195" i="17"/>
  <c r="D195" i="17" s="1"/>
  <c r="C194" i="17"/>
  <c r="B194" i="17"/>
  <c r="A194" i="17"/>
  <c r="D194" i="17" s="1"/>
  <c r="C193" i="17"/>
  <c r="B193" i="17"/>
  <c r="A193" i="17"/>
  <c r="D193" i="17" s="1"/>
  <c r="C192" i="17"/>
  <c r="B192" i="17"/>
  <c r="A192" i="17"/>
  <c r="D192" i="17" s="1"/>
  <c r="C191" i="17"/>
  <c r="B191" i="17"/>
  <c r="A191" i="17"/>
  <c r="D191" i="17" s="1"/>
  <c r="C190" i="17"/>
  <c r="B190" i="17"/>
  <c r="A190" i="17"/>
  <c r="D190" i="17" s="1"/>
  <c r="C189" i="17"/>
  <c r="B189" i="17"/>
  <c r="A189" i="17"/>
  <c r="D189" i="17" s="1"/>
  <c r="C188" i="17"/>
  <c r="B188" i="17"/>
  <c r="A188" i="17"/>
  <c r="D188" i="17" s="1"/>
  <c r="C187" i="17"/>
  <c r="B187" i="17"/>
  <c r="A187" i="17"/>
  <c r="D187" i="17" s="1"/>
  <c r="C186" i="17"/>
  <c r="B186" i="17"/>
  <c r="A186" i="17"/>
  <c r="D186" i="17" s="1"/>
  <c r="C185" i="17"/>
  <c r="B185" i="17"/>
  <c r="A185" i="17"/>
  <c r="D185" i="17" s="1"/>
  <c r="C184" i="17"/>
  <c r="B184" i="17"/>
  <c r="A184" i="17"/>
  <c r="D184" i="17" s="1"/>
  <c r="C183" i="17"/>
  <c r="B183" i="17"/>
  <c r="A183" i="17"/>
  <c r="D183" i="17" s="1"/>
  <c r="C182" i="17"/>
  <c r="B182" i="17"/>
  <c r="A182" i="17"/>
  <c r="D182" i="17" s="1"/>
  <c r="C181" i="17"/>
  <c r="B181" i="17"/>
  <c r="A181" i="17"/>
  <c r="D181" i="17" s="1"/>
  <c r="C180" i="17"/>
  <c r="B180" i="17"/>
  <c r="A180" i="17"/>
  <c r="D180" i="17" s="1"/>
  <c r="C179" i="17"/>
  <c r="B179" i="17"/>
  <c r="A179" i="17"/>
  <c r="D179" i="17" s="1"/>
  <c r="C178" i="17"/>
  <c r="B178" i="17"/>
  <c r="A178" i="17"/>
  <c r="D178" i="17" s="1"/>
  <c r="C177" i="17"/>
  <c r="B177" i="17"/>
  <c r="A177" i="17"/>
  <c r="D177" i="17" s="1"/>
  <c r="C176" i="17"/>
  <c r="B176" i="17"/>
  <c r="A176" i="17"/>
  <c r="D176" i="17" s="1"/>
  <c r="C175" i="17"/>
  <c r="B175" i="17"/>
  <c r="A175" i="17"/>
  <c r="D175" i="17" s="1"/>
  <c r="C174" i="17"/>
  <c r="B174" i="17"/>
  <c r="A174" i="17"/>
  <c r="D174" i="17" s="1"/>
  <c r="C173" i="17"/>
  <c r="B173" i="17"/>
  <c r="A173" i="17"/>
  <c r="D173" i="17" s="1"/>
  <c r="C172" i="17"/>
  <c r="B172" i="17"/>
  <c r="A172" i="17"/>
  <c r="D172" i="17" s="1"/>
  <c r="C171" i="17"/>
  <c r="B171" i="17"/>
  <c r="A171" i="17"/>
  <c r="D171" i="17" s="1"/>
  <c r="C170" i="17"/>
  <c r="B170" i="17"/>
  <c r="A170" i="17"/>
  <c r="D170" i="17" s="1"/>
  <c r="C169" i="17"/>
  <c r="B169" i="17"/>
  <c r="A169" i="17"/>
  <c r="D169" i="17" s="1"/>
  <c r="C168" i="17"/>
  <c r="B168" i="17"/>
  <c r="A168" i="17"/>
  <c r="D168" i="17" s="1"/>
  <c r="C167" i="17"/>
  <c r="B167" i="17"/>
  <c r="A167" i="17"/>
  <c r="D167" i="17" s="1"/>
  <c r="C166" i="17"/>
  <c r="B166" i="17"/>
  <c r="A166" i="17"/>
  <c r="D166" i="17" s="1"/>
  <c r="C165" i="17"/>
  <c r="B165" i="17"/>
  <c r="A165" i="17"/>
  <c r="D165" i="17" s="1"/>
  <c r="C164" i="17"/>
  <c r="B164" i="17"/>
  <c r="A164" i="17"/>
  <c r="D164" i="17" s="1"/>
  <c r="C163" i="17"/>
  <c r="B163" i="17"/>
  <c r="A163" i="17"/>
  <c r="D163" i="17" s="1"/>
  <c r="C162" i="17"/>
  <c r="B162" i="17"/>
  <c r="A162" i="17"/>
  <c r="D162" i="17" s="1"/>
  <c r="C161" i="17"/>
  <c r="B161" i="17"/>
  <c r="A161" i="17"/>
  <c r="D161" i="17" s="1"/>
  <c r="C160" i="17"/>
  <c r="B160" i="17"/>
  <c r="A160" i="17"/>
  <c r="D160" i="17" s="1"/>
  <c r="C159" i="17"/>
  <c r="B159" i="17"/>
  <c r="A159" i="17"/>
  <c r="D159" i="17" s="1"/>
  <c r="C158" i="17"/>
  <c r="B158" i="17"/>
  <c r="A158" i="17"/>
  <c r="D158" i="17" s="1"/>
  <c r="C157" i="17"/>
  <c r="B157" i="17"/>
  <c r="A157" i="17"/>
  <c r="D157" i="17" s="1"/>
  <c r="C156" i="17"/>
  <c r="B156" i="17"/>
  <c r="A156" i="17"/>
  <c r="D156" i="17" s="1"/>
  <c r="C155" i="17"/>
  <c r="B155" i="17"/>
  <c r="A155" i="17"/>
  <c r="D155" i="17" s="1"/>
  <c r="C154" i="17"/>
  <c r="B154" i="17"/>
  <c r="A154" i="17"/>
  <c r="D154" i="17" s="1"/>
  <c r="C153" i="17"/>
  <c r="B153" i="17"/>
  <c r="A153" i="17"/>
  <c r="D153" i="17" s="1"/>
  <c r="C152" i="17"/>
  <c r="B152" i="17"/>
  <c r="A152" i="17"/>
  <c r="D152" i="17" s="1"/>
  <c r="C151" i="17"/>
  <c r="B151" i="17"/>
  <c r="A151" i="17"/>
  <c r="D151" i="17" s="1"/>
  <c r="C150" i="17"/>
  <c r="B150" i="17"/>
  <c r="A150" i="17"/>
  <c r="D150" i="17" s="1"/>
  <c r="C149" i="17"/>
  <c r="B149" i="17"/>
  <c r="A149" i="17"/>
  <c r="D149" i="17" s="1"/>
  <c r="C148" i="17"/>
  <c r="B148" i="17"/>
  <c r="A148" i="17"/>
  <c r="D148" i="17" s="1"/>
  <c r="C147" i="17"/>
  <c r="B147" i="17"/>
  <c r="A147" i="17"/>
  <c r="D147" i="17" s="1"/>
  <c r="C146" i="17"/>
  <c r="B146" i="17"/>
  <c r="A146" i="17"/>
  <c r="D146" i="17" s="1"/>
  <c r="C145" i="17"/>
  <c r="B145" i="17"/>
  <c r="A145" i="17"/>
  <c r="D145" i="17" s="1"/>
  <c r="C144" i="17"/>
  <c r="B144" i="17"/>
  <c r="A144" i="17"/>
  <c r="D144" i="17" s="1"/>
  <c r="C143" i="17"/>
  <c r="B143" i="17"/>
  <c r="A143" i="17"/>
  <c r="D143" i="17" s="1"/>
  <c r="C142" i="17"/>
  <c r="B142" i="17"/>
  <c r="A142" i="17"/>
  <c r="D142" i="17" s="1"/>
  <c r="C141" i="17"/>
  <c r="B141" i="17"/>
  <c r="A141" i="17"/>
  <c r="D141" i="17" s="1"/>
  <c r="C140" i="17"/>
  <c r="B140" i="17"/>
  <c r="A140" i="17"/>
  <c r="D140" i="17" s="1"/>
  <c r="C139" i="17"/>
  <c r="B139" i="17"/>
  <c r="A139" i="17"/>
  <c r="D139" i="17" s="1"/>
  <c r="C138" i="17"/>
  <c r="B138" i="17"/>
  <c r="A138" i="17"/>
  <c r="D138" i="17" s="1"/>
  <c r="C137" i="17"/>
  <c r="B137" i="17"/>
  <c r="A137" i="17"/>
  <c r="D137" i="17" s="1"/>
  <c r="C136" i="17"/>
  <c r="B136" i="17"/>
  <c r="A136" i="17"/>
  <c r="D136" i="17" s="1"/>
  <c r="C135" i="17"/>
  <c r="B135" i="17"/>
  <c r="A135" i="17"/>
  <c r="D135" i="17" s="1"/>
  <c r="C134" i="17"/>
  <c r="B134" i="17"/>
  <c r="A134" i="17"/>
  <c r="D134" i="17" s="1"/>
  <c r="C133" i="17"/>
  <c r="B133" i="17"/>
  <c r="A133" i="17"/>
  <c r="D133" i="17" s="1"/>
  <c r="C132" i="17"/>
  <c r="B132" i="17"/>
  <c r="A132" i="17"/>
  <c r="D132" i="17" s="1"/>
  <c r="C131" i="17"/>
  <c r="B131" i="17"/>
  <c r="A131" i="17"/>
  <c r="D131" i="17" s="1"/>
  <c r="C130" i="17"/>
  <c r="B130" i="17"/>
  <c r="A130" i="17"/>
  <c r="D130" i="17" s="1"/>
  <c r="C129" i="17"/>
  <c r="B129" i="17"/>
  <c r="A129" i="17"/>
  <c r="D129" i="17" s="1"/>
  <c r="C128" i="17"/>
  <c r="B128" i="17"/>
  <c r="A128" i="17"/>
  <c r="D128" i="17" s="1"/>
  <c r="C127" i="17"/>
  <c r="B127" i="17"/>
  <c r="A127" i="17"/>
  <c r="D127" i="17" s="1"/>
  <c r="C126" i="17"/>
  <c r="B126" i="17"/>
  <c r="A126" i="17"/>
  <c r="D126" i="17" s="1"/>
  <c r="C125" i="17"/>
  <c r="B125" i="17"/>
  <c r="A125" i="17"/>
  <c r="D125" i="17" s="1"/>
  <c r="C124" i="17"/>
  <c r="B124" i="17"/>
  <c r="A124" i="17"/>
  <c r="D124" i="17" s="1"/>
  <c r="C123" i="17"/>
  <c r="B123" i="17"/>
  <c r="A123" i="17"/>
  <c r="D123" i="17" s="1"/>
  <c r="C122" i="17"/>
  <c r="B122" i="17"/>
  <c r="A122" i="17"/>
  <c r="D122" i="17" s="1"/>
  <c r="C121" i="17"/>
  <c r="B121" i="17"/>
  <c r="A121" i="17"/>
  <c r="D121" i="17" s="1"/>
  <c r="C120" i="17"/>
  <c r="B120" i="17"/>
  <c r="A120" i="17"/>
  <c r="D120" i="17" s="1"/>
  <c r="C119" i="17"/>
  <c r="B119" i="17"/>
  <c r="A119" i="17"/>
  <c r="D119" i="17" s="1"/>
  <c r="C118" i="17"/>
  <c r="B118" i="17"/>
  <c r="A118" i="17"/>
  <c r="D118" i="17" s="1"/>
  <c r="C117" i="17"/>
  <c r="B117" i="17"/>
  <c r="A117" i="17"/>
  <c r="D117" i="17" s="1"/>
  <c r="C116" i="17"/>
  <c r="B116" i="17"/>
  <c r="A116" i="17"/>
  <c r="D116" i="17" s="1"/>
  <c r="C115" i="17"/>
  <c r="B115" i="17"/>
  <c r="A115" i="17"/>
  <c r="D115" i="17" s="1"/>
  <c r="C114" i="17"/>
  <c r="B114" i="17"/>
  <c r="A114" i="17"/>
  <c r="D114" i="17" s="1"/>
  <c r="C113" i="17"/>
  <c r="B113" i="17"/>
  <c r="A113" i="17"/>
  <c r="D113" i="17" s="1"/>
  <c r="C112" i="17"/>
  <c r="B112" i="17"/>
  <c r="A112" i="17"/>
  <c r="D112" i="17" s="1"/>
  <c r="C111" i="17"/>
  <c r="B111" i="17"/>
  <c r="A111" i="17"/>
  <c r="D111" i="17" s="1"/>
  <c r="C110" i="17"/>
  <c r="B110" i="17"/>
  <c r="A110" i="17"/>
  <c r="D110" i="17" s="1"/>
  <c r="C109" i="17"/>
  <c r="B109" i="17"/>
  <c r="A109" i="17"/>
  <c r="D109" i="17" s="1"/>
  <c r="C108" i="17"/>
  <c r="B108" i="17"/>
  <c r="A108" i="17"/>
  <c r="D108" i="17" s="1"/>
  <c r="C107" i="17"/>
  <c r="B107" i="17"/>
  <c r="A107" i="17"/>
  <c r="D107" i="17" s="1"/>
  <c r="C106" i="17"/>
  <c r="B106" i="17"/>
  <c r="A106" i="17"/>
  <c r="D106" i="17" s="1"/>
  <c r="C105" i="17"/>
  <c r="B105" i="17"/>
  <c r="A105" i="17"/>
  <c r="D105" i="17" s="1"/>
  <c r="C104" i="17"/>
  <c r="B104" i="17"/>
  <c r="A104" i="17"/>
  <c r="D104" i="17" s="1"/>
  <c r="C103" i="17"/>
  <c r="B103" i="17"/>
  <c r="A103" i="17"/>
  <c r="D103" i="17" s="1"/>
  <c r="C102" i="17"/>
  <c r="B102" i="17"/>
  <c r="A102" i="17"/>
  <c r="D102" i="17" s="1"/>
  <c r="C101" i="17"/>
  <c r="B101" i="17"/>
  <c r="A101" i="17"/>
  <c r="D101" i="17" s="1"/>
  <c r="C100" i="17"/>
  <c r="B100" i="17"/>
  <c r="A100" i="17"/>
  <c r="D100" i="17" s="1"/>
  <c r="C99" i="17"/>
  <c r="B99" i="17"/>
  <c r="A99" i="17"/>
  <c r="D99" i="17" s="1"/>
  <c r="C98" i="17"/>
  <c r="B98" i="17"/>
  <c r="A98" i="17"/>
  <c r="D98" i="17" s="1"/>
  <c r="C97" i="17"/>
  <c r="B97" i="17"/>
  <c r="A97" i="17"/>
  <c r="D97" i="17" s="1"/>
  <c r="C96" i="17"/>
  <c r="B96" i="17"/>
  <c r="A96" i="17"/>
  <c r="D96" i="17" s="1"/>
  <c r="C95" i="17"/>
  <c r="B95" i="17"/>
  <c r="A95" i="17"/>
  <c r="D95" i="17" s="1"/>
  <c r="C94" i="17"/>
  <c r="B94" i="17"/>
  <c r="A94" i="17"/>
  <c r="D94" i="17" s="1"/>
  <c r="C93" i="17"/>
  <c r="B93" i="17"/>
  <c r="A93" i="17"/>
  <c r="D93" i="17" s="1"/>
  <c r="C92" i="17"/>
  <c r="B92" i="17"/>
  <c r="A92" i="17"/>
  <c r="D92" i="17" s="1"/>
  <c r="C91" i="17"/>
  <c r="B91" i="17"/>
  <c r="A91" i="17"/>
  <c r="D91" i="17" s="1"/>
  <c r="C90" i="17"/>
  <c r="B90" i="17"/>
  <c r="A90" i="17"/>
  <c r="D90" i="17" s="1"/>
  <c r="C89" i="17"/>
  <c r="B89" i="17"/>
  <c r="A89" i="17"/>
  <c r="D89" i="17" s="1"/>
  <c r="C88" i="17"/>
  <c r="B88" i="17"/>
  <c r="A88" i="17"/>
  <c r="D88" i="17" s="1"/>
  <c r="C87" i="17"/>
  <c r="B87" i="17"/>
  <c r="A87" i="17"/>
  <c r="D87" i="17" s="1"/>
  <c r="C86" i="17"/>
  <c r="B86" i="17"/>
  <c r="A86" i="17"/>
  <c r="D86" i="17" s="1"/>
  <c r="C85" i="17"/>
  <c r="B85" i="17"/>
  <c r="A85" i="17"/>
  <c r="D85" i="17" s="1"/>
  <c r="C84" i="17"/>
  <c r="B84" i="17"/>
  <c r="A84" i="17"/>
  <c r="D84" i="17" s="1"/>
  <c r="C83" i="17"/>
  <c r="B83" i="17"/>
  <c r="A83" i="17"/>
  <c r="D83" i="17" s="1"/>
  <c r="C82" i="17"/>
  <c r="B82" i="17"/>
  <c r="A82" i="17"/>
  <c r="D82" i="17" s="1"/>
  <c r="C81" i="17"/>
  <c r="B81" i="17"/>
  <c r="A81" i="17"/>
  <c r="D81" i="17" s="1"/>
  <c r="C80" i="17"/>
  <c r="B80" i="17"/>
  <c r="A80" i="17"/>
  <c r="D80" i="17" s="1"/>
  <c r="C79" i="17"/>
  <c r="B79" i="17"/>
  <c r="A79" i="17"/>
  <c r="D79" i="17" s="1"/>
  <c r="C78" i="17"/>
  <c r="B78" i="17"/>
  <c r="A78" i="17"/>
  <c r="D78" i="17" s="1"/>
  <c r="C77" i="17"/>
  <c r="B77" i="17"/>
  <c r="A77" i="17"/>
  <c r="D77" i="17" s="1"/>
  <c r="C76" i="17"/>
  <c r="B76" i="17"/>
  <c r="A76" i="17"/>
  <c r="D76" i="17" s="1"/>
  <c r="C75" i="17"/>
  <c r="B75" i="17"/>
  <c r="A75" i="17"/>
  <c r="D75" i="17" s="1"/>
  <c r="C74" i="17"/>
  <c r="B74" i="17"/>
  <c r="A74" i="17"/>
  <c r="D74" i="17" s="1"/>
  <c r="C73" i="17"/>
  <c r="B73" i="17"/>
  <c r="A73" i="17"/>
  <c r="D73" i="17" s="1"/>
  <c r="C72" i="17"/>
  <c r="B72" i="17"/>
  <c r="A72" i="17"/>
  <c r="D72" i="17" s="1"/>
  <c r="C71" i="17"/>
  <c r="B71" i="17"/>
  <c r="A71" i="17"/>
  <c r="D71" i="17" s="1"/>
  <c r="C70" i="17"/>
  <c r="B70" i="17"/>
  <c r="A70" i="17"/>
  <c r="D70" i="17" s="1"/>
  <c r="C69" i="17"/>
  <c r="B69" i="17"/>
  <c r="A69" i="17"/>
  <c r="D69" i="17" s="1"/>
  <c r="C68" i="17"/>
  <c r="B68" i="17"/>
  <c r="A68" i="17"/>
  <c r="D68" i="17" s="1"/>
  <c r="C67" i="17"/>
  <c r="B67" i="17"/>
  <c r="A67" i="17"/>
  <c r="D67" i="17" s="1"/>
  <c r="C66" i="17"/>
  <c r="B66" i="17"/>
  <c r="A66" i="17"/>
  <c r="D66" i="17" s="1"/>
  <c r="C65" i="17"/>
  <c r="B65" i="17"/>
  <c r="A65" i="17"/>
  <c r="D65" i="17" s="1"/>
  <c r="C64" i="17"/>
  <c r="B64" i="17"/>
  <c r="A64" i="17"/>
  <c r="D64" i="17" s="1"/>
  <c r="C63" i="17"/>
  <c r="B63" i="17"/>
  <c r="A63" i="17"/>
  <c r="D63" i="17" s="1"/>
  <c r="C62" i="17"/>
  <c r="B62" i="17"/>
  <c r="A62" i="17"/>
  <c r="D62" i="17" s="1"/>
  <c r="C61" i="17"/>
  <c r="B61" i="17"/>
  <c r="A61" i="17"/>
  <c r="D61" i="17" s="1"/>
  <c r="C60" i="17"/>
  <c r="B60" i="17"/>
  <c r="A60" i="17"/>
  <c r="D60" i="17" s="1"/>
  <c r="C59" i="17"/>
  <c r="B59" i="17"/>
  <c r="A59" i="17"/>
  <c r="D59" i="17" s="1"/>
  <c r="C58" i="17"/>
  <c r="B58" i="17"/>
  <c r="A58" i="17"/>
  <c r="D58" i="17" s="1"/>
  <c r="C57" i="17"/>
  <c r="B57" i="17"/>
  <c r="A57" i="17"/>
  <c r="D57" i="17" s="1"/>
  <c r="C56" i="17"/>
  <c r="B56" i="17"/>
  <c r="A56" i="17"/>
  <c r="D56" i="17" s="1"/>
  <c r="C55" i="17"/>
  <c r="B55" i="17"/>
  <c r="A55" i="17"/>
  <c r="D55" i="17" s="1"/>
  <c r="C54" i="17"/>
  <c r="B54" i="17"/>
  <c r="A54" i="17"/>
  <c r="D54" i="17" s="1"/>
  <c r="C53" i="17"/>
  <c r="B53" i="17"/>
  <c r="A53" i="17"/>
  <c r="D53" i="17" s="1"/>
  <c r="C52" i="17"/>
  <c r="B52" i="17"/>
  <c r="A52" i="17"/>
  <c r="D52" i="17" s="1"/>
  <c r="C51" i="17"/>
  <c r="B51" i="17"/>
  <c r="A51" i="17"/>
  <c r="D51" i="17" s="1"/>
  <c r="C50" i="17"/>
  <c r="B50" i="17"/>
  <c r="A50" i="17"/>
  <c r="D50" i="17" s="1"/>
  <c r="C49" i="17"/>
  <c r="B49" i="17"/>
  <c r="A49" i="17"/>
  <c r="D49" i="17" s="1"/>
  <c r="C48" i="17"/>
  <c r="B48" i="17"/>
  <c r="A48" i="17"/>
  <c r="D48" i="17" s="1"/>
  <c r="C47" i="17"/>
  <c r="B47" i="17"/>
  <c r="A47" i="17"/>
  <c r="D47" i="17" s="1"/>
  <c r="C46" i="17"/>
  <c r="B46" i="17"/>
  <c r="A46" i="17"/>
  <c r="D46" i="17" s="1"/>
  <c r="C45" i="17"/>
  <c r="B45" i="17"/>
  <c r="A45" i="17"/>
  <c r="D45" i="17" s="1"/>
  <c r="C44" i="17"/>
  <c r="B44" i="17"/>
  <c r="A44" i="17"/>
  <c r="D44" i="17" s="1"/>
  <c r="C43" i="17"/>
  <c r="B43" i="17"/>
  <c r="A43" i="17"/>
  <c r="D43" i="17" s="1"/>
  <c r="C42" i="17"/>
  <c r="B42" i="17"/>
  <c r="A42" i="17"/>
  <c r="D42" i="17" s="1"/>
  <c r="C41" i="17"/>
  <c r="B41" i="17"/>
  <c r="A41" i="17"/>
  <c r="D41" i="17" s="1"/>
  <c r="C40" i="17"/>
  <c r="B40" i="17"/>
  <c r="A40" i="17"/>
  <c r="D40" i="17" s="1"/>
  <c r="C39" i="17"/>
  <c r="B39" i="17"/>
  <c r="A39" i="17"/>
  <c r="D39" i="17" s="1"/>
  <c r="C38" i="17"/>
  <c r="B38" i="17"/>
  <c r="A38" i="17"/>
  <c r="D38" i="17" s="1"/>
  <c r="C37" i="17"/>
  <c r="B37" i="17"/>
  <c r="A37" i="17"/>
  <c r="D37" i="17" s="1"/>
  <c r="C36" i="17"/>
  <c r="B36" i="17"/>
  <c r="A36" i="17"/>
  <c r="D36" i="17" s="1"/>
  <c r="C35" i="17"/>
  <c r="B35" i="17"/>
  <c r="A35" i="17"/>
  <c r="D35" i="17" s="1"/>
  <c r="C34" i="17"/>
  <c r="B34" i="17"/>
  <c r="A34" i="17"/>
  <c r="D34" i="17" s="1"/>
  <c r="C33" i="17"/>
  <c r="B33" i="17"/>
  <c r="A33" i="17"/>
  <c r="D33" i="17" s="1"/>
  <c r="C32" i="17"/>
  <c r="B32" i="17"/>
  <c r="A32" i="17"/>
  <c r="D32" i="17" s="1"/>
  <c r="C31" i="17"/>
  <c r="B31" i="17"/>
  <c r="A31" i="17"/>
  <c r="D31" i="17" s="1"/>
  <c r="C30" i="17"/>
  <c r="B30" i="17"/>
  <c r="A30" i="17"/>
  <c r="D30" i="17" s="1"/>
  <c r="C29" i="17"/>
  <c r="B29" i="17"/>
  <c r="A29" i="17"/>
  <c r="D29" i="17" s="1"/>
  <c r="C28" i="17"/>
  <c r="B28" i="17"/>
  <c r="A28" i="17"/>
  <c r="D28" i="17" s="1"/>
  <c r="C27" i="17"/>
  <c r="B27" i="17"/>
  <c r="A27" i="17"/>
  <c r="D27" i="17" s="1"/>
  <c r="C26" i="17"/>
  <c r="B26" i="17"/>
  <c r="A26" i="17"/>
  <c r="D26" i="17" s="1"/>
  <c r="C25" i="17"/>
  <c r="B25" i="17"/>
  <c r="A25" i="17"/>
  <c r="D25" i="17" s="1"/>
  <c r="C24" i="17"/>
  <c r="B24" i="17"/>
  <c r="A24" i="17"/>
  <c r="D24" i="17" s="1"/>
  <c r="C23" i="17"/>
  <c r="B23" i="17"/>
  <c r="A23" i="17"/>
  <c r="D23" i="17" s="1"/>
  <c r="C22" i="17"/>
  <c r="B22" i="17"/>
  <c r="A22" i="17"/>
  <c r="D22" i="17" s="1"/>
  <c r="C21" i="17"/>
  <c r="B21" i="17"/>
  <c r="A21" i="17"/>
  <c r="D21" i="17" s="1"/>
  <c r="C20" i="17"/>
  <c r="B20" i="17"/>
  <c r="A20" i="17"/>
  <c r="D20" i="17" s="1"/>
  <c r="C19" i="17"/>
  <c r="B19" i="17"/>
  <c r="A19" i="17"/>
  <c r="D19" i="17" s="1"/>
  <c r="C18" i="17"/>
  <c r="B18" i="17"/>
  <c r="A18" i="17"/>
  <c r="D18" i="17" s="1"/>
  <c r="C17" i="17"/>
  <c r="B17" i="17"/>
  <c r="A17" i="17"/>
  <c r="D17" i="17" s="1"/>
  <c r="C16" i="17"/>
  <c r="B16" i="17"/>
  <c r="A16" i="17"/>
  <c r="D16" i="17" s="1"/>
  <c r="C15" i="17"/>
  <c r="B15" i="17"/>
  <c r="A15" i="17"/>
  <c r="D15" i="17" s="1"/>
  <c r="C14" i="17"/>
  <c r="B14" i="17"/>
  <c r="A14" i="17"/>
  <c r="D14" i="17" s="1"/>
  <c r="C13" i="17"/>
  <c r="B13" i="17"/>
  <c r="A13" i="17"/>
  <c r="D13" i="17" s="1"/>
  <c r="C12" i="17"/>
  <c r="B12" i="17"/>
  <c r="A12" i="17"/>
  <c r="D12" i="17" s="1"/>
  <c r="C11" i="17"/>
  <c r="B11" i="17"/>
  <c r="A11" i="17"/>
  <c r="D11" i="17" s="1"/>
  <c r="C10" i="17"/>
  <c r="B10" i="17"/>
  <c r="A10" i="17"/>
  <c r="D10" i="17" s="1"/>
  <c r="C9" i="17"/>
  <c r="B9" i="17"/>
  <c r="A9" i="17"/>
  <c r="D9" i="17" s="1"/>
  <c r="C8" i="17"/>
  <c r="B8" i="17"/>
  <c r="A8" i="17"/>
  <c r="D8" i="17" s="1"/>
  <c r="C7" i="17"/>
  <c r="B7" i="17"/>
  <c r="A7" i="17"/>
  <c r="D7" i="17" s="1"/>
  <c r="C6" i="17"/>
  <c r="B6" i="17"/>
  <c r="A6" i="17"/>
  <c r="D6" i="17" s="1"/>
  <c r="C5" i="17"/>
  <c r="B5" i="17"/>
  <c r="A5" i="17"/>
  <c r="D5" i="17" s="1"/>
  <c r="F4" i="17" a="1"/>
  <c r="F4" i="17" s="1"/>
  <c r="C4" i="17"/>
  <c r="B4" i="17"/>
  <c r="A4" i="17"/>
  <c r="D4" i="17" s="1"/>
  <c r="J3" i="17"/>
  <c r="E2" i="54"/>
  <c r="G63" i="5"/>
  <c r="J299" i="41" l="1"/>
  <c r="J287" i="41"/>
  <c r="J275" i="41"/>
  <c r="J263" i="41"/>
  <c r="J250" i="41"/>
  <c r="J238" i="41"/>
  <c r="J224" i="41"/>
  <c r="J211" i="41"/>
  <c r="J199" i="41"/>
  <c r="J186" i="41"/>
  <c r="J174" i="41"/>
  <c r="J162" i="41"/>
  <c r="J150" i="41"/>
  <c r="J136" i="41"/>
  <c r="J124" i="41"/>
  <c r="J111" i="41"/>
  <c r="J99" i="41"/>
  <c r="J87" i="41"/>
  <c r="J75" i="41"/>
  <c r="J63" i="41"/>
  <c r="J50" i="41"/>
  <c r="J298" i="41"/>
  <c r="J286" i="41"/>
  <c r="J274" i="41"/>
  <c r="J262" i="41"/>
  <c r="J249" i="41"/>
  <c r="J237" i="41"/>
  <c r="J223" i="41"/>
  <c r="J210" i="41"/>
  <c r="J198" i="41"/>
  <c r="J185" i="41"/>
  <c r="J173" i="41"/>
  <c r="J161" i="41"/>
  <c r="J149" i="41"/>
  <c r="J135" i="41"/>
  <c r="J123" i="41"/>
  <c r="J110" i="41"/>
  <c r="J98" i="41"/>
  <c r="J86" i="41"/>
  <c r="J74" i="41"/>
  <c r="J62" i="41"/>
  <c r="J49" i="41"/>
  <c r="J36" i="41"/>
  <c r="J24" i="41"/>
  <c r="J12" i="41"/>
  <c r="J226" i="41"/>
  <c r="J213" i="41"/>
  <c r="J188" i="41"/>
  <c r="J218" i="41"/>
  <c r="J106" i="41"/>
  <c r="J56" i="41"/>
  <c r="J276" i="41"/>
  <c r="J187" i="41"/>
  <c r="J38" i="41"/>
  <c r="J179" i="41"/>
  <c r="J291" i="41"/>
  <c r="J279" i="41"/>
  <c r="J267" i="41"/>
  <c r="J54" i="41"/>
  <c r="J41" i="41"/>
  <c r="J29" i="41"/>
  <c r="J17" i="41"/>
  <c r="J5" i="41"/>
  <c r="J102" i="41"/>
  <c r="J90" i="41"/>
  <c r="J78" i="41"/>
  <c r="J66" i="41"/>
  <c r="J53" i="41"/>
  <c r="J40" i="41"/>
  <c r="J28" i="41"/>
  <c r="J16" i="41"/>
  <c r="J4" i="41"/>
  <c r="J70" i="41"/>
  <c r="J146" i="41"/>
  <c r="J300" i="41"/>
  <c r="J288" i="41"/>
  <c r="J264" i="41"/>
  <c r="J182" i="41"/>
  <c r="J158" i="41"/>
  <c r="J145" i="41"/>
  <c r="J107" i="41"/>
  <c r="J71" i="41"/>
  <c r="J144" i="41"/>
  <c r="J131" i="41"/>
  <c r="J119" i="41"/>
  <c r="J94" i="41"/>
  <c r="J82" i="41"/>
  <c r="J58" i="41"/>
  <c r="J44" i="41"/>
  <c r="J20" i="41"/>
  <c r="J8" i="41"/>
  <c r="J293" i="41"/>
  <c r="J281" i="41"/>
  <c r="J269" i="41"/>
  <c r="J256" i="41"/>
  <c r="J244" i="41"/>
  <c r="J232" i="41"/>
  <c r="J217" i="41"/>
  <c r="J205" i="41"/>
  <c r="J193" i="41"/>
  <c r="J180" i="41"/>
  <c r="J168" i="41"/>
  <c r="J156" i="41"/>
  <c r="J143" i="41"/>
  <c r="J130" i="41"/>
  <c r="J118" i="41"/>
  <c r="J105" i="41"/>
  <c r="J93" i="41"/>
  <c r="J81" i="41"/>
  <c r="J69" i="41"/>
  <c r="J57" i="41"/>
  <c r="J43" i="41"/>
  <c r="J31" i="41"/>
  <c r="J19" i="41"/>
  <c r="J7" i="41"/>
  <c r="J59" i="41"/>
  <c r="J261" i="41"/>
  <c r="J292" i="41"/>
  <c r="J280" i="41"/>
  <c r="J268" i="41"/>
  <c r="J255" i="41"/>
  <c r="J243" i="41"/>
  <c r="J231" i="41"/>
  <c r="J216" i="41"/>
  <c r="J204" i="41"/>
  <c r="J192" i="41"/>
  <c r="J167" i="41"/>
  <c r="J155" i="41"/>
  <c r="J142" i="41"/>
  <c r="J129" i="41"/>
  <c r="J117" i="41"/>
  <c r="J104" i="41"/>
  <c r="J92" i="41"/>
  <c r="J80" i="41"/>
  <c r="J68" i="41"/>
  <c r="J55" i="41"/>
  <c r="J42" i="41"/>
  <c r="J30" i="41"/>
  <c r="J18" i="41"/>
  <c r="J6" i="41"/>
  <c r="J157" i="41"/>
  <c r="J133" i="41"/>
  <c r="J121" i="41"/>
  <c r="J108" i="41"/>
  <c r="J96" i="41"/>
  <c r="J84" i="41"/>
  <c r="J72" i="41"/>
  <c r="J60" i="41"/>
  <c r="J112" i="41"/>
  <c r="J170" i="41"/>
  <c r="J169" i="41"/>
  <c r="J206" i="41"/>
  <c r="J132" i="41"/>
  <c r="J95" i="41"/>
  <c r="J138" i="41"/>
  <c r="J126" i="41"/>
  <c r="J114" i="41"/>
  <c r="J101" i="41"/>
  <c r="J89" i="41"/>
  <c r="J77" i="41"/>
  <c r="J65" i="41"/>
  <c r="J52" i="41"/>
  <c r="J39" i="41"/>
  <c r="J27" i="41"/>
  <c r="J15" i="41"/>
  <c r="J3" i="41"/>
  <c r="J137" i="41"/>
  <c r="J125" i="41"/>
  <c r="J113" i="41"/>
  <c r="J100" i="41"/>
  <c r="J88" i="41"/>
  <c r="J76" i="41"/>
  <c r="J64" i="41"/>
  <c r="J51" i="41"/>
  <c r="J222" i="41"/>
  <c r="J254" i="41"/>
  <c r="J242" i="41"/>
  <c r="J230" i="41"/>
  <c r="J215" i="41"/>
  <c r="J203" i="41"/>
  <c r="J190" i="41"/>
  <c r="J178" i="41"/>
  <c r="J166" i="41"/>
  <c r="J154" i="41"/>
  <c r="J140" i="41"/>
  <c r="J128" i="41"/>
  <c r="J116" i="41"/>
  <c r="J103" i="41"/>
  <c r="J91" i="41"/>
  <c r="J79" i="41"/>
  <c r="J67" i="41"/>
  <c r="J194" i="41"/>
  <c r="J2" i="41"/>
  <c r="J290" i="41"/>
  <c r="J278" i="41"/>
  <c r="J266" i="41"/>
  <c r="J253" i="41"/>
  <c r="J241" i="41"/>
  <c r="J229" i="41"/>
  <c r="J214" i="41"/>
  <c r="J202" i="41"/>
  <c r="J189" i="41"/>
  <c r="J177" i="41"/>
  <c r="J165" i="41"/>
  <c r="J153" i="41"/>
  <c r="J139" i="41"/>
  <c r="J127" i="41"/>
  <c r="J115" i="41"/>
  <c r="J227" i="41"/>
  <c r="J120" i="41"/>
  <c r="J83" i="41"/>
  <c r="J32" i="41"/>
  <c r="J297" i="41"/>
  <c r="J285" i="41"/>
  <c r="J273" i="41"/>
  <c r="J260" i="41"/>
  <c r="J248" i="41"/>
  <c r="J236" i="41"/>
  <c r="J221" i="41"/>
  <c r="J209" i="41"/>
  <c r="J197" i="41"/>
  <c r="J184" i="41"/>
  <c r="J172" i="41"/>
  <c r="J160" i="41"/>
  <c r="J148" i="41"/>
  <c r="J134" i="41"/>
  <c r="J122" i="41"/>
  <c r="J109" i="41"/>
  <c r="J97" i="41"/>
  <c r="J85" i="41"/>
  <c r="J73" i="41"/>
  <c r="J61" i="41"/>
  <c r="J48" i="41"/>
  <c r="J35" i="41"/>
  <c r="J23" i="41"/>
  <c r="J11" i="41"/>
  <c r="J37" i="41"/>
  <c r="J25" i="41"/>
  <c r="J301" i="41"/>
  <c r="J289" i="41"/>
  <c r="J277" i="41"/>
  <c r="J265" i="41"/>
  <c r="J252" i="41"/>
  <c r="J240" i="41"/>
  <c r="J228" i="41"/>
  <c r="J141" i="41"/>
  <c r="J296" i="41"/>
  <c r="J284" i="41"/>
  <c r="J272" i="41"/>
  <c r="J259" i="41"/>
  <c r="J247" i="41"/>
  <c r="J235" i="41"/>
  <c r="J220" i="41"/>
  <c r="J208" i="41"/>
  <c r="J196" i="41"/>
  <c r="J183" i="41"/>
  <c r="J171" i="41"/>
  <c r="J159" i="41"/>
  <c r="J147" i="41"/>
  <c r="J46" i="41"/>
  <c r="J34" i="41"/>
  <c r="J22" i="41"/>
  <c r="J10" i="41"/>
  <c r="J47" i="41"/>
  <c r="J295" i="41"/>
  <c r="J283" i="41"/>
  <c r="J271" i="41"/>
  <c r="J258" i="41"/>
  <c r="J246" i="41"/>
  <c r="J234" i="41"/>
  <c r="J219" i="41"/>
  <c r="J207" i="41"/>
  <c r="J195" i="41"/>
  <c r="J45" i="41"/>
  <c r="J33" i="41"/>
  <c r="J21" i="41"/>
  <c r="J9" i="41"/>
  <c r="J181" i="41"/>
  <c r="J294" i="41"/>
  <c r="J282" i="41"/>
  <c r="J270" i="41"/>
  <c r="J257" i="41"/>
  <c r="J245" i="41"/>
  <c r="J233" i="41"/>
  <c r="J26" i="41"/>
  <c r="J14" i="41"/>
  <c r="J13" i="41"/>
  <c r="J251" i="41"/>
  <c r="J239" i="41"/>
  <c r="J191" i="41"/>
  <c r="J225" i="41"/>
  <c r="J201" i="41"/>
  <c r="J212" i="41"/>
  <c r="J200" i="41"/>
  <c r="J176" i="41"/>
  <c r="J164" i="41"/>
  <c r="J152" i="41"/>
  <c r="J175" i="41"/>
  <c r="J163" i="41"/>
  <c r="J151" i="41"/>
  <c r="G79" i="18"/>
  <c r="H196" i="41"/>
  <c r="G8" i="41"/>
  <c r="G222" i="41"/>
  <c r="H32" i="18"/>
  <c r="I32" i="18" s="1"/>
  <c r="H42" i="41"/>
  <c r="G298" i="41"/>
  <c r="G286" i="41"/>
  <c r="G274" i="41"/>
  <c r="G262" i="41"/>
  <c r="G249" i="41"/>
  <c r="G237" i="41"/>
  <c r="G223" i="41"/>
  <c r="G185" i="41"/>
  <c r="G161" i="41"/>
  <c r="G135" i="41"/>
  <c r="G123" i="41"/>
  <c r="G110" i="41"/>
  <c r="G98" i="41"/>
  <c r="G86" i="41"/>
  <c r="G74" i="41"/>
  <c r="G62" i="41"/>
  <c r="G49" i="41"/>
  <c r="H290" i="41"/>
  <c r="H202" i="41"/>
  <c r="H139" i="41"/>
  <c r="H102" i="41"/>
  <c r="G292" i="41"/>
  <c r="G280" i="41"/>
  <c r="G268" i="41"/>
  <c r="G204" i="41"/>
  <c r="G192" i="41"/>
  <c r="G142" i="41"/>
  <c r="G104" i="41"/>
  <c r="G80" i="41"/>
  <c r="G68" i="41"/>
  <c r="G55" i="41"/>
  <c r="G42" i="41"/>
  <c r="G30" i="41"/>
  <c r="G18" i="41"/>
  <c r="G6" i="41"/>
  <c r="G297" i="41"/>
  <c r="G285" i="41"/>
  <c r="G273" i="41"/>
  <c r="G260" i="41"/>
  <c r="G248" i="41"/>
  <c r="G236" i="41"/>
  <c r="G134" i="41"/>
  <c r="G122" i="41"/>
  <c r="G109" i="41"/>
  <c r="G97" i="41"/>
  <c r="G85" i="41"/>
  <c r="G73" i="41"/>
  <c r="G61" i="41"/>
  <c r="H289" i="41"/>
  <c r="H265" i="41"/>
  <c r="H228" i="41"/>
  <c r="H188" i="41"/>
  <c r="H114" i="41"/>
  <c r="H15" i="41"/>
  <c r="G291" i="41"/>
  <c r="G279" i="41"/>
  <c r="G267" i="41"/>
  <c r="G166" i="41"/>
  <c r="G154" i="41"/>
  <c r="G140" i="41"/>
  <c r="G128" i="41"/>
  <c r="G103" i="41"/>
  <c r="G79" i="41"/>
  <c r="G67" i="41"/>
  <c r="G54" i="41"/>
  <c r="G41" i="41"/>
  <c r="G29" i="41"/>
  <c r="G17" i="41"/>
  <c r="G5" i="41"/>
  <c r="G296" i="41"/>
  <c r="G284" i="41"/>
  <c r="G272" i="41"/>
  <c r="G259" i="41"/>
  <c r="G220" i="41"/>
  <c r="G72" i="41"/>
  <c r="G60" i="41"/>
  <c r="G46" i="41"/>
  <c r="G34" i="41"/>
  <c r="G22" i="41"/>
  <c r="G2" i="41"/>
  <c r="G295" i="41"/>
  <c r="G283" i="41"/>
  <c r="G271" i="41"/>
  <c r="G258" i="41"/>
  <c r="G219" i="41"/>
  <c r="G207" i="41"/>
  <c r="G195" i="41"/>
  <c r="G182" i="41"/>
  <c r="G170" i="41"/>
  <c r="G158" i="41"/>
  <c r="G145" i="41"/>
  <c r="G107" i="41"/>
  <c r="G95" i="41"/>
  <c r="G83" i="41"/>
  <c r="G71" i="41"/>
  <c r="G59" i="41"/>
  <c r="G45" i="41"/>
  <c r="G33" i="41"/>
  <c r="G21" i="41"/>
  <c r="G9" i="41"/>
  <c r="G301" i="41"/>
  <c r="G265" i="41"/>
  <c r="G240" i="41"/>
  <c r="G114" i="41"/>
  <c r="G39" i="41"/>
  <c r="G112" i="41"/>
  <c r="G270" i="41"/>
  <c r="G257" i="41"/>
  <c r="G3" i="41"/>
  <c r="G146" i="41"/>
  <c r="H300" i="41"/>
  <c r="H276" i="41"/>
  <c r="H187" i="41"/>
  <c r="H137" i="41"/>
  <c r="H76" i="41"/>
  <c r="H38" i="41"/>
  <c r="H60" i="41"/>
  <c r="H162" i="41"/>
  <c r="H136" i="41"/>
  <c r="H45" i="41"/>
  <c r="G294" i="41"/>
  <c r="G282" i="41"/>
  <c r="G218" i="41"/>
  <c r="G206" i="41"/>
  <c r="G194" i="41"/>
  <c r="G181" i="41"/>
  <c r="G169" i="41"/>
  <c r="G157" i="41"/>
  <c r="G131" i="41"/>
  <c r="G119" i="41"/>
  <c r="G82" i="41"/>
  <c r="G58" i="41"/>
  <c r="G300" i="41"/>
  <c r="G288" i="41"/>
  <c r="G276" i="41"/>
  <c r="G264" i="41"/>
  <c r="G200" i="41"/>
  <c r="G100" i="41"/>
  <c r="G38" i="41"/>
  <c r="G26" i="41"/>
  <c r="G14" i="41"/>
  <c r="G180" i="41"/>
  <c r="G156" i="41"/>
  <c r="H160" i="41"/>
  <c r="H208" i="41"/>
  <c r="G190" i="41"/>
  <c r="H271" i="41"/>
  <c r="H258" i="41"/>
  <c r="G175" i="41"/>
  <c r="G56" i="41"/>
  <c r="G65" i="41"/>
  <c r="G289" i="41"/>
  <c r="G277" i="41"/>
  <c r="G77" i="41"/>
  <c r="G44" i="41"/>
  <c r="G141" i="41"/>
  <c r="G47" i="41"/>
  <c r="B3" i="52"/>
  <c r="G172" i="41"/>
  <c r="G48" i="41"/>
  <c r="G226" i="41"/>
  <c r="L32" i="18"/>
  <c r="M32" i="18" s="1"/>
  <c r="H198" i="41"/>
  <c r="H161" i="41"/>
  <c r="H149" i="41"/>
  <c r="H12" i="41"/>
  <c r="G246" i="41"/>
  <c r="H108" i="41"/>
  <c r="H33" i="41"/>
  <c r="E32" i="18"/>
  <c r="F32" i="18" s="1"/>
  <c r="H134" i="41"/>
  <c r="H122" i="41"/>
  <c r="H73" i="41"/>
  <c r="H61" i="41"/>
  <c r="H35" i="41"/>
  <c r="H23" i="41"/>
  <c r="G120" i="41"/>
  <c r="G35" i="41"/>
  <c r="G261" i="41"/>
  <c r="G92" i="41"/>
  <c r="H247" i="41"/>
  <c r="H96" i="41"/>
  <c r="H34" i="41"/>
  <c r="H22" i="41"/>
  <c r="H10" i="41"/>
  <c r="G234" i="41"/>
  <c r="G32" i="41"/>
  <c r="H246" i="41"/>
  <c r="G216" i="41"/>
  <c r="G106" i="41"/>
  <c r="G27" i="41"/>
  <c r="G290" i="41"/>
  <c r="G278" i="41"/>
  <c r="G266" i="41"/>
  <c r="H218" i="41"/>
  <c r="H157" i="41"/>
  <c r="H44" i="41"/>
  <c r="H8" i="41"/>
  <c r="G247" i="41"/>
  <c r="G235" i="41"/>
  <c r="G96" i="41"/>
  <c r="G84" i="41"/>
  <c r="G197" i="41"/>
  <c r="G91" i="41"/>
  <c r="G23" i="41"/>
  <c r="G252" i="41"/>
  <c r="G228" i="41"/>
  <c r="G213" i="41"/>
  <c r="G201" i="41"/>
  <c r="G164" i="41"/>
  <c r="G126" i="41"/>
  <c r="G101" i="41"/>
  <c r="G89" i="41"/>
  <c r="H293" i="41"/>
  <c r="H281" i="41"/>
  <c r="H256" i="41"/>
  <c r="H244" i="41"/>
  <c r="H43" i="41"/>
  <c r="H19" i="41"/>
  <c r="G88" i="41"/>
  <c r="G20" i="41"/>
  <c r="G187" i="41"/>
  <c r="G163" i="41"/>
  <c r="G125" i="41"/>
  <c r="H280" i="41"/>
  <c r="H268" i="41"/>
  <c r="H255" i="41"/>
  <c r="H155" i="41"/>
  <c r="H104" i="41"/>
  <c r="G188" i="41"/>
  <c r="G15" i="41"/>
  <c r="G227" i="41"/>
  <c r="G299" i="41"/>
  <c r="G287" i="41"/>
  <c r="H275" i="41"/>
  <c r="H263" i="41"/>
  <c r="G250" i="41"/>
  <c r="G224" i="41"/>
  <c r="G186" i="41"/>
  <c r="G162" i="41"/>
  <c r="G124" i="41"/>
  <c r="G111" i="41"/>
  <c r="G99" i="41"/>
  <c r="G87" i="41"/>
  <c r="G75" i="41"/>
  <c r="G63" i="41"/>
  <c r="G50" i="41"/>
  <c r="H242" i="41"/>
  <c r="H190" i="41"/>
  <c r="H154" i="41"/>
  <c r="H116" i="41"/>
  <c r="H91" i="41"/>
  <c r="H79" i="41"/>
  <c r="H41" i="41"/>
  <c r="H17" i="41"/>
  <c r="H5" i="41"/>
  <c r="G293" i="41"/>
  <c r="G281" i="41"/>
  <c r="G269" i="41"/>
  <c r="G256" i="41"/>
  <c r="G168" i="41"/>
  <c r="G43" i="41"/>
  <c r="G31" i="41"/>
  <c r="G19" i="41"/>
  <c r="G7" i="41"/>
  <c r="G184" i="41"/>
  <c r="G70" i="41"/>
  <c r="G11" i="41"/>
  <c r="G4" i="17" a="1"/>
  <c r="G4" i="17" s="1"/>
  <c r="B7" i="19"/>
  <c r="B8" i="52"/>
  <c r="G253" i="41"/>
  <c r="G241" i="41"/>
  <c r="G229" i="41"/>
  <c r="G214" i="41"/>
  <c r="G202" i="41"/>
  <c r="G189" i="41"/>
  <c r="G177" i="41"/>
  <c r="G165" i="41"/>
  <c r="G153" i="41"/>
  <c r="G139" i="41"/>
  <c r="G127" i="41"/>
  <c r="G115" i="41"/>
  <c r="G102" i="41"/>
  <c r="G90" i="41"/>
  <c r="G78" i="41"/>
  <c r="G66" i="41"/>
  <c r="G53" i="41"/>
  <c r="G40" i="41"/>
  <c r="G28" i="41"/>
  <c r="G16" i="41"/>
  <c r="G4" i="41"/>
  <c r="G255" i="41"/>
  <c r="G243" i="41"/>
  <c r="G231" i="41"/>
  <c r="G179" i="41"/>
  <c r="G167" i="41"/>
  <c r="G155" i="41"/>
  <c r="G129" i="41"/>
  <c r="G117" i="41"/>
  <c r="H183" i="41"/>
  <c r="H159" i="41"/>
  <c r="G275" i="41"/>
  <c r="G263" i="41"/>
  <c r="G245" i="41"/>
  <c r="G221" i="41"/>
  <c r="G199" i="41"/>
  <c r="G178" i="41"/>
  <c r="G160" i="41"/>
  <c r="G138" i="41"/>
  <c r="G116" i="41"/>
  <c r="G94" i="41"/>
  <c r="G76" i="41"/>
  <c r="G37" i="41"/>
  <c r="G25" i="41"/>
  <c r="G13" i="41"/>
  <c r="G254" i="41"/>
  <c r="G242" i="41"/>
  <c r="G230" i="41"/>
  <c r="G215" i="41"/>
  <c r="G203" i="41"/>
  <c r="H207" i="41"/>
  <c r="H158" i="41"/>
  <c r="H145" i="41"/>
  <c r="H59" i="41"/>
  <c r="G244" i="41"/>
  <c r="G198" i="41"/>
  <c r="G176" i="41"/>
  <c r="G137" i="41"/>
  <c r="G52" i="41"/>
  <c r="G36" i="41"/>
  <c r="G24" i="41"/>
  <c r="G12" i="41"/>
  <c r="G191" i="41"/>
  <c r="G136" i="41"/>
  <c r="B2" i="52"/>
  <c r="H217" i="41"/>
  <c r="H205" i="41"/>
  <c r="H193" i="41"/>
  <c r="G238" i="41"/>
  <c r="G196" i="41"/>
  <c r="G174" i="41"/>
  <c r="G152" i="41"/>
  <c r="G132" i="41"/>
  <c r="G113" i="41"/>
  <c r="G10" i="41"/>
  <c r="B11" i="52"/>
  <c r="G251" i="41"/>
  <c r="G239" i="41"/>
  <c r="G225" i="41"/>
  <c r="G51" i="41"/>
  <c r="G212" i="41"/>
  <c r="G173" i="41"/>
  <c r="G151" i="41"/>
  <c r="G130" i="41"/>
  <c r="G108" i="41"/>
  <c r="B10" i="52"/>
  <c r="G211" i="41"/>
  <c r="G150" i="41"/>
  <c r="B9" i="52"/>
  <c r="H253" i="41"/>
  <c r="H229" i="41"/>
  <c r="H177" i="41"/>
  <c r="H153" i="41"/>
  <c r="G210" i="41"/>
  <c r="G149" i="41"/>
  <c r="H173" i="41"/>
  <c r="H213" i="41"/>
  <c r="H52" i="41"/>
  <c r="G233" i="41"/>
  <c r="G209" i="41"/>
  <c r="G148" i="41"/>
  <c r="G64" i="41"/>
  <c r="B7" i="52"/>
  <c r="G183" i="41"/>
  <c r="G171" i="41"/>
  <c r="G159" i="41"/>
  <c r="G147" i="41"/>
  <c r="G133" i="41"/>
  <c r="G121" i="41"/>
  <c r="G232" i="41"/>
  <c r="G208" i="41"/>
  <c r="G144" i="41"/>
  <c r="H234" i="41"/>
  <c r="B6" i="52"/>
  <c r="H111" i="41"/>
  <c r="H87" i="41"/>
  <c r="H50" i="41"/>
  <c r="B5" i="52"/>
  <c r="H123" i="41"/>
  <c r="H86" i="41"/>
  <c r="H232" i="41"/>
  <c r="H37" i="41"/>
  <c r="H25" i="41"/>
  <c r="B4" i="52"/>
  <c r="G217" i="41"/>
  <c r="G205" i="41"/>
  <c r="G193" i="41"/>
  <c r="G143" i="41"/>
  <c r="G105" i="41"/>
  <c r="G93" i="41"/>
  <c r="G81" i="41"/>
  <c r="G69" i="41"/>
  <c r="G57" i="41"/>
  <c r="G118" i="41"/>
  <c r="E7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Sheet1" description="Connection to the 'Sheet1' query in the workbook." type="5" refreshedVersion="2" background="1" saveData="1">
    <dbPr connection="Provider=Microsoft.Mashup.OleDb.1;Data Source=$Workbook$;Location=Sheet1;Extended Properties=&quot;&quot;" command="SELECT * FROM [Sheet1]"/>
  </connection>
  <connection id="2" xr16:uid="{60B7E98A-7E9C-4D2B-9C8A-ABB98407442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0000000-0015-0000-FFFF-FFFF01000000}" name="WorksheetConnection_crypto_Analysis_Dashboard-copy.xlsm!Sheet1" type="5" refreshedVersion="2" saveData="1">
    <dbPr connection="" command=""/>
  </connection>
  <connection id="4" xr16:uid="{00000000-0015-0000-FFFF-FFFF02000000}" name="WorksheetConnection_crypto_Analysis_Dashboard-copy.xlsm!Table2" type="5" refreshedVersion="2" saveData="1">
    <dbPr connection="" command=""/>
  </connection>
  <connection id="5" xr16:uid="{9253C525-F676-49E5-99AE-151DF2D4E854}" name="WorksheetConnection_crypto_Analysis_Dashboard-final.xlsm!Table2" type="102" refreshedVersion="8" minRefreshableVersion="5">
    <extLst>
      <ext xmlns:x15="http://schemas.microsoft.com/office/spreadsheetml/2010/11/main" uri="{DE250136-89BD-433C-8126-D09CA5730AF9}">
        <x15:connection id="Table2">
          <x15:rangePr sourceName="_xlcn.WorksheetConnection_crypto_Analysis_Dashboardfinal.xlsmTable21"/>
        </x15:connection>
      </ext>
    </extLst>
  </connection>
  <connection id="6" xr16:uid="{4283584E-1227-4D92-8BEE-D4D38A19E20C}" name="WorksheetConnection_Task5_Historical_Insights!$A$1:$H$301" type="102" refreshedVersion="8" minRefreshableVersion="5">
    <extLst>
      <ext xmlns:x15="http://schemas.microsoft.com/office/spreadsheetml/2010/11/main" uri="{DE250136-89BD-433C-8126-D09CA5730AF9}">
        <x15:connection id="Range" autoDelete="1">
          <x15:rangePr sourceName="_xlcn.WorksheetConnection_Task5_Historical_InsightsA1H30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<sst xmlns="http://schemas.openxmlformats.org/spreadsheetml/2006/main" count="3107" uniqueCount="1138">
  <si>
    <t>Price Category</t>
  </si>
  <si>
    <t>$0-$50</t>
  </si>
  <si>
    <t>Row Labels</t>
  </si>
  <si>
    <t>Sum of Volume (24h)</t>
  </si>
  <si>
    <t>Tether</t>
  </si>
  <si>
    <t>Bitcoin</t>
  </si>
  <si>
    <t>BNB</t>
  </si>
  <si>
    <t>XRP</t>
  </si>
  <si>
    <t>Block Street</t>
  </si>
  <si>
    <t>TRON</t>
  </si>
  <si>
    <t>Hyperliquid</t>
  </si>
  <si>
    <t>Cardano</t>
  </si>
  <si>
    <t>Zcash</t>
  </si>
  <si>
    <t>Monero</t>
  </si>
  <si>
    <t>Conflux</t>
  </si>
  <si>
    <t>Semicon Bull 3X ETF Tokenized bStocks</t>
  </si>
  <si>
    <t>KAITO</t>
  </si>
  <si>
    <t>HTX</t>
  </si>
  <si>
    <t>Bonk</t>
  </si>
  <si>
    <t>LayerZero</t>
  </si>
  <si>
    <t>Rain</t>
  </si>
  <si>
    <t>Jito</t>
  </si>
  <si>
    <t>Allora</t>
  </si>
  <si>
    <t>Pendle</t>
  </si>
  <si>
    <t>Solstice USX</t>
  </si>
  <si>
    <t>Tradr 2X Long SNDK ETF Tokenized bStocks</t>
  </si>
  <si>
    <t>Orochi Network</t>
  </si>
  <si>
    <t>c8ntinuum</t>
  </si>
  <si>
    <t>Unibase</t>
  </si>
  <si>
    <t>Monad</t>
  </si>
  <si>
    <t>USDGO</t>
  </si>
  <si>
    <t>Beldex</t>
  </si>
  <si>
    <t>Immutable</t>
  </si>
  <si>
    <t>Asteroid Shiba</t>
  </si>
  <si>
    <t>Tesla Tokenized bStocks</t>
  </si>
  <si>
    <t>Threshold</t>
  </si>
  <si>
    <t>GMT</t>
  </si>
  <si>
    <t>Bitcoin SV</t>
  </si>
  <si>
    <t>Tellor</t>
  </si>
  <si>
    <t>OpenLedger</t>
  </si>
  <si>
    <t>Turbo</t>
  </si>
  <si>
    <t>Peanut the Squirrel</t>
  </si>
  <si>
    <t>Billions Network</t>
  </si>
  <si>
    <t>JasmyCoin</t>
  </si>
  <si>
    <t>Mog Coin</t>
  </si>
  <si>
    <t>Jimothy The Raccoon</t>
  </si>
  <si>
    <t>WINkLink</t>
  </si>
  <si>
    <t>AXT Tokenized bStocks</t>
  </si>
  <si>
    <t>AINFT</t>
  </si>
  <si>
    <t>WalletConnect Token</t>
  </si>
  <si>
    <t>Nebius Tokenized bStocks</t>
  </si>
  <si>
    <t>ZIGChain</t>
  </si>
  <si>
    <t>Irys</t>
  </si>
  <si>
    <t>Eurite</t>
  </si>
  <si>
    <t>Pharos</t>
  </si>
  <si>
    <t>Utrust</t>
  </si>
  <si>
    <t>Intuition</t>
  </si>
  <si>
    <t>Tezos</t>
  </si>
  <si>
    <t>Advanced Micro Devices Tokenized bStocks</t>
  </si>
  <si>
    <t>Stacks</t>
  </si>
  <si>
    <t>BitTorrent [New]</t>
  </si>
  <si>
    <t>MetaMask USD</t>
  </si>
  <si>
    <t>Brett (Based)</t>
  </si>
  <si>
    <t>Baby Doge Coin</t>
  </si>
  <si>
    <t>Sapien</t>
  </si>
  <si>
    <t>KernelDAO</t>
  </si>
  <si>
    <t>Treehouse</t>
  </si>
  <si>
    <t>Decred</t>
  </si>
  <si>
    <t>Creditcoin</t>
  </si>
  <si>
    <t>Orchid</t>
  </si>
  <si>
    <t>Bitlight</t>
  </si>
  <si>
    <t>Dusk</t>
  </si>
  <si>
    <t>Jelly-My-Jelly</t>
  </si>
  <si>
    <t>Humidifi</t>
  </si>
  <si>
    <t>Moonbeam</t>
  </si>
  <si>
    <t>Broadcom Tokenized Stock (Ondo)</t>
  </si>
  <si>
    <t>Ronin</t>
  </si>
  <si>
    <t>Blast</t>
  </si>
  <si>
    <t>NVIDIA Tokenized Stock (Ondo)</t>
  </si>
  <si>
    <t>Bancor</t>
  </si>
  <si>
    <t>Dolomite</t>
  </si>
  <si>
    <t>aPriori</t>
  </si>
  <si>
    <t>Siacoin</t>
  </si>
  <si>
    <t>FC Barcelona Fan Token</t>
  </si>
  <si>
    <t>Drift</t>
  </si>
  <si>
    <t>Kusama</t>
  </si>
  <si>
    <t>Steem</t>
  </si>
  <si>
    <t>OG Fan Token</t>
  </si>
  <si>
    <t>Manta Network</t>
  </si>
  <si>
    <t>Ravencoin</t>
  </si>
  <si>
    <t>GraniteShares 2X Long MRVL ETF Tokenized bStocks</t>
  </si>
  <si>
    <t>Jupiter Perps LP</t>
  </si>
  <si>
    <t>Celo</t>
  </si>
  <si>
    <t>Bloom Energy Tokenized bStocks</t>
  </si>
  <si>
    <t>Applied Optoelectronics Tokenized bStocks</t>
  </si>
  <si>
    <t>Layer3</t>
  </si>
  <si>
    <t>Haedal Protocol</t>
  </si>
  <si>
    <t>Alibaba Tokenized Stock (Ondo)</t>
  </si>
  <si>
    <t>Yei Finance</t>
  </si>
  <si>
    <t>FUNToken</t>
  </si>
  <si>
    <t>TAC Protocol</t>
  </si>
  <si>
    <t>Marvell Technology Tokenized Stock (Ondo)</t>
  </si>
  <si>
    <t>Bless</t>
  </si>
  <si>
    <t>STBL</t>
  </si>
  <si>
    <t>Anoma</t>
  </si>
  <si>
    <t>Qualcomm Tokenized bStocks</t>
  </si>
  <si>
    <t>Illuvium</t>
  </si>
  <si>
    <t>PlatON</t>
  </si>
  <si>
    <t>Tradoor</t>
  </si>
  <si>
    <t>RSS3</t>
  </si>
  <si>
    <t>Roundhill Memory ETF Tokenized ETF (Ondo)</t>
  </si>
  <si>
    <t>GHO</t>
  </si>
  <si>
    <t>AITECH Cloud Network</t>
  </si>
  <si>
    <t>Mastercard Tokenized Stock (Ondo)</t>
  </si>
  <si>
    <t>Lockheed Tokenized Stock (Ondo)</t>
  </si>
  <si>
    <t>Alibaba Tokenized bStocks</t>
  </si>
  <si>
    <t>Infinex</t>
  </si>
  <si>
    <t>Amazon Tokenized bStocks</t>
  </si>
  <si>
    <t>Maverick Protocol</t>
  </si>
  <si>
    <t>Magma Finance</t>
  </si>
  <si>
    <t>Micron Tokenized Stock (Reality)</t>
  </si>
  <si>
    <t>ARAI</t>
  </si>
  <si>
    <t>Xterio</t>
  </si>
  <si>
    <t>Rocket Lab Tokenized bStocks</t>
  </si>
  <si>
    <t>iShares Gold Trust Tokenized ETF (Ondo)</t>
  </si>
  <si>
    <t>Hims &amp; Hers Health Tokenized Stock (Ondo)</t>
  </si>
  <si>
    <t>Boba Network</t>
  </si>
  <si>
    <t>RIZE</t>
  </si>
  <si>
    <t>Alltoscan</t>
  </si>
  <si>
    <t>Saros</t>
  </si>
  <si>
    <t>Chia</t>
  </si>
  <si>
    <t>Nietzschean Penguin</t>
  </si>
  <si>
    <t>Mamo</t>
  </si>
  <si>
    <t>Edel</t>
  </si>
  <si>
    <t>Gemini Dollar</t>
  </si>
  <si>
    <t>Grove</t>
  </si>
  <si>
    <t>Nockchain</t>
  </si>
  <si>
    <t>Falcon USD</t>
  </si>
  <si>
    <t>Paycoin</t>
  </si>
  <si>
    <t>SpaceX tokenized stock (Backpack)</t>
  </si>
  <si>
    <t>Ondo US Dollar Yield</t>
  </si>
  <si>
    <t>MAP Protocol</t>
  </si>
  <si>
    <t>iShares MSCI Emerging Markets Tokenized ETF (Ondo)</t>
  </si>
  <si>
    <t>XSGD</t>
  </si>
  <si>
    <t>Aurora</t>
  </si>
  <si>
    <t>Coinbase Tokenized Stock (Reality)</t>
  </si>
  <si>
    <t>Fartboy</t>
  </si>
  <si>
    <t>DACXI</t>
  </si>
  <si>
    <t>Odos</t>
  </si>
  <si>
    <t>RollX</t>
  </si>
  <si>
    <t>VOOI</t>
  </si>
  <si>
    <t>Ontology Gas</t>
  </si>
  <si>
    <t>Balancer</t>
  </si>
  <si>
    <t>toyow</t>
  </si>
  <si>
    <t>The White Whale</t>
  </si>
  <si>
    <t>GameBuild</t>
  </si>
  <si>
    <t>IMPT</t>
  </si>
  <si>
    <t>Wells Fargo Tokenized Stock (Ondo)</t>
  </si>
  <si>
    <t>Portugal National Team Fan Token</t>
  </si>
  <si>
    <t>RACA</t>
  </si>
  <si>
    <t>Decentrawood</t>
  </si>
  <si>
    <t>Firo</t>
  </si>
  <si>
    <t>SoFi Technologies Tokenized Stock (Ondo)</t>
  </si>
  <si>
    <t>Pythia</t>
  </si>
  <si>
    <t>NEM</t>
  </si>
  <si>
    <t>Decimal</t>
  </si>
  <si>
    <t>HyperGPT</t>
  </si>
  <si>
    <t>Nano</t>
  </si>
  <si>
    <t>Ninja Squad Token</t>
  </si>
  <si>
    <t>Hyperion</t>
  </si>
  <si>
    <t>Purple Pepe</t>
  </si>
  <si>
    <t>AST SpaceMobile Tokenized Stock (Ondo)</t>
  </si>
  <si>
    <t>Forest Protocol</t>
  </si>
  <si>
    <t>ShareToken</t>
  </si>
  <si>
    <t>Wiki Cat</t>
  </si>
  <si>
    <t>CESS Network</t>
  </si>
  <si>
    <t>Lingo</t>
  </si>
  <si>
    <t>Aleph Zero</t>
  </si>
  <si>
    <t>Meta Tokenized Stock (Reality)</t>
  </si>
  <si>
    <t>OpenAI
Pre-IPO stock (Republic)</t>
  </si>
  <si>
    <t>Dora Factory</t>
  </si>
  <si>
    <t>Gems</t>
  </si>
  <si>
    <t>BitDCA</t>
  </si>
  <si>
    <t>NuNet</t>
  </si>
  <si>
    <t>Tenset</t>
  </si>
  <si>
    <t>MATH</t>
  </si>
  <si>
    <t>Tectum</t>
  </si>
  <si>
    <t>Humans.ai</t>
  </si>
  <si>
    <t>GameFi.org</t>
  </si>
  <si>
    <t>World3</t>
  </si>
  <si>
    <t>Tottenham Hotspur Fan Token</t>
  </si>
  <si>
    <t>GemHUB</t>
  </si>
  <si>
    <t>Adshares</t>
  </si>
  <si>
    <t>HOPR</t>
  </si>
  <si>
    <t>Sportbet.one Token</t>
  </si>
  <si>
    <t>Sharp</t>
  </si>
  <si>
    <t>Streamflow</t>
  </si>
  <si>
    <t>Make Aliens Great Again</t>
  </si>
  <si>
    <t>Cypherium</t>
  </si>
  <si>
    <t>Perpetual Protocol</t>
  </si>
  <si>
    <t>Metadium</t>
  </si>
  <si>
    <t>Hoppy (hoppy.vip)</t>
  </si>
  <si>
    <t>Blocksquare Token</t>
  </si>
  <si>
    <t>Hachiko</t>
  </si>
  <si>
    <t>Usual USD</t>
  </si>
  <si>
    <t>PeiPei (ETH)</t>
  </si>
  <si>
    <t>GALAXIA</t>
  </si>
  <si>
    <t>HashAI</t>
  </si>
  <si>
    <t>OpenGPU</t>
  </si>
  <si>
    <t>Adappter Token</t>
  </si>
  <si>
    <t>BioPassport Token</t>
  </si>
  <si>
    <t>POOH</t>
  </si>
  <si>
    <t>EarthMeta</t>
  </si>
  <si>
    <t>Pepecoin</t>
  </si>
  <si>
    <t>SaucerSwap</t>
  </si>
  <si>
    <t>Araracoin</t>
  </si>
  <si>
    <t>Vara Network</t>
  </si>
  <si>
    <t>Wibx</t>
  </si>
  <si>
    <t>DeepBrain Chain</t>
  </si>
  <si>
    <t>TokenPocket</t>
  </si>
  <si>
    <t>SymVerse (symverse.org)</t>
  </si>
  <si>
    <t>WYDE: End Hunger</t>
  </si>
  <si>
    <t>Bellscoin</t>
  </si>
  <si>
    <t>Ren</t>
  </si>
  <si>
    <t>USDB</t>
  </si>
  <si>
    <t>USDai</t>
  </si>
  <si>
    <t>MonaCoin</t>
  </si>
  <si>
    <t>MAGIC•INTERNET•MONEY (Bitcoin)</t>
  </si>
  <si>
    <t>Suku</t>
  </si>
  <si>
    <t>Mango</t>
  </si>
  <si>
    <t>ScPrime</t>
  </si>
  <si>
    <t>Jesus Coin</t>
  </si>
  <si>
    <t>UNCX Network</t>
  </si>
  <si>
    <t>NanoByte Token</t>
  </si>
  <si>
    <t>Not Pixel</t>
  </si>
  <si>
    <t>Ducky</t>
  </si>
  <si>
    <t>CateCoin</t>
  </si>
  <si>
    <t>BORGY</t>
  </si>
  <si>
    <t>GOLDAO</t>
  </si>
  <si>
    <t>ShibaDoge</t>
  </si>
  <si>
    <t>Vertical AI</t>
  </si>
  <si>
    <t>StablR Euro</t>
  </si>
  <si>
    <t>Hoge Finance</t>
  </si>
  <si>
    <t>Fulcrom Finance</t>
  </si>
  <si>
    <t>Hegic</t>
  </si>
  <si>
    <t>AIVille Governance Token</t>
  </si>
  <si>
    <t>Grand Total</t>
  </si>
  <si>
    <t>Sum of Price (USD)</t>
  </si>
  <si>
    <t>Sum of 1h Change (%)</t>
  </si>
  <si>
    <t>Ampleforth Governance Token</t>
  </si>
  <si>
    <t>Argentine Football Association Fan Token</t>
  </si>
  <si>
    <t>AS Roma Fan Token</t>
  </si>
  <si>
    <t>AVA</t>
  </si>
  <si>
    <t>Bitcicoin</t>
  </si>
  <si>
    <t>Bitcoin Diamond</t>
  </si>
  <si>
    <t>Book of Ethereum</t>
  </si>
  <si>
    <t>Bytecoin</t>
  </si>
  <si>
    <t>CatSlap</t>
  </si>
  <si>
    <t>Chamber</t>
  </si>
  <si>
    <t>Clash of Lilliput</t>
  </si>
  <si>
    <t>CoinMarketCap 20 Index DTF</t>
  </si>
  <si>
    <t>DeepNode</t>
  </si>
  <si>
    <t>Defactor</t>
  </si>
  <si>
    <t>Djed</t>
  </si>
  <si>
    <t>Dogecoin</t>
  </si>
  <si>
    <t>DOWGE</t>
  </si>
  <si>
    <t>Elastos</t>
  </si>
  <si>
    <t>Ethereum</t>
  </si>
  <si>
    <t>Flying Tulip</t>
  </si>
  <si>
    <t>GAIB</t>
  </si>
  <si>
    <t>Galeon</t>
  </si>
  <si>
    <t>HI</t>
  </si>
  <si>
    <t>HODL</t>
  </si>
  <si>
    <t>Impossible Cloud Network</t>
  </si>
  <si>
    <t>IoTeX</t>
  </si>
  <si>
    <t>KiboShib</t>
  </si>
  <si>
    <t>LayerX</t>
  </si>
  <si>
    <t>LIBRA</t>
  </si>
  <si>
    <t>Lit Protocol</t>
  </si>
  <si>
    <t>Marina Protocol</t>
  </si>
  <si>
    <t>MIA</t>
  </si>
  <si>
    <t>MyShell</t>
  </si>
  <si>
    <t>Nexa (nexaagent.xyz)</t>
  </si>
  <si>
    <t>Numbers Protocol</t>
  </si>
  <si>
    <t>ProShares UltraPro QQQ Tokenized bStocks</t>
  </si>
  <si>
    <t>Radiant</t>
  </si>
  <si>
    <t>Radworks</t>
  </si>
  <si>
    <t>Rarible</t>
  </si>
  <si>
    <t>Real Briefly</t>
  </si>
  <si>
    <t>RENEC</t>
  </si>
  <si>
    <t>Reserve AI Infrastructure Tokenized DTF</t>
  </si>
  <si>
    <t>Reserve AI Photonics Tokenized DTF</t>
  </si>
  <si>
    <t>SanDisk Tokenized Stock (Reality)</t>
  </si>
  <si>
    <t>Save</t>
  </si>
  <si>
    <t>SideShift Token</t>
  </si>
  <si>
    <t>Solana</t>
  </si>
  <si>
    <t>Somnia</t>
  </si>
  <si>
    <t>Strategy Tokenized bStocks</t>
  </si>
  <si>
    <t>Theta Fuel</t>
  </si>
  <si>
    <t>TSMC Tokenized Stock (Reality)</t>
  </si>
  <si>
    <t>UNUS SED LEO</t>
  </si>
  <si>
    <t>USDC</t>
  </si>
  <si>
    <t>USDK</t>
  </si>
  <si>
    <t>Velodrome Finance</t>
  </si>
  <si>
    <t>Venus DAI</t>
  </si>
  <si>
    <t>Viction</t>
  </si>
  <si>
    <t>VitaDAO</t>
  </si>
  <si>
    <t>Coin Name</t>
  </si>
  <si>
    <t>Symbol</t>
  </si>
  <si>
    <t>Price (USD)</t>
  </si>
  <si>
    <t>1h Change (%)</t>
  </si>
  <si>
    <t>Market Cap</t>
  </si>
  <si>
    <t>Volume (24h)</t>
  </si>
  <si>
    <t>Circulating Supply</t>
  </si>
  <si>
    <t>Doller Volume per Supply</t>
  </si>
  <si>
    <t xml:space="preserve">Rank </t>
  </si>
  <si>
    <t>Price range</t>
  </si>
  <si>
    <t>Previous 1h Price</t>
  </si>
  <si>
    <t>Task4 Price Range</t>
  </si>
  <si>
    <t>24h Change (%)</t>
  </si>
  <si>
    <t>7d Change (%)</t>
  </si>
  <si>
    <t>CMC20</t>
  </si>
  <si>
    <t>BTC</t>
  </si>
  <si>
    <t>1610000000000.0</t>
  </si>
  <si>
    <t>ETH</t>
  </si>
  <si>
    <t>3.0209E+11</t>
  </si>
  <si>
    <t>USDT</t>
  </si>
  <si>
    <t>1.8316E+11</t>
  </si>
  <si>
    <t>1.1449E+11</t>
  </si>
  <si>
    <t>1.8323E+11</t>
  </si>
  <si>
    <t>2049999999.9999998</t>
  </si>
  <si>
    <t>SOL</t>
  </si>
  <si>
    <t>TRX</t>
  </si>
  <si>
    <t>32700000000.000004</t>
  </si>
  <si>
    <t>517450000.00000006</t>
  </si>
  <si>
    <t>HYPE</t>
  </si>
  <si>
    <t>DOGE</t>
  </si>
  <si>
    <t>1.5563E+11</t>
  </si>
  <si>
    <t>ZEC</t>
  </si>
  <si>
    <t>Chainlink</t>
  </si>
  <si>
    <t>LINK</t>
  </si>
  <si>
    <t>LEO</t>
  </si>
  <si>
    <t>XMR</t>
  </si>
  <si>
    <t>8359999999.999999</t>
  </si>
  <si>
    <t>Gnosis</t>
  </si>
  <si>
    <t>GNO</t>
  </si>
  <si>
    <t>Lido DAO</t>
  </si>
  <si>
    <t>LDO</t>
  </si>
  <si>
    <t>PENDLE</t>
  </si>
  <si>
    <t>Terra Classic</t>
  </si>
  <si>
    <t>LUNC</t>
  </si>
  <si>
    <t>5.508e-05</t>
  </si>
  <si>
    <t>5510000000000.0</t>
  </si>
  <si>
    <t>Pieverse</t>
  </si>
  <si>
    <t>PIEVERSE</t>
  </si>
  <si>
    <t>JTO</t>
  </si>
  <si>
    <t>BTT</t>
  </si>
  <si>
    <t>987030000000000.0</t>
  </si>
  <si>
    <t>BONK</t>
  </si>
  <si>
    <t>87990000000000.0</t>
  </si>
  <si>
    <t>Falcon Finance</t>
  </si>
  <si>
    <t>FF</t>
  </si>
  <si>
    <t>NFT</t>
  </si>
  <si>
    <t>990100000000000.0</t>
  </si>
  <si>
    <t>Plasma</t>
  </si>
  <si>
    <t>XPL</t>
  </si>
  <si>
    <t>IMX</t>
  </si>
  <si>
    <t>CFX</t>
  </si>
  <si>
    <t>FLOKI</t>
  </si>
  <si>
    <t>2.758e-05</t>
  </si>
  <si>
    <t>9520000000000.0</t>
  </si>
  <si>
    <t>XTZ</t>
  </si>
  <si>
    <t>RAIN</t>
  </si>
  <si>
    <t>7.1659E+11</t>
  </si>
  <si>
    <t>DEL</t>
  </si>
  <si>
    <t>USDY</t>
  </si>
  <si>
    <t>898230000000000.0</t>
  </si>
  <si>
    <t>Bitway</t>
  </si>
  <si>
    <t>BTW</t>
  </si>
  <si>
    <t>USDf</t>
  </si>
  <si>
    <t>CTM</t>
  </si>
  <si>
    <t>JLP</t>
  </si>
  <si>
    <t>BDX</t>
  </si>
  <si>
    <t>USD0</t>
  </si>
  <si>
    <t>USDAI</t>
  </si>
  <si>
    <t>USX</t>
  </si>
  <si>
    <t>UB</t>
  </si>
  <si>
    <t>Pons</t>
  </si>
  <si>
    <t>PONS</t>
  </si>
  <si>
    <t>Diem</t>
  </si>
  <si>
    <t>DIEM</t>
  </si>
  <si>
    <t>ECOMI</t>
  </si>
  <si>
    <t>OMI</t>
  </si>
  <si>
    <t>2.8256E+11</t>
  </si>
  <si>
    <t>Fidelity Digital Dollar</t>
  </si>
  <si>
    <t>FIDD</t>
  </si>
  <si>
    <t>Wormhole</t>
  </si>
  <si>
    <t>W</t>
  </si>
  <si>
    <t>NEXPACE</t>
  </si>
  <si>
    <t>NXPC</t>
  </si>
  <si>
    <t>BNB Attestation Service</t>
  </si>
  <si>
    <t>BAS</t>
  </si>
  <si>
    <t>Popcat (SOL)</t>
  </si>
  <si>
    <t>POPCAT</t>
  </si>
  <si>
    <t>would</t>
  </si>
  <si>
    <t>WOULD</t>
  </si>
  <si>
    <t>Capricorn</t>
  </si>
  <si>
    <t>APR</t>
  </si>
  <si>
    <t>Targon</t>
  </si>
  <si>
    <t>SN4</t>
  </si>
  <si>
    <t>Dohrnii</t>
  </si>
  <si>
    <t>DHN</t>
  </si>
  <si>
    <t>StandX DUSD</t>
  </si>
  <si>
    <t>DUSD</t>
  </si>
  <si>
    <t>Venus BUSD</t>
  </si>
  <si>
    <t>vBUSD</t>
  </si>
  <si>
    <t>Qubic</t>
  </si>
  <si>
    <t>QUBIC</t>
  </si>
  <si>
    <t>141550000000000.0</t>
  </si>
  <si>
    <t>Mask Network</t>
  </si>
  <si>
    <t>MASK</t>
  </si>
  <si>
    <t>Gravity</t>
  </si>
  <si>
    <t>G</t>
  </si>
  <si>
    <t>River</t>
  </si>
  <si>
    <t>RIVER</t>
  </si>
  <si>
    <t>Audiera</t>
  </si>
  <si>
    <t>BEAT</t>
  </si>
  <si>
    <t>MAGMA</t>
  </si>
  <si>
    <t>Locus Chain</t>
  </si>
  <si>
    <t>LOCUS</t>
  </si>
  <si>
    <t>Aztec</t>
  </si>
  <si>
    <t>AZTEC</t>
  </si>
  <si>
    <t>Verge</t>
  </si>
  <si>
    <t>XVG</t>
  </si>
  <si>
    <t>Keeta</t>
  </si>
  <si>
    <t>KTA</t>
  </si>
  <si>
    <t>ssv.network</t>
  </si>
  <si>
    <t>SSV</t>
  </si>
  <si>
    <t>Lombard</t>
  </si>
  <si>
    <t>BARD</t>
  </si>
  <si>
    <t>Frankencoin</t>
  </si>
  <si>
    <t>ZCHF</t>
  </si>
  <si>
    <t>ApeX Protocol</t>
  </si>
  <si>
    <t>APEX</t>
  </si>
  <si>
    <t>T</t>
  </si>
  <si>
    <t>Notcoin</t>
  </si>
  <si>
    <t>NOT</t>
  </si>
  <si>
    <t>templar</t>
  </si>
  <si>
    <t>SN3</t>
  </si>
  <si>
    <t>Vana</t>
  </si>
  <si>
    <t>VANA</t>
  </si>
  <si>
    <t>LUSD</t>
  </si>
  <si>
    <t>World Mobile Token</t>
  </si>
  <si>
    <t>WMTX</t>
  </si>
  <si>
    <t>Lista DAO</t>
  </si>
  <si>
    <t>LISTA</t>
  </si>
  <si>
    <t>ZORA</t>
  </si>
  <si>
    <t>iota</t>
  </si>
  <si>
    <t>SN9</t>
  </si>
  <si>
    <t>TerraClassicUSD</t>
  </si>
  <si>
    <t>USTC</t>
  </si>
  <si>
    <t>EthereumPoW</t>
  </si>
  <si>
    <t>ETHW</t>
  </si>
  <si>
    <t>Waves</t>
  </si>
  <si>
    <t>WAVES</t>
  </si>
  <si>
    <t>Fabric Protocol</t>
  </si>
  <si>
    <t>ROBO</t>
  </si>
  <si>
    <t>Sahara AI</t>
  </si>
  <si>
    <t>SAHARA</t>
  </si>
  <si>
    <t>8300000.000000001</t>
  </si>
  <si>
    <t>XAN</t>
  </si>
  <si>
    <t>Status</t>
  </si>
  <si>
    <t>SNT</t>
  </si>
  <si>
    <t>DEAPcoin</t>
  </si>
  <si>
    <t>DEP</t>
  </si>
  <si>
    <t>B3 (Base)</t>
  </si>
  <si>
    <t>B3</t>
  </si>
  <si>
    <t>Catizen</t>
  </si>
  <si>
    <t>CATI</t>
  </si>
  <si>
    <t>BSB</t>
  </si>
  <si>
    <t>Isiklar Coin</t>
  </si>
  <si>
    <t>ISIKC</t>
  </si>
  <si>
    <t>Usual</t>
  </si>
  <si>
    <t>USUAL</t>
  </si>
  <si>
    <t>Pundi X (New)</t>
  </si>
  <si>
    <t>PUNDIX</t>
  </si>
  <si>
    <t>Stargate Finance</t>
  </si>
  <si>
    <t>STG</t>
  </si>
  <si>
    <t>Bounce Token</t>
  </si>
  <si>
    <t>AUCTION</t>
  </si>
  <si>
    <t>saffron.finance</t>
  </si>
  <si>
    <t>SFI</t>
  </si>
  <si>
    <t>State Street SPDR S&amp;P 500 ETF Tokenized bStocks</t>
  </si>
  <si>
    <t>SPYB</t>
  </si>
  <si>
    <t>Metis</t>
  </si>
  <si>
    <t>METIS</t>
  </si>
  <si>
    <t>WOO</t>
  </si>
  <si>
    <t>AO</t>
  </si>
  <si>
    <t>Ergo</t>
  </si>
  <si>
    <t>ERG</t>
  </si>
  <si>
    <t>MAX Exchange Token</t>
  </si>
  <si>
    <t>MAX</t>
  </si>
  <si>
    <t>Young</t>
  </si>
  <si>
    <t>YNG</t>
  </si>
  <si>
    <t>BitMart Token</t>
  </si>
  <si>
    <t>BMX</t>
  </si>
  <si>
    <t>Goldgr</t>
  </si>
  <si>
    <t>GOLDGR</t>
  </si>
  <si>
    <t>JIMOTHY</t>
  </si>
  <si>
    <t>Enso</t>
  </si>
  <si>
    <t>ENSO</t>
  </si>
  <si>
    <t>Cobak Token</t>
  </si>
  <si>
    <t>CBK</t>
  </si>
  <si>
    <t>Codatta</t>
  </si>
  <si>
    <t>XNY</t>
  </si>
  <si>
    <t>Tether Gold Tokens</t>
  </si>
  <si>
    <t>XAUT0</t>
  </si>
  <si>
    <t>Spell Token</t>
  </si>
  <si>
    <t>SPELL</t>
  </si>
  <si>
    <t>8.813e-05</t>
  </si>
  <si>
    <t>1.9524E+11</t>
  </si>
  <si>
    <t>Namecoin</t>
  </si>
  <si>
    <t>NMC</t>
  </si>
  <si>
    <t>Pocket Network</t>
  </si>
  <si>
    <t>POKT</t>
  </si>
  <si>
    <t>NaoX Protocol</t>
  </si>
  <si>
    <t>NAORIS</t>
  </si>
  <si>
    <t>Eesee</t>
  </si>
  <si>
    <t>ESE</t>
  </si>
  <si>
    <t>Corn</t>
  </si>
  <si>
    <t>CORN</t>
  </si>
  <si>
    <t>Mey Network</t>
  </si>
  <si>
    <t>MEY</t>
  </si>
  <si>
    <t>PEP</t>
  </si>
  <si>
    <t>1.0292E+11</t>
  </si>
  <si>
    <t>AEON</t>
  </si>
  <si>
    <t>Intel Tokenized Stock (Reality)</t>
  </si>
  <si>
    <t>rINTC</t>
  </si>
  <si>
    <t>INX</t>
  </si>
  <si>
    <t>Yooldo</t>
  </si>
  <si>
    <t>ESPORTS</t>
  </si>
  <si>
    <t>SOFIon</t>
  </si>
  <si>
    <t>Boundless</t>
  </si>
  <si>
    <t>ZKC</t>
  </si>
  <si>
    <t>Fluent</t>
  </si>
  <si>
    <t>BLEND</t>
  </si>
  <si>
    <t>Solv Protocol</t>
  </si>
  <si>
    <t>SOLV</t>
  </si>
  <si>
    <t>GYEN</t>
  </si>
  <si>
    <t>2089999999.9999998</t>
  </si>
  <si>
    <t>ROGin AI</t>
  </si>
  <si>
    <t>ROG</t>
  </si>
  <si>
    <t>66980000.00000001</t>
  </si>
  <si>
    <t>FIRO</t>
  </si>
  <si>
    <t>MovieBloc</t>
  </si>
  <si>
    <t>MBL</t>
  </si>
  <si>
    <t>DIAM</t>
  </si>
  <si>
    <t>RAMP</t>
  </si>
  <si>
    <t>DOLO</t>
  </si>
  <si>
    <t>Limitless</t>
  </si>
  <si>
    <t>LMTS</t>
  </si>
  <si>
    <t>2029999.9999999998</t>
  </si>
  <si>
    <t>CyberLeek</t>
  </si>
  <si>
    <t>CYBERLEEK</t>
  </si>
  <si>
    <t>Creta World</t>
  </si>
  <si>
    <t>CRETA</t>
  </si>
  <si>
    <t>Heima</t>
  </si>
  <si>
    <t>HEI</t>
  </si>
  <si>
    <t>SuperRare</t>
  </si>
  <si>
    <t>RARE</t>
  </si>
  <si>
    <t>AriaAI</t>
  </si>
  <si>
    <t>ARIA</t>
  </si>
  <si>
    <t>MAGIC肘NTERNET筆ONEY (Bitcoin)</t>
  </si>
  <si>
    <t>MIM</t>
  </si>
  <si>
    <t>Squid</t>
  </si>
  <si>
    <t>QUID</t>
  </si>
  <si>
    <t>TG Casino</t>
  </si>
  <si>
    <t>TGC</t>
  </si>
  <si>
    <t>Act I : The AI Prophecy</t>
  </si>
  <si>
    <t>ACT</t>
  </si>
  <si>
    <t>Ambire Wallet</t>
  </si>
  <si>
    <t>WALLET</t>
  </si>
  <si>
    <t>GUNZ</t>
  </si>
  <si>
    <t>GUN</t>
  </si>
  <si>
    <t>ANyONe Protocol</t>
  </si>
  <si>
    <t>ANYONE</t>
  </si>
  <si>
    <t>PYTHIA</t>
  </si>
  <si>
    <t>BAL</t>
  </si>
  <si>
    <t>Paris Saint-Germain Fan Token</t>
  </si>
  <si>
    <t>PSG</t>
  </si>
  <si>
    <t>Meta tokenized stock (xStock)</t>
  </si>
  <si>
    <t>METAX</t>
  </si>
  <si>
    <t>8380000.000000001</t>
  </si>
  <si>
    <t>Towns</t>
  </si>
  <si>
    <t>TOWNS</t>
  </si>
  <si>
    <t>Groestlcoin</t>
  </si>
  <si>
    <t>GRS</t>
  </si>
  <si>
    <t>Apple Tokenized Stock (Ondo)</t>
  </si>
  <si>
    <t>AAPLon</t>
  </si>
  <si>
    <t>Echelon Prime</t>
  </si>
  <si>
    <t>PRIME</t>
  </si>
  <si>
    <t>8289999.999999999</t>
  </si>
  <si>
    <t>Peercoin</t>
  </si>
  <si>
    <t>PPC</t>
  </si>
  <si>
    <t>8279999.999999999</t>
  </si>
  <si>
    <t>ResearchCoin</t>
  </si>
  <si>
    <t>RSC</t>
  </si>
  <si>
    <t>129550000.00000001</t>
  </si>
  <si>
    <t>NBISB</t>
  </si>
  <si>
    <t>Stader</t>
  </si>
  <si>
    <t>SD</t>
  </si>
  <si>
    <t>8220000.000000001</t>
  </si>
  <si>
    <t>ULTILAND</t>
  </si>
  <si>
    <t>ARTX</t>
  </si>
  <si>
    <t>inSure DeFi</t>
  </si>
  <si>
    <t>SURE</t>
  </si>
  <si>
    <t>8199999.999999999</t>
  </si>
  <si>
    <t>Bitgert</t>
  </si>
  <si>
    <t>BRISE</t>
  </si>
  <si>
    <t>395690000000000.0</t>
  </si>
  <si>
    <t>Mansory</t>
  </si>
  <si>
    <t>MNSRY</t>
  </si>
  <si>
    <t>WazirX</t>
  </si>
  <si>
    <t>WRX</t>
  </si>
  <si>
    <t>SUPRA</t>
  </si>
  <si>
    <t>33619999999.999996</t>
  </si>
  <si>
    <t>McDull</t>
  </si>
  <si>
    <t>MCDULL</t>
  </si>
  <si>
    <t>7550000000000.0</t>
  </si>
  <si>
    <t>EDEL</t>
  </si>
  <si>
    <t>Avici</t>
  </si>
  <si>
    <t>AVICI</t>
  </si>
  <si>
    <t>ELA</t>
  </si>
  <si>
    <t>Portal To Bitcoin</t>
  </si>
  <si>
    <t>PTB</t>
  </si>
  <si>
    <t>8109999999.999999</t>
  </si>
  <si>
    <t>Micron Technology Inc tokenized stock (Backpack)</t>
  </si>
  <si>
    <t>MU</t>
  </si>
  <si>
    <t>MARBLEX</t>
  </si>
  <si>
    <t>MBX</t>
  </si>
  <si>
    <t>ELYSIA</t>
  </si>
  <si>
    <t>EL</t>
  </si>
  <si>
    <t>NAVI Protocol</t>
  </si>
  <si>
    <t>NAVX</t>
  </si>
  <si>
    <t>PayAI Network</t>
  </si>
  <si>
    <t>PAYAI</t>
  </si>
  <si>
    <t>district0x</t>
  </si>
  <si>
    <t>DNT</t>
  </si>
  <si>
    <t>Pups (Bitcoin)</t>
  </si>
  <si>
    <t>PUPS</t>
  </si>
  <si>
    <t>Partisia Blockchain</t>
  </si>
  <si>
    <t>MPC</t>
  </si>
  <si>
    <t>Juventus Fan Token</t>
  </si>
  <si>
    <t>JUV</t>
  </si>
  <si>
    <t>AMO Coin</t>
  </si>
  <si>
    <t>AMO</t>
  </si>
  <si>
    <t>S.S. Lazio Fan Token</t>
  </si>
  <si>
    <t>LAZIO</t>
  </si>
  <si>
    <t>FAR Labs</t>
  </si>
  <si>
    <t>FAR</t>
  </si>
  <si>
    <t>Manchester City Fan Token</t>
  </si>
  <si>
    <t>CITY</t>
  </si>
  <si>
    <t>RHEA Finance</t>
  </si>
  <si>
    <t>RHEA</t>
  </si>
  <si>
    <t>BCN</t>
  </si>
  <si>
    <t>2.798e-05</t>
  </si>
  <si>
    <t>1.8406E+11</t>
  </si>
  <si>
    <t>Measurable Data Token</t>
  </si>
  <si>
    <t>MDT</t>
  </si>
  <si>
    <t>Kryll</t>
  </si>
  <si>
    <t>KRL</t>
  </si>
  <si>
    <t>LINGO</t>
  </si>
  <si>
    <t>PoP Planet</t>
  </si>
  <si>
    <t>P</t>
  </si>
  <si>
    <t>Direxion Semiconductor Bull 3X tokenized ETF (xStock)</t>
  </si>
  <si>
    <t>SOXLx</t>
  </si>
  <si>
    <t>Mitosis</t>
  </si>
  <si>
    <t>MITO</t>
  </si>
  <si>
    <t>Truth</t>
  </si>
  <si>
    <t>TRUU</t>
  </si>
  <si>
    <t>Arsenal Fan Token</t>
  </si>
  <si>
    <t>AFC</t>
  </si>
  <si>
    <t>???</t>
  </si>
  <si>
    <t>Hivemapper</t>
  </si>
  <si>
    <t>HONEY</t>
  </si>
  <si>
    <t>AMD Tokenised Stock (xStock)</t>
  </si>
  <si>
    <t>AMDx</t>
  </si>
  <si>
    <t>VITA</t>
  </si>
  <si>
    <t>Yee Token</t>
  </si>
  <si>
    <t>YEE</t>
  </si>
  <si>
    <t>Wexo</t>
  </si>
  <si>
    <t>WEXO</t>
  </si>
  <si>
    <t>LAT</t>
  </si>
  <si>
    <t>TrustSwap</t>
  </si>
  <si>
    <t>SWAP</t>
  </si>
  <si>
    <t>MetFi</t>
  </si>
  <si>
    <t>METFI</t>
  </si>
  <si>
    <t>Vertcoin</t>
  </si>
  <si>
    <t>VTC</t>
  </si>
  <si>
    <t>Aragon</t>
  </si>
  <si>
    <t>ANT</t>
  </si>
  <si>
    <t>Bitrue Coin</t>
  </si>
  <si>
    <t>BTR</t>
  </si>
  <si>
    <t>League of Traders</t>
  </si>
  <si>
    <t>LOT</t>
  </si>
  <si>
    <t>AMDB</t>
  </si>
  <si>
    <t>Grin</t>
  </si>
  <si>
    <t>GRIN</t>
  </si>
  <si>
    <t>iShares Core S&amp;P MidCap Tokenized ETF (Ondo)</t>
  </si>
  <si>
    <t>IJHon</t>
  </si>
  <si>
    <t>ODOS</t>
  </si>
  <si>
    <t>Games for a Living</t>
  </si>
  <si>
    <t>GFAL</t>
  </si>
  <si>
    <t>ZenChain</t>
  </si>
  <si>
    <t>ZTC</t>
  </si>
  <si>
    <t>Vanar Chain</t>
  </si>
  <si>
    <t>VANRY</t>
  </si>
  <si>
    <t>PEIPEI</t>
  </si>
  <si>
    <t>420680000000000.0</t>
  </si>
  <si>
    <t>Star Atlas DAO</t>
  </si>
  <si>
    <t>POLIS</t>
  </si>
  <si>
    <t>Arrow Finance</t>
  </si>
  <si>
    <t>ARROW</t>
  </si>
  <si>
    <t>Avalon Labs (AVL)</t>
  </si>
  <si>
    <t>AVL</t>
  </si>
  <si>
    <t>Cratos</t>
  </si>
  <si>
    <t>CRTS</t>
  </si>
  <si>
    <t>4.709e-05</t>
  </si>
  <si>
    <t>Shido Network</t>
  </si>
  <si>
    <t>SHIDO</t>
  </si>
  <si>
    <t>Billy (Bitcoin)</t>
  </si>
  <si>
    <t>BILLY</t>
  </si>
  <si>
    <t>AZERO</t>
  </si>
  <si>
    <t>266769999.99999997</t>
  </si>
  <si>
    <t>Novo Nordisk Tokenized Stock (Ondo)</t>
  </si>
  <si>
    <t>NVOon</t>
  </si>
  <si>
    <t>Immunefi</t>
  </si>
  <si>
    <t>IMU</t>
  </si>
  <si>
    <t>PX</t>
  </si>
  <si>
    <t>World of Dypians</t>
  </si>
  <si>
    <t>WOD</t>
  </si>
  <si>
    <t>Global X DRAM ETF Tokenized Stock (Reality)</t>
  </si>
  <si>
    <t>rDRAM</t>
  </si>
  <si>
    <t>Oracle tokenized stock (xStock)</t>
  </si>
  <si>
    <t>ORCLX</t>
  </si>
  <si>
    <t>Mythos</t>
  </si>
  <si>
    <t>MYTH</t>
  </si>
  <si>
    <t>Validity</t>
  </si>
  <si>
    <t>VAL</t>
  </si>
  <si>
    <t>Aleph Cloud</t>
  </si>
  <si>
    <t>ALEPH</t>
  </si>
  <si>
    <t>Russell</t>
  </si>
  <si>
    <t>RUSSELL</t>
  </si>
  <si>
    <t>Zeus Network</t>
  </si>
  <si>
    <t>ZEUS</t>
  </si>
  <si>
    <t>CEEK VR</t>
  </si>
  <si>
    <t>CEEK</t>
  </si>
  <si>
    <t>OneFootball Credits</t>
  </si>
  <si>
    <t>OFC</t>
  </si>
  <si>
    <t>REI Network</t>
  </si>
  <si>
    <t>REI</t>
  </si>
  <si>
    <t>Blockchain Foundation for Innovation &amp; Collaboration</t>
  </si>
  <si>
    <t>BFIC</t>
  </si>
  <si>
    <t>WINR Protocol</t>
  </si>
  <si>
    <t>WINR</t>
  </si>
  <si>
    <t>TQQQB</t>
  </si>
  <si>
    <t>The Official 67 Coin</t>
  </si>
  <si>
    <t>Tether EURt</t>
  </si>
  <si>
    <t>EURt</t>
  </si>
  <si>
    <t>ﾆternity</t>
  </si>
  <si>
    <t>AE</t>
  </si>
  <si>
    <t>Nya</t>
  </si>
  <si>
    <t>NYA</t>
  </si>
  <si>
    <t>35230000000000.0</t>
  </si>
  <si>
    <t>BIOT</t>
  </si>
  <si>
    <t>DAR Open Network</t>
  </si>
  <si>
    <t>D</t>
  </si>
  <si>
    <t>Verasity</t>
  </si>
  <si>
    <t>VRA</t>
  </si>
  <si>
    <t>2.036e-05</t>
  </si>
  <si>
    <t>Scamcoin</t>
  </si>
  <si>
    <t>SCAM</t>
  </si>
  <si>
    <t>IREN Limited Tokenized bStocks</t>
  </si>
  <si>
    <t>IRENB</t>
  </si>
  <si>
    <t>BitMine Immersion Technologies Tokenized Stock (Ondo)</t>
  </si>
  <si>
    <t>BMNRon</t>
  </si>
  <si>
    <t>XSwap</t>
  </si>
  <si>
    <t>XSWAP</t>
  </si>
  <si>
    <t>Nokia Tokenized bStocks</t>
  </si>
  <si>
    <t>NOKB</t>
  </si>
  <si>
    <t>Ribbon Finance</t>
  </si>
  <si>
    <t>RBN</t>
  </si>
  <si>
    <t>Bitcoin Silver AI</t>
  </si>
  <si>
    <t>BSAI</t>
  </si>
  <si>
    <t>Ctomorrow Platform</t>
  </si>
  <si>
    <t>CTP</t>
  </si>
  <si>
    <t>Nodle</t>
  </si>
  <si>
    <t>NODL</t>
  </si>
  <si>
    <t>Shark Cat</t>
  </si>
  <si>
    <t>SC</t>
  </si>
  <si>
    <t>NetMind Token</t>
  </si>
  <si>
    <t>NMT</t>
  </si>
  <si>
    <t>33450000.000000004</t>
  </si>
  <si>
    <t>Apple Tokenized Stock (Robinhood)</t>
  </si>
  <si>
    <t>AAPL</t>
  </si>
  <si>
    <t>HOPPY</t>
  </si>
  <si>
    <t>65370.00000000001</t>
  </si>
  <si>
    <t>4.2069E+11</t>
  </si>
  <si>
    <t>Torch of Liberty</t>
  </si>
  <si>
    <t>LIBERTY</t>
  </si>
  <si>
    <t>Vader</t>
  </si>
  <si>
    <t>VADER</t>
  </si>
  <si>
    <t>GAFI</t>
  </si>
  <si>
    <t>iMe Lab</t>
  </si>
  <si>
    <t>LIME</t>
  </si>
  <si>
    <t>OciCat</t>
  </si>
  <si>
    <t>OCICAT</t>
  </si>
  <si>
    <t>318290000000000.0</t>
  </si>
  <si>
    <t>ArchLoot</t>
  </si>
  <si>
    <t>AL</t>
  </si>
  <si>
    <t>SK Hynix Tokenized Stock (Ondo)</t>
  </si>
  <si>
    <t>SKHYon</t>
  </si>
  <si>
    <t>WELF</t>
  </si>
  <si>
    <t>SLIMEX</t>
  </si>
  <si>
    <t>SLX</t>
  </si>
  <si>
    <t>Zyfai</t>
  </si>
  <si>
    <t>ZFI</t>
  </si>
  <si>
    <t>AllUnity EUR</t>
  </si>
  <si>
    <t>EURAU</t>
  </si>
  <si>
    <t>Invesco QQQ Tokenized ETF (Robinhood)</t>
  </si>
  <si>
    <t>QQQ</t>
  </si>
  <si>
    <t>Costco Tokenized Stock (Ondo)</t>
  </si>
  <si>
    <t>COSTon</t>
  </si>
  <si>
    <t>Free Joby</t>
  </si>
  <si>
    <t>JOBY</t>
  </si>
  <si>
    <t>Dell Technologies Inc. tokenized stock (xStock)</t>
  </si>
  <si>
    <t>DELLx</t>
  </si>
  <si>
    <t>128770.00000000001</t>
  </si>
  <si>
    <t>Dejitaru Tsuka</t>
  </si>
  <si>
    <t>TSUKA</t>
  </si>
  <si>
    <t>TOKPIE</t>
  </si>
  <si>
    <t>TKP</t>
  </si>
  <si>
    <t>SHPING</t>
  </si>
  <si>
    <t>SCP</t>
  </si>
  <si>
    <t>Chickencoin</t>
  </si>
  <si>
    <t>CHKN</t>
  </si>
  <si>
    <t>64230000000000.01</t>
  </si>
  <si>
    <t>RICE AI</t>
  </si>
  <si>
    <t>RICE</t>
  </si>
  <si>
    <t>RigoBlock</t>
  </si>
  <si>
    <t>GRG</t>
  </si>
  <si>
    <t>Skey Network</t>
  </si>
  <si>
    <t>SKEY</t>
  </si>
  <si>
    <t>Cashaa</t>
  </si>
  <si>
    <t>CAS</t>
  </si>
  <si>
    <t>Nokia Tokenized Stock (Ondo)</t>
  </si>
  <si>
    <t>NOKon</t>
  </si>
  <si>
    <t>AST SpaceMobile Tokenized bStocks</t>
  </si>
  <si>
    <t>ASTSB</t>
  </si>
  <si>
    <t>Morpheus.Network</t>
  </si>
  <si>
    <t>MNW</t>
  </si>
  <si>
    <t>Franklin US Large Cap Multifactor Index Tokenized ETF (Ondo)</t>
  </si>
  <si>
    <t>FLQLon</t>
  </si>
  <si>
    <t>Disney Tokenized Stock (Ondo)</t>
  </si>
  <si>
    <t>DISon</t>
  </si>
  <si>
    <t>Pandora</t>
  </si>
  <si>
    <t>PANDORA</t>
  </si>
  <si>
    <t>Shrapnel</t>
  </si>
  <si>
    <t>SHRAP</t>
  </si>
  <si>
    <t>Nexera</t>
  </si>
  <si>
    <t>NXRA</t>
  </si>
  <si>
    <t>BitCore</t>
  </si>
  <si>
    <t>BTX</t>
  </si>
  <si>
    <t>W Coin</t>
  </si>
  <si>
    <t>WCO</t>
  </si>
  <si>
    <t>Trias Token (New)</t>
  </si>
  <si>
    <t>TRIAS</t>
  </si>
  <si>
    <t>Pwease</t>
  </si>
  <si>
    <t>PWEASE</t>
  </si>
  <si>
    <t>Æternity</t>
  </si>
  <si>
    <t>τemplar</t>
  </si>
  <si>
    <t>错版马</t>
  </si>
  <si>
    <t>哭哭马</t>
  </si>
  <si>
    <t>Sum of Doller Volume per Supply</t>
  </si>
  <si>
    <t>Sum of Market Cap</t>
  </si>
  <si>
    <t>grand total</t>
  </si>
  <si>
    <t>UNCX</t>
  </si>
  <si>
    <t>OXT</t>
  </si>
  <si>
    <t>others</t>
  </si>
  <si>
    <t>NBT</t>
  </si>
  <si>
    <t>MAGA</t>
  </si>
  <si>
    <t>$HACHI</t>
  </si>
  <si>
    <t>GXA</t>
  </si>
  <si>
    <t>ASTEROID</t>
  </si>
  <si>
    <t>FORTH</t>
  </si>
  <si>
    <t>key performance indicators</t>
  </si>
  <si>
    <t>total markrt cap</t>
  </si>
  <si>
    <t>total price of coins</t>
  </si>
  <si>
    <t>total Circulating Supply</t>
  </si>
  <si>
    <t>Sum of Circulating Supply</t>
  </si>
  <si>
    <t>highest price coin</t>
  </si>
  <si>
    <t>highets price</t>
  </si>
  <si>
    <t>TIME-BASED CRYPTO VOLUME ANALYSIS</t>
  </si>
  <si>
    <t>Eligible</t>
  </si>
  <si>
    <t>Rank</t>
  </si>
  <si>
    <t>Current Time</t>
  </si>
  <si>
    <t xml:space="preserve">Metric  </t>
  </si>
  <si>
    <t>Coin1</t>
  </si>
  <si>
    <t>Coin2</t>
  </si>
  <si>
    <t>Price</t>
  </si>
  <si>
    <t>VOLUME DIFFERENCE</t>
  </si>
  <si>
    <t>MARKET CAP DIFFERENCE</t>
  </si>
  <si>
    <t>CIRCULATING SUPPLY DIFFERENCE</t>
  </si>
  <si>
    <t>Coin</t>
  </si>
  <si>
    <t>Volume</t>
  </si>
  <si>
    <t>ADP</t>
  </si>
  <si>
    <t>ADS</t>
  </si>
  <si>
    <t>ACN</t>
  </si>
  <si>
    <t>AIV</t>
  </si>
  <si>
    <t>BABAB</t>
  </si>
  <si>
    <t>BABAon</t>
  </si>
  <si>
    <t>ALLO</t>
  </si>
  <si>
    <t>ATS</t>
  </si>
  <si>
    <t>AMZNB</t>
  </si>
  <si>
    <t>AAOIB</t>
  </si>
  <si>
    <t>AA</t>
  </si>
  <si>
    <t>ARARA</t>
  </si>
  <si>
    <t>ARG</t>
  </si>
  <si>
    <t>ASR</t>
  </si>
  <si>
    <t>ASTSon</t>
  </si>
  <si>
    <t>AURORA</t>
  </si>
  <si>
    <t>AXTIB</t>
  </si>
  <si>
    <t>BabyDoge</t>
  </si>
  <si>
    <t>BNT</t>
  </si>
  <si>
    <t>BELLS</t>
  </si>
  <si>
    <t>BILL</t>
  </si>
  <si>
    <t>BITCI</t>
  </si>
  <si>
    <t>BCD</t>
  </si>
  <si>
    <t>BSV</t>
  </si>
  <si>
    <t>BDCA</t>
  </si>
  <si>
    <t>LIGHT</t>
  </si>
  <si>
    <t>BLAST</t>
  </si>
  <si>
    <t>BLESS</t>
  </si>
  <si>
    <t>BST</t>
  </si>
  <si>
    <t>BEB</t>
  </si>
  <si>
    <t>BOBA</t>
  </si>
  <si>
    <t>BOOE</t>
  </si>
  <si>
    <t>BRETT</t>
  </si>
  <si>
    <t>AVGOon</t>
  </si>
  <si>
    <t>ADA</t>
  </si>
  <si>
    <t>CATE</t>
  </si>
  <si>
    <t>SLAP</t>
  </si>
  <si>
    <t>CELO</t>
  </si>
  <si>
    <t>CESS</t>
  </si>
  <si>
    <t>DHT</t>
  </si>
  <si>
    <t>XCH</t>
  </si>
  <si>
    <t>COL</t>
  </si>
  <si>
    <t>rCOIN</t>
  </si>
  <si>
    <t>CTC</t>
  </si>
  <si>
    <t>CPH</t>
  </si>
  <si>
    <t>DXI</t>
  </si>
  <si>
    <t>DEOD</t>
  </si>
  <si>
    <t>DCR</t>
  </si>
  <si>
    <t>DBC</t>
  </si>
  <si>
    <t>DN</t>
  </si>
  <si>
    <t>REAL</t>
  </si>
  <si>
    <t>DJED</t>
  </si>
  <si>
    <t>DORA</t>
  </si>
  <si>
    <t>DJI6930</t>
  </si>
  <si>
    <t>DRIFT</t>
  </si>
  <si>
    <t>DUCKY</t>
  </si>
  <si>
    <t>DUSK</t>
  </si>
  <si>
    <t>EMT</t>
  </si>
  <si>
    <t>EURI</t>
  </si>
  <si>
    <t>FARTBOY</t>
  </si>
  <si>
    <t>BAR</t>
  </si>
  <si>
    <t>FT</t>
  </si>
  <si>
    <t>FOREST</t>
  </si>
  <si>
    <t>FUL</t>
  </si>
  <si>
    <t>FUN</t>
  </si>
  <si>
    <t>GALEON</t>
  </si>
  <si>
    <t>GAME</t>
  </si>
  <si>
    <t>GHUB</t>
  </si>
  <si>
    <t>GUSD</t>
  </si>
  <si>
    <t>GEMS</t>
  </si>
  <si>
    <t>MVLLB</t>
  </si>
  <si>
    <t>GROVE</t>
  </si>
  <si>
    <t>HAEDAL</t>
  </si>
  <si>
    <t>HASHAI</t>
  </si>
  <si>
    <t>HEGIC</t>
  </si>
  <si>
    <t>HIMSon</t>
  </si>
  <si>
    <t>HOGE</t>
  </si>
  <si>
    <t>HEART</t>
  </si>
  <si>
    <t>WET</t>
  </si>
  <si>
    <t>HGPT</t>
  </si>
  <si>
    <t>RION</t>
  </si>
  <si>
    <t>ILV</t>
  </si>
  <si>
    <t>ICNT</t>
  </si>
  <si>
    <t>TRUST</t>
  </si>
  <si>
    <t>IOTX</t>
  </si>
  <si>
    <t>IRYS</t>
  </si>
  <si>
    <t>IAUon</t>
  </si>
  <si>
    <t>EEMon</t>
  </si>
  <si>
    <t>JASMY</t>
  </si>
  <si>
    <t>JELLYJELLY</t>
  </si>
  <si>
    <t>JESUS</t>
  </si>
  <si>
    <t>KERNEL</t>
  </si>
  <si>
    <t>KIBSHI</t>
  </si>
  <si>
    <t>KSM</t>
  </si>
  <si>
    <t>L3</t>
  </si>
  <si>
    <t>LX</t>
  </si>
  <si>
    <t>ZRO</t>
  </si>
  <si>
    <t>LITKEY</t>
  </si>
  <si>
    <t>LMTon</t>
  </si>
  <si>
    <t>MAMO</t>
  </si>
  <si>
    <t>MNGO</t>
  </si>
  <si>
    <t>MANTA</t>
  </si>
  <si>
    <t>MAPO</t>
  </si>
  <si>
    <t>BAY</t>
  </si>
  <si>
    <t>MRVLon</t>
  </si>
  <si>
    <t>MAon</t>
  </si>
  <si>
    <t>MAV</t>
  </si>
  <si>
    <t>rMETA</t>
  </si>
  <si>
    <t>META</t>
  </si>
  <si>
    <t>mUSD</t>
  </si>
  <si>
    <t>rMU</t>
  </si>
  <si>
    <t>MOG</t>
  </si>
  <si>
    <t>MONA</t>
  </si>
  <si>
    <t>MON</t>
  </si>
  <si>
    <t>GLMR</t>
  </si>
  <si>
    <t>SHELL</t>
  </si>
  <si>
    <t>XNO</t>
  </si>
  <si>
    <t>XEM</t>
  </si>
  <si>
    <t>NXA</t>
  </si>
  <si>
    <t>PENGUIN</t>
  </si>
  <si>
    <t>NST</t>
  </si>
  <si>
    <t>NOCK</t>
  </si>
  <si>
    <t>NUM</t>
  </si>
  <si>
    <t>NTX</t>
  </si>
  <si>
    <t>NVDAon</t>
  </si>
  <si>
    <t>OG</t>
  </si>
  <si>
    <t>ONG</t>
  </si>
  <si>
    <t>preOPAI</t>
  </si>
  <si>
    <t>OGPU</t>
  </si>
  <si>
    <t>OPEN</t>
  </si>
  <si>
    <t>ON</t>
  </si>
  <si>
    <t>PCI</t>
  </si>
  <si>
    <t>PNUT</t>
  </si>
  <si>
    <t>PERP</t>
  </si>
  <si>
    <t>PROS</t>
  </si>
  <si>
    <t>POR</t>
  </si>
  <si>
    <t>$PURPE</t>
  </si>
  <si>
    <t>QCOMB</t>
  </si>
  <si>
    <t>RXD</t>
  </si>
  <si>
    <t>RAD</t>
  </si>
  <si>
    <t>RARI</t>
  </si>
  <si>
    <t>RVN</t>
  </si>
  <si>
    <t>REN</t>
  </si>
  <si>
    <t>BUILDOUT</t>
  </si>
  <si>
    <t>PHOTON</t>
  </si>
  <si>
    <t>RKLBB</t>
  </si>
  <si>
    <t>ROLL</t>
  </si>
  <si>
    <t>RON</t>
  </si>
  <si>
    <t>DRAMon</t>
  </si>
  <si>
    <t>rSNDK</t>
  </si>
  <si>
    <t>SAPIEN</t>
  </si>
  <si>
    <t>SAROS</t>
  </si>
  <si>
    <t>SAUCE</t>
  </si>
  <si>
    <t>SAVE</t>
  </si>
  <si>
    <t>SOXLB</t>
  </si>
  <si>
    <t>SHR</t>
  </si>
  <si>
    <t>SHARP</t>
  </si>
  <si>
    <t>SHIBDOGE</t>
  </si>
  <si>
    <t>XAI</t>
  </si>
  <si>
    <t>SOMI</t>
  </si>
  <si>
    <t>SPCX</t>
  </si>
  <si>
    <t>SBET</t>
  </si>
  <si>
    <t>EURR</t>
  </si>
  <si>
    <t>STX</t>
  </si>
  <si>
    <t>STEEM</t>
  </si>
  <si>
    <t>MSTRB</t>
  </si>
  <si>
    <t>STREAM</t>
  </si>
  <si>
    <t>SUKU</t>
  </si>
  <si>
    <t>SYMM</t>
  </si>
  <si>
    <t>TAC</t>
  </si>
  <si>
    <t>TET</t>
  </si>
  <si>
    <t>TRB</t>
  </si>
  <si>
    <t>10SET</t>
  </si>
  <si>
    <t>TSLAB</t>
  </si>
  <si>
    <t>WHITEWHALE</t>
  </si>
  <si>
    <t>TFUEL</t>
  </si>
  <si>
    <t>TPT</t>
  </si>
  <si>
    <t>SPURS</t>
  </si>
  <si>
    <t>TTN</t>
  </si>
  <si>
    <t>TRADOOR</t>
  </si>
  <si>
    <t>SNXXB</t>
  </si>
  <si>
    <t>TREE</t>
  </si>
  <si>
    <t>rTSM</t>
  </si>
  <si>
    <t>TURBO</t>
  </si>
  <si>
    <t>UTK</t>
  </si>
  <si>
    <t>VARA</t>
  </si>
  <si>
    <t>VELO</t>
  </si>
  <si>
    <t>vDAI</t>
  </si>
  <si>
    <t>VERTAI</t>
  </si>
  <si>
    <t>VIC</t>
  </si>
  <si>
    <t>WCT</t>
  </si>
  <si>
    <t>WFCon</t>
  </si>
  <si>
    <t>WBX</t>
  </si>
  <si>
    <t>WKC</t>
  </si>
  <si>
    <t>WIN</t>
  </si>
  <si>
    <t>WAI</t>
  </si>
  <si>
    <t>EAT</t>
  </si>
  <si>
    <t>XTER</t>
  </si>
  <si>
    <t>CLO</t>
  </si>
  <si>
    <t>ZIG</t>
  </si>
  <si>
    <t>7-Day Price</t>
  </si>
  <si>
    <t>24-Hour Price</t>
  </si>
  <si>
    <t>24h Change (%</t>
  </si>
  <si>
    <t>Max of 24-Hour Price</t>
  </si>
  <si>
    <t>Max of 7-Day Price</t>
  </si>
  <si>
    <t>Price Range</t>
  </si>
  <si>
    <t>Average Downfall (%)</t>
  </si>
  <si>
    <t>&gt;$50</t>
  </si>
  <si>
    <t>Min of Price (USD)</t>
  </si>
  <si>
    <t>Min of Average Downfall (%)</t>
  </si>
  <si>
    <t>Count of Coin Name</t>
  </si>
  <si>
    <t>Total Coins</t>
  </si>
  <si>
    <t>$0.05-$0.5</t>
  </si>
  <si>
    <t xml:space="preserve">                          Identify cryptocurrencies with the least average downfall</t>
  </si>
  <si>
    <t xml:space="preserve">                  LOW BUDGET INVESTMENT INSIGHTS</t>
  </si>
  <si>
    <t>INVESTMENT INSIGHT</t>
  </si>
  <si>
    <t>The selected price range highlights the cryptocurrency with the lowest average downfall, helping investors identify a potentially more stable low-budget option.</t>
  </si>
  <si>
    <t>Current Price</t>
  </si>
  <si>
    <t>Max of Current Price</t>
  </si>
  <si>
    <t>Max of Previous 1h Price</t>
  </si>
  <si>
    <t>Max of 1h Change (%)</t>
  </si>
  <si>
    <t>$10 and above</t>
  </si>
  <si>
    <t>Price Change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</si>
</sst>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charset val="134"/>
      <scheme val="minor"/>
    </font>
    <font>
      <b/>
      <sz val="11"/>
      <color theme="1"/>
      <name val="Calibri"/>
      <charset val="134"/>
      <scheme val="minor"/>
    </font>
    <font>
      <sz val="11"/>
      <color theme="1"/>
      <name val="Calibri"/>
      <charset val="134"/>
      <scheme val="minor"/>
    </font>
    <font>
      <sz val="12"/>
      <color theme="0"/>
      <name val="Calibri"/>
      <charset val="134"/>
      <scheme val="minor"/>
    </font>
    <font>
      <b/>
      <sz val="11"/>
      <color theme="1"/>
      <name val="Calibri"/>
      <charset val="134"/>
      <scheme val="minor"/>
    </font>
    <font>
      <sz val="11"/>
      <color theme="9"/>
      <name val="Calibri"/>
      <charset val="134"/>
      <scheme val="minor"/>
    </font>
    <font>
      <sz val="11"/>
      <color indexed="8"/>
      <name val="Calibri"/>
      <charset val="134"/>
    </font>
    <font>
      <b/>
      <sz val="11"/>
      <color theme="1"/>
      <name val="Calibri"/>
      <family val="2"/>
      <scheme val="minor"/>
    </font>
    <font>
      <sz val="22"/>
      <color theme="7" tint="-0.249977111117893"/>
      <name val="Calibri"/>
      <family val="2"/>
      <scheme val="minor"/>
    </font>
    <font>
      <sz val="16"/>
      <color theme="7" tint="-0.249977111117893"/>
      <name val="Calibri"/>
      <family val="2"/>
      <scheme val="minor"/>
    </font>
    <font>
      <sz val="20"/>
      <color theme="7" tint="-0.249977111117893"/>
      <name val="Calibri"/>
      <family val="2"/>
      <scheme val="minor"/>
    </font>
    <font>
      <sz val="14"/>
      <color theme="0"/>
      <name val="Calibri"/>
      <family val="2"/>
      <scheme val="minor"/>
    </font>
    <font>
      <sz val="11"/>
      <color theme="0"/>
      <name val="Calibri"/>
      <family val="2"/>
      <scheme val="minor"/>
    </font>
    <font>
      <sz val="16"/>
      <color theme="0"/>
      <name val="Calibri"/>
      <family val="2"/>
      <scheme val="minor"/>
    </font>
    <font>
      <sz val="12"/>
      <color theme="0"/>
      <name val="Calibri"/>
      <family val="2"/>
      <scheme val="minor"/>
    </font>
    <font>
      <b/>
      <sz val="14"/>
      <color theme="1"/>
      <name val="Calibri"/>
      <family val="2"/>
      <scheme val="minor"/>
    </font>
    <font>
      <b/>
      <sz val="16"/>
      <color theme="1"/>
      <name val="Calibri"/>
      <family val="2"/>
      <scheme val="minor"/>
    </font>
  </fonts>
  <fills count="11">
    <fill>
      <patternFill patternType="none"/>
    </fill>
    <fill>
      <patternFill patternType="gray125"/>
    </fill>
    <fill>
      <patternFill patternType="solid">
        <fgColor theme="7" tint="0.39994506668294322"/>
        <bgColor indexed="64"/>
      </patternFill>
    </fill>
    <fill>
      <patternFill patternType="solid">
        <fgColor theme="7" tint="-0.249977111117893"/>
        <bgColor indexed="64"/>
      </patternFill>
    </fill>
    <fill>
      <patternFill patternType="solid">
        <fgColor theme="9"/>
        <bgColor indexed="64"/>
      </patternFill>
    </fill>
    <fill>
      <patternFill patternType="solid">
        <fgColor theme="0"/>
        <bgColor indexed="64"/>
      </patternFill>
    </fill>
    <fill>
      <patternFill patternType="solid">
        <fgColor theme="4" tint="0.79989013336588644"/>
        <bgColor indexed="64"/>
      </patternFill>
    </fill>
    <fill>
      <patternFill patternType="solid">
        <fgColor theme="6" tint="0.39988402966399123"/>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59999389629810485"/>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
    <xf numFmtId="0" fontId="0" fillId="0" borderId="0"/>
  </cellStyleXfs>
  <cellXfs count="48">
    <xf numFmtId="0" fontId="0" fillId="0" borderId="0" xfId="0"/>
    <xf numFmtId="0" fontId="1" fillId="0" borderId="0" xfId="0" applyFont="1" applyAlignment="1">
      <alignment horizontal="center"/>
    </xf>
    <xf numFmtId="0" fontId="0" fillId="0" borderId="0" xfId="0" applyAlignment="1">
      <alignment horizontal="left"/>
    </xf>
    <xf numFmtId="0" fontId="2" fillId="0" borderId="0" xfId="0" applyFont="1"/>
    <xf numFmtId="0" fontId="3" fillId="2" borderId="0" xfId="0" applyFont="1" applyFill="1"/>
    <xf numFmtId="0" fontId="3" fillId="2" borderId="0" xfId="0" applyFont="1" applyFill="1" applyAlignment="1">
      <alignment vertical="center"/>
    </xf>
    <xf numFmtId="0" fontId="3" fillId="3" borderId="0" xfId="0" applyFont="1" applyFill="1"/>
    <xf numFmtId="0" fontId="0" fillId="2" borderId="0" xfId="0" applyFill="1"/>
    <xf numFmtId="0" fontId="4" fillId="2" borderId="0" xfId="0" applyFont="1" applyFill="1"/>
    <xf numFmtId="0" fontId="1" fillId="5" borderId="0" xfId="0" applyFont="1" applyFill="1"/>
    <xf numFmtId="0" fontId="0" fillId="5" borderId="0" xfId="0" applyFill="1"/>
    <xf numFmtId="22" fontId="1" fillId="5" borderId="0" xfId="0" applyNumberFormat="1" applyFont="1" applyFill="1"/>
    <xf numFmtId="22" fontId="0" fillId="0" borderId="0" xfId="0" applyNumberFormat="1"/>
    <xf numFmtId="0" fontId="5" fillId="0" borderId="0" xfId="0" applyFont="1"/>
    <xf numFmtId="0" fontId="0" fillId="6" borderId="0" xfId="0" applyFill="1"/>
    <xf numFmtId="0" fontId="0" fillId="5" borderId="1" xfId="0" applyFill="1" applyBorder="1"/>
    <xf numFmtId="0" fontId="0" fillId="0" borderId="2" xfId="0" applyBorder="1"/>
    <xf numFmtId="0" fontId="0" fillId="7" borderId="0" xfId="0" applyFill="1"/>
    <xf numFmtId="0" fontId="0" fillId="7" borderId="0" xfId="0" applyFill="1" applyAlignment="1">
      <alignment horizontal="left"/>
    </xf>
    <xf numFmtId="0" fontId="0" fillId="7" borderId="0" xfId="0" applyFill="1" applyAlignment="1">
      <alignment horizontal="left" indent="1"/>
    </xf>
    <xf numFmtId="0" fontId="0" fillId="0" borderId="0" xfId="0" applyAlignment="1">
      <alignment horizontal="left" indent="1"/>
    </xf>
    <xf numFmtId="0" fontId="6" fillId="0" borderId="0" xfId="0" applyFont="1" applyAlignment="1">
      <alignment vertical="center"/>
    </xf>
    <xf numFmtId="0" fontId="0" fillId="0" borderId="0" xfId="0" applyAlignment="1">
      <alignment vertical="center"/>
    </xf>
    <xf numFmtId="0" fontId="0" fillId="0" borderId="0" xfId="0" quotePrefix="1" applyAlignment="1">
      <alignment vertical="center"/>
    </xf>
    <xf numFmtId="0" fontId="6" fillId="0" borderId="0" xfId="0" quotePrefix="1" applyFont="1" applyAlignment="1">
      <alignment vertical="center"/>
    </xf>
    <xf numFmtId="0" fontId="0" fillId="0" borderId="0" xfId="0" quotePrefix="1"/>
    <xf numFmtId="0" fontId="0" fillId="0" borderId="0" xfId="0" pivotButton="1"/>
    <xf numFmtId="0" fontId="0" fillId="8" borderId="0" xfId="0" applyFill="1"/>
    <xf numFmtId="0" fontId="0" fillId="8" borderId="0" xfId="0" applyFill="1" applyAlignment="1">
      <alignment vertical="center"/>
    </xf>
    <xf numFmtId="0" fontId="13" fillId="2" borderId="0" xfId="0" applyFont="1" applyFill="1"/>
    <xf numFmtId="0" fontId="13" fillId="2" borderId="0" xfId="0" quotePrefix="1" applyFont="1" applyFill="1"/>
    <xf numFmtId="0" fontId="14" fillId="3" borderId="0" xfId="0" applyFont="1" applyFill="1"/>
    <xf numFmtId="0" fontId="12" fillId="2" borderId="0" xfId="0" applyFont="1" applyFill="1"/>
    <xf numFmtId="0" fontId="16" fillId="4" borderId="0" xfId="0" applyFont="1" applyFill="1" applyAlignment="1">
      <alignment horizontal="center" vertical="center"/>
    </xf>
    <xf numFmtId="0" fontId="16" fillId="4" borderId="0" xfId="0" applyFont="1" applyFill="1" applyAlignment="1">
      <alignment horizontal="center"/>
    </xf>
    <xf numFmtId="0" fontId="4" fillId="4" borderId="0" xfId="0" applyFont="1" applyFill="1" applyAlignment="1">
      <alignment horizontal="center"/>
    </xf>
    <xf numFmtId="0" fontId="15" fillId="4" borderId="0" xfId="0" applyFont="1" applyFill="1" applyAlignment="1">
      <alignment horizontal="center"/>
    </xf>
    <xf numFmtId="0" fontId="10" fillId="9" borderId="0" xfId="0" applyFont="1" applyFill="1" applyAlignment="1">
      <alignment horizontal="center"/>
    </xf>
    <xf numFmtId="0" fontId="0" fillId="9" borderId="0" xfId="0" applyFill="1" applyAlignment="1">
      <alignment horizontal="center"/>
    </xf>
    <xf numFmtId="0" fontId="11" fillId="8" borderId="0" xfId="0" applyFont="1" applyFill="1" applyAlignment="1">
      <alignment horizontal="center" vertical="center"/>
    </xf>
    <xf numFmtId="0" fontId="0" fillId="8" borderId="0" xfId="0" applyFill="1" applyAlignment="1">
      <alignment horizontal="center" vertical="center"/>
    </xf>
    <xf numFmtId="0" fontId="7" fillId="8" borderId="0" xfId="0" applyFont="1" applyFill="1" applyAlignment="1">
      <alignment horizontal="center"/>
    </xf>
    <xf numFmtId="0" fontId="0" fillId="8" borderId="0" xfId="0" applyFill="1" applyAlignment="1">
      <alignment horizontal="center"/>
    </xf>
    <xf numFmtId="0" fontId="8" fillId="9" borderId="0" xfId="0" applyFont="1" applyFill="1" applyAlignment="1">
      <alignment horizontal="center"/>
    </xf>
    <xf numFmtId="0" fontId="9" fillId="9" borderId="0" xfId="0" applyFont="1" applyFill="1" applyAlignment="1">
      <alignment horizontal="center"/>
    </xf>
    <xf numFmtId="0" fontId="0" fillId="0" borderId="0" xfId="0" applyNumberFormat="1"/>
    <xf numFmtId="0" fontId="0" fillId="9" borderId="0" xfId="0" applyFill="1"/>
    <xf numFmtId="0" fontId="0" fillId="10" borderId="0" xfId="0" applyFill="1"/>
  </cellXfs>
  <cellStyles count="1">
    <cellStyle name="Normal" xfId="0" builtinId="0"/>
  </cellStyles>
  <dxfs count="6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ill>
        <patternFill patternType="solid">
          <bgColor theme="6" tint="0.39988402966399123"/>
        </patternFill>
      </fill>
    </dxf>
    <dxf>
      <font>
        <b val="0"/>
        <i val="0"/>
        <strike val="0"/>
        <condense val="0"/>
        <extend val="0"/>
        <outline val="0"/>
        <shadow val="0"/>
        <u val="none"/>
        <vertAlign val="baseline"/>
        <sz val="12"/>
        <color theme="0"/>
        <name val="Calibri"/>
        <charset val="134"/>
        <scheme val="minor"/>
      </font>
      <fill>
        <patternFill patternType="solid">
          <fgColor indexed="64"/>
          <bgColor theme="7" tint="0.39994506668294322"/>
        </patternFill>
      </fill>
    </dxf>
    <dxf>
      <font>
        <b val="0"/>
        <i val="0"/>
        <strike val="0"/>
        <condense val="0"/>
        <extend val="0"/>
        <outline val="0"/>
        <shadow val="0"/>
        <u val="none"/>
        <vertAlign val="baseline"/>
        <sz val="12"/>
        <color theme="0"/>
        <name val="Calibri"/>
        <charset val="134"/>
        <scheme val="minor"/>
      </font>
      <fill>
        <patternFill patternType="solid">
          <fgColor indexed="64"/>
          <bgColor theme="7" tint="0.39994506668294322"/>
        </patternFill>
      </fill>
    </dxf>
    <dxf>
      <font>
        <b val="0"/>
        <i val="0"/>
        <strike val="0"/>
        <condense val="0"/>
        <extend val="0"/>
        <outline val="0"/>
        <shadow val="0"/>
        <u val="none"/>
        <vertAlign val="baseline"/>
        <sz val="12"/>
        <color theme="0"/>
        <name val="Calibri"/>
        <charset val="134"/>
        <scheme val="minor"/>
      </font>
      <fill>
        <patternFill patternType="solid">
          <fgColor indexed="64"/>
          <bgColor theme="7" tint="0.39994506668294322"/>
        </patternFill>
      </fill>
    </dxf>
    <dxf>
      <font>
        <b val="0"/>
        <i val="0"/>
        <strike val="0"/>
        <condense val="0"/>
        <extend val="0"/>
        <outline val="0"/>
        <shadow val="0"/>
        <u val="none"/>
        <vertAlign val="baseline"/>
        <sz val="12"/>
        <color theme="0"/>
        <name val="Calibri"/>
        <charset val="134"/>
        <scheme val="minor"/>
      </font>
      <fill>
        <patternFill patternType="solid">
          <fgColor indexed="64"/>
          <bgColor theme="7" tint="0.39994506668294322"/>
        </patternFill>
      </fill>
    </dxf>
    <dxf>
      <font>
        <b val="0"/>
        <i val="0"/>
        <strike val="0"/>
        <condense val="0"/>
        <extend val="0"/>
        <outline val="0"/>
        <shadow val="0"/>
        <u val="none"/>
        <vertAlign val="baseline"/>
        <sz val="12"/>
        <color theme="0"/>
        <name val="Calibri"/>
        <charset val="134"/>
        <scheme val="minor"/>
      </font>
      <fill>
        <patternFill patternType="solid">
          <fgColor indexed="64"/>
          <bgColor theme="7" tint="0.39994506668294322"/>
        </patternFill>
      </fill>
    </dxf>
  </dxfs>
  <tableStyles count="0" defaultTableStyle="TableStyleMedium9" defaultPivotStyle="PivotStyleLight16"/>
  <colors>
    <mruColors>
      <color rgb="FF8B8383"/>
      <color rgb="FFFFFFFF"/>
      <color rgb="FF88927A"/>
      <color rgb="FFA5F3E0"/>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9" Type="http://schemas.microsoft.com/office/2006/relationships/vbaProject" Target="vbaProject.bin"/><Relationship Id="rId21" Type="http://schemas.openxmlformats.org/officeDocument/2006/relationships/pivotCacheDefinition" Target="pivotCache/pivotCacheDefinition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openxmlformats.org/officeDocument/2006/relationships/sharedStrings" Target="sharedStrings.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styles" Target="styles.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microsoft.com/office/2007/relationships/slicerCache" Target="slicerCaches/slicerCache3.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2.xml"/><Relationship Id="rId30" Type="http://schemas.openxmlformats.org/officeDocument/2006/relationships/theme" Target="theme/theme1.xml"/><Relationship Id="rId35" Type="http://schemas.openxmlformats.org/officeDocument/2006/relationships/powerPivotData" Target="model/item.data"/><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r>
              <a:rPr lang="en-IN" sz="1400" b="0" i="0" u="none" strike="noStrike" baseline="0">
                <a:solidFill>
                  <a:schemeClr val="accent2"/>
                </a:solidFill>
              </a:rPr>
              <a:t>Top 10 Crypto Coins by 24H Volume</a:t>
            </a:r>
            <a:endParaRPr lang="en-IN">
              <a:solidFill>
                <a:schemeClr val="accent2"/>
              </a:solidFill>
            </a:endParaRP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0.17708180227471601"/>
          <c:y val="0.17171296296296301"/>
          <c:w val="0.73658486439195103"/>
          <c:h val="0.720887649460484"/>
        </c:manualLayout>
      </c:layout>
      <c:barChart>
        <c:barDir val="bar"/>
        <c:grouping val="clustered"/>
        <c:varyColors val="0"/>
        <c:ser>
          <c:idx val="0"/>
          <c:order val="0"/>
          <c:spPr>
            <a:solidFill>
              <a:schemeClr val="accent1"/>
            </a:solidFill>
            <a:ln>
              <a:noFill/>
            </a:ln>
            <a:effectLst/>
          </c:spPr>
          <c:invertIfNegative val="0"/>
          <c:cat>
            <c:strRef>
              <c:f>Task1_Time_Analysis!$G$4:$G$13</c:f>
              <c:strCache>
                <c:ptCount val="10"/>
                <c:pt idx="0">
                  <c:v>BNB</c:v>
                </c:pt>
                <c:pt idx="1">
                  <c:v>Dell Technologies Inc. tokenized stock (xStock)</c:v>
                </c:pt>
                <c:pt idx="2">
                  <c:v>Bitcoin</c:v>
                </c:pt>
                <c:pt idx="3">
                  <c:v>Ethereum</c:v>
                </c:pt>
                <c:pt idx="4">
                  <c:v>USDC</c:v>
                </c:pt>
                <c:pt idx="5">
                  <c:v>Dogecoin</c:v>
                </c:pt>
                <c:pt idx="6">
                  <c:v>Chainlink</c:v>
                </c:pt>
                <c:pt idx="7">
                  <c:v>Bonk</c:v>
                </c:pt>
                <c:pt idx="8">
                  <c:v>Usual</c:v>
                </c:pt>
                <c:pt idx="9">
                  <c:v>Audiera</c:v>
                </c:pt>
              </c:strCache>
            </c:strRef>
          </c:cat>
          <c:val>
            <c:numRef>
              <c:f>Task1_Time_Analysis!$H$4:$H$13</c:f>
              <c:numCache>
                <c:formatCode>General</c:formatCode>
                <c:ptCount val="10"/>
                <c:pt idx="0">
                  <c:v>0</c:v>
                </c:pt>
                <c:pt idx="1">
                  <c:v>0</c:v>
                </c:pt>
                <c:pt idx="2">
                  <c:v>60980000000</c:v>
                </c:pt>
                <c:pt idx="3">
                  <c:v>23510000000</c:v>
                </c:pt>
                <c:pt idx="4">
                  <c:v>22520000000</c:v>
                </c:pt>
                <c:pt idx="5">
                  <c:v>1400000000</c:v>
                </c:pt>
                <c:pt idx="6">
                  <c:v>542780000</c:v>
                </c:pt>
                <c:pt idx="7">
                  <c:v>83170000</c:v>
                </c:pt>
                <c:pt idx="8">
                  <c:v>28210000</c:v>
                </c:pt>
                <c:pt idx="9">
                  <c:v>25280000</c:v>
                </c:pt>
              </c:numCache>
            </c:numRef>
          </c:val>
          <c:extLst>
            <c:ext xmlns:c16="http://schemas.microsoft.com/office/drawing/2014/chart" uri="{C3380CC4-5D6E-409C-BE32-E72D297353CC}">
              <c16:uniqueId val="{00000000-5830-471F-8922-DE60519DBD87}"/>
            </c:ext>
          </c:extLst>
        </c:ser>
        <c:dLbls>
          <c:showLegendKey val="0"/>
          <c:showVal val="0"/>
          <c:showCatName val="0"/>
          <c:showSerName val="0"/>
          <c:showPercent val="0"/>
          <c:showBubbleSize val="0"/>
        </c:dLbls>
        <c:gapWidth val="182"/>
        <c:axId val="2075666175"/>
        <c:axId val="2072900623"/>
      </c:barChart>
      <c:catAx>
        <c:axId val="2075666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2072900623"/>
        <c:crosses val="autoZero"/>
        <c:auto val="1"/>
        <c:lblAlgn val="ctr"/>
        <c:lblOffset val="100"/>
        <c:noMultiLvlLbl val="0"/>
      </c:catAx>
      <c:valAx>
        <c:axId val="2072900623"/>
        <c:scaling>
          <c:orientation val="minMax"/>
        </c:scaling>
        <c:delete val="0"/>
        <c:axPos val="b"/>
        <c:numFmt formatCode="General" sourceLinked="1"/>
        <c:majorTickMark val="none"/>
        <c:minorTickMark val="none"/>
        <c:tickLblPos val="nextTo"/>
        <c:spPr>
          <a:gradFill>
            <a:gsLst>
              <a:gs pos="0">
                <a:schemeClr val="accent3">
                  <a:alpha val="72000"/>
                </a:schemeClr>
              </a:gs>
              <a:gs pos="100000">
                <a:schemeClr val="accent3">
                  <a:lumMod val="60000"/>
                  <a:lumOff val="40000"/>
                </a:schemeClr>
              </a:gs>
              <a:gs pos="56000">
                <a:schemeClr val="accent3">
                  <a:lumMod val="60000"/>
                  <a:lumOff val="40000"/>
                </a:schemeClr>
              </a:gs>
            </a:gsLst>
            <a:lin ang="5400000" scaled="1"/>
          </a:grad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2075666175"/>
        <c:crosses val="autoZero"/>
        <c:crossBetween val="between"/>
      </c:valAx>
      <c:spPr>
        <a:noFill/>
        <a:ln>
          <a:noFill/>
        </a:ln>
        <a:effectLst/>
      </c:spPr>
    </c:plotArea>
    <c:plotVisOnly val="1"/>
    <c:dispBlanksAs val="gap"/>
    <c:showDLblsOverMax val="0"/>
    <c:extLst>
      <c:ext uri="{0b15fc19-7d7d-44ad-8c2d-2c3a37ce22c3}">
        <chartProps xmlns="https://web.wps.cn/et/2018/main" chartId="{a1d75bd5-f15c-43f8-b26d-59a783c304d9}"/>
      </c:ext>
    </c:extLst>
  </c:chart>
  <c:spPr>
    <a:gradFill>
      <a:gsLst>
        <a:gs pos="0">
          <a:schemeClr val="accent3">
            <a:alpha val="72000"/>
          </a:schemeClr>
        </a:gs>
        <a:gs pos="100000">
          <a:schemeClr val="accent3">
            <a:lumMod val="60000"/>
            <a:lumOff val="40000"/>
          </a:schemeClr>
        </a:gs>
        <a:gs pos="56000">
          <a:schemeClr val="accent3">
            <a:lumMod val="60000"/>
            <a:lumOff val="40000"/>
          </a:schemeClr>
        </a:gs>
      </a:gsLst>
      <a:lin ang="5400000" scaled="1"/>
    </a:gradFill>
    <a:ln w="9525" cap="flat" cmpd="sng" algn="ctr">
      <a:solidFill>
        <a:schemeClr val="tx1">
          <a:lumMod val="15000"/>
          <a:lumOff val="85000"/>
        </a:schemeClr>
      </a:solidFill>
      <a:round/>
    </a:ln>
    <a:effectLst>
      <a:glow rad="228600">
        <a:schemeClr val="accent3">
          <a:satMod val="175000"/>
          <a:alpha val="40000"/>
        </a:schemeClr>
      </a:glow>
      <a:outerShdw blurRad="50800" dist="50800" dir="5400000" algn="ctr" rotWithShape="0">
        <a:srgbClr val="92D050"/>
      </a:outerShdw>
    </a:effectLst>
  </c:spPr>
  <c:txPr>
    <a:bodyPr/>
    <a:lstStyle/>
    <a:p>
      <a:pPr>
        <a:defRPr lang="en-US"/>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b="1" i="0" u="none" strike="noStrike" baseline="0">
                <a:effectLst>
                  <a:outerShdw blurRad="50800" dist="38100" dir="5400000" algn="t" rotWithShape="0">
                    <a:prstClr val="black">
                      <a:alpha val="40000"/>
                    </a:prstClr>
                  </a:outerShdw>
                </a:effectLst>
              </a:rPr>
              <a:t>Top 5 Crypto Liquidity Distribution</a:t>
            </a:r>
            <a:endParaRPr lang="en-US"/>
          </a:p>
        </c:rich>
      </c:tx>
      <c:overlay val="0"/>
      <c:spPr>
        <a:noFill/>
        <a:ln>
          <a:noFill/>
        </a:ln>
        <a:effectLst/>
      </c:spPr>
      <c:txPr>
        <a:bodyPr rot="0" spcFirstLastPara="1" vertOverflow="ellipsis" vert="horz" wrap="square" anchor="ctr" anchorCtr="1"/>
        <a:lstStyle/>
        <a:p>
          <a:pPr>
            <a:defRPr lang="en-US"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tx>
            <c:strRef>
              <c:f>Task3_Liquidity_Analysis!$B$1</c:f>
              <c:strCache>
                <c:ptCount val="1"/>
                <c:pt idx="0">
                  <c:v>Volume</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72AB-442C-B5AF-07D5D4CB003A}"/>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72AB-442C-B5AF-07D5D4CB003A}"/>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72AB-442C-B5AF-07D5D4CB003A}"/>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72AB-442C-B5AF-07D5D4CB003A}"/>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72AB-442C-B5AF-07D5D4CB003A}"/>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72AB-442C-B5AF-07D5D4CB003A}"/>
              </c:ext>
            </c:extLst>
          </c:dPt>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Task3_Liquidity_Analysis!$A$2:$A$7</c:f>
              <c:strCache>
                <c:ptCount val="6"/>
                <c:pt idx="0">
                  <c:v>Bitcoin</c:v>
                </c:pt>
                <c:pt idx="1">
                  <c:v>Block Street</c:v>
                </c:pt>
                <c:pt idx="2">
                  <c:v>BNB</c:v>
                </c:pt>
                <c:pt idx="3">
                  <c:v>Tether</c:v>
                </c:pt>
                <c:pt idx="4">
                  <c:v>XRP</c:v>
                </c:pt>
                <c:pt idx="5">
                  <c:v>others</c:v>
                </c:pt>
              </c:strCache>
            </c:strRef>
          </c:cat>
          <c:val>
            <c:numRef>
              <c:f>Task3_Liquidity_Analysis!$B$2:$B$7</c:f>
              <c:numCache>
                <c:formatCode>General</c:formatCode>
                <c:ptCount val="6"/>
                <c:pt idx="0">
                  <c:v>30990000000</c:v>
                </c:pt>
                <c:pt idx="1">
                  <c:v>663280000</c:v>
                </c:pt>
                <c:pt idx="2">
                  <c:v>1230000000</c:v>
                </c:pt>
                <c:pt idx="3">
                  <c:v>56830000000</c:v>
                </c:pt>
                <c:pt idx="4">
                  <c:v>1160000000</c:v>
                </c:pt>
                <c:pt idx="5">
                  <c:v>-90873280000</c:v>
                </c:pt>
              </c:numCache>
            </c:numRef>
          </c:val>
          <c:extLst>
            <c:ext xmlns:c16="http://schemas.microsoft.com/office/drawing/2014/chart" uri="{C3380CC4-5D6E-409C-BE32-E72D297353CC}">
              <c16:uniqueId val="{0000000C-72AB-442C-B5AF-07D5D4CB003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5df3539f-c7fc-4c14-b87d-781c41f10225}"/>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lang="en-US"/>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[crypto_Analysis_Dashboard-final.xlsm]Task4!PivotTable1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chemeClr val="accent4"/>
                </a:solidFill>
              </a:rPr>
              <a:t>Chart</a:t>
            </a:r>
            <a:r>
              <a:rPr lang="en-IN" sz="1400" b="0" i="0" u="none" strike="noStrike" baseline="0">
                <a:solidFill>
                  <a:schemeClr val="accent4"/>
                </a:solidFill>
              </a:rPr>
              <a:t>Top 10 Crypto – Current Price vs Previous 1h Price</a:t>
            </a:r>
            <a:r>
              <a:rPr lang="en-IN">
                <a:solidFill>
                  <a:schemeClr val="accent4"/>
                </a:solidFill>
              </a:rPr>
              <a: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Task4!$B$3</c:f>
              <c:strCache>
                <c:ptCount val="1"/>
                <c:pt idx="0">
                  <c:v>Max of Current Price</c:v>
                </c:pt>
              </c:strCache>
            </c:strRef>
          </c:tx>
          <c:spPr>
            <a:solidFill>
              <a:schemeClr val="accent1"/>
            </a:solidFill>
            <a:ln>
              <a:noFill/>
            </a:ln>
            <a:effectLst/>
          </c:spPr>
          <c:invertIfNegative val="0"/>
          <c:cat>
            <c:strRef>
              <c:f>Task4!$A$4:$A$14</c:f>
              <c:strCache>
                <c:ptCount val="10"/>
                <c:pt idx="0">
                  <c:v>BNB</c:v>
                </c:pt>
                <c:pt idx="1">
                  <c:v>Cratos</c:v>
                </c:pt>
                <c:pt idx="2">
                  <c:v>Direxion Semiconductor Bull 3X tokenized ETF (xStock)</c:v>
                </c:pt>
                <c:pt idx="3">
                  <c:v>FLOKI</c:v>
                </c:pt>
                <c:pt idx="4">
                  <c:v>Intel Tokenized Stock (Reality)</c:v>
                </c:pt>
                <c:pt idx="5">
                  <c:v>Monero</c:v>
                </c:pt>
                <c:pt idx="6">
                  <c:v>Solana</c:v>
                </c:pt>
                <c:pt idx="7">
                  <c:v>Targon</c:v>
                </c:pt>
                <c:pt idx="8">
                  <c:v>Terra Classic</c:v>
                </c:pt>
                <c:pt idx="9">
                  <c:v>Zcash</c:v>
                </c:pt>
              </c:strCache>
            </c:strRef>
          </c:cat>
          <c:val>
            <c:numRef>
              <c:f>Task4!$B$4:$B$14</c:f>
              <c:numCache>
                <c:formatCode>General</c:formatCode>
                <c:ptCount val="10"/>
                <c:pt idx="0">
                  <c:v>713.29</c:v>
                </c:pt>
                <c:pt idx="1">
                  <c:v>0</c:v>
                </c:pt>
                <c:pt idx="2">
                  <c:v>116.08</c:v>
                </c:pt>
                <c:pt idx="3">
                  <c:v>0</c:v>
                </c:pt>
                <c:pt idx="4">
                  <c:v>89.53</c:v>
                </c:pt>
                <c:pt idx="5">
                  <c:v>445.16</c:v>
                </c:pt>
                <c:pt idx="6">
                  <c:v>101.09</c:v>
                </c:pt>
                <c:pt idx="7">
                  <c:v>13.79</c:v>
                </c:pt>
                <c:pt idx="8">
                  <c:v>0</c:v>
                </c:pt>
                <c:pt idx="9">
                  <c:v>848.04</c:v>
                </c:pt>
              </c:numCache>
            </c:numRef>
          </c:val>
          <c:extLst>
            <c:ext xmlns:c16="http://schemas.microsoft.com/office/drawing/2014/chart" uri="{C3380CC4-5D6E-409C-BE32-E72D297353CC}">
              <c16:uniqueId val="{00000000-BD47-4A41-A2E9-B5B222C0909E}"/>
            </c:ext>
          </c:extLst>
        </c:ser>
        <c:ser>
          <c:idx val="1"/>
          <c:order val="1"/>
          <c:tx>
            <c:strRef>
              <c:f>Task4!$C$3</c:f>
              <c:strCache>
                <c:ptCount val="1"/>
                <c:pt idx="0">
                  <c:v>Max of Previous 1h Price</c:v>
                </c:pt>
              </c:strCache>
            </c:strRef>
          </c:tx>
          <c:spPr>
            <a:solidFill>
              <a:schemeClr val="accent2"/>
            </a:solidFill>
            <a:ln>
              <a:noFill/>
            </a:ln>
            <a:effectLst/>
          </c:spPr>
          <c:invertIfNegative val="0"/>
          <c:cat>
            <c:strRef>
              <c:f>Task4!$A$4:$A$14</c:f>
              <c:strCache>
                <c:ptCount val="10"/>
                <c:pt idx="0">
                  <c:v>BNB</c:v>
                </c:pt>
                <c:pt idx="1">
                  <c:v>Cratos</c:v>
                </c:pt>
                <c:pt idx="2">
                  <c:v>Direxion Semiconductor Bull 3X tokenized ETF (xStock)</c:v>
                </c:pt>
                <c:pt idx="3">
                  <c:v>FLOKI</c:v>
                </c:pt>
                <c:pt idx="4">
                  <c:v>Intel Tokenized Stock (Reality)</c:v>
                </c:pt>
                <c:pt idx="5">
                  <c:v>Monero</c:v>
                </c:pt>
                <c:pt idx="6">
                  <c:v>Solana</c:v>
                </c:pt>
                <c:pt idx="7">
                  <c:v>Targon</c:v>
                </c:pt>
                <c:pt idx="8">
                  <c:v>Terra Classic</c:v>
                </c:pt>
                <c:pt idx="9">
                  <c:v>Zcash</c:v>
                </c:pt>
              </c:strCache>
            </c:strRef>
          </c:cat>
          <c:val>
            <c:numRef>
              <c:f>Task4!$C$4:$C$14</c:f>
              <c:numCache>
                <c:formatCode>General</c:formatCode>
                <c:ptCount val="10"/>
                <c:pt idx="0">
                  <c:v>709.74129353233832</c:v>
                </c:pt>
                <c:pt idx="1">
                  <c:v>4.6669970267591677E-5</c:v>
                </c:pt>
                <c:pt idx="2">
                  <c:v>115.20444620881301</c:v>
                </c:pt>
                <c:pt idx="3">
                  <c:v>2.7209944751381215E-5</c:v>
                </c:pt>
                <c:pt idx="4">
                  <c:v>88.863523573200993</c:v>
                </c:pt>
                <c:pt idx="5">
                  <c:v>439.83796067582256</c:v>
                </c:pt>
                <c:pt idx="6">
                  <c:v>100.46710395547605</c:v>
                </c:pt>
                <c:pt idx="7">
                  <c:v>13.703666898539202</c:v>
                </c:pt>
                <c:pt idx="8">
                  <c:v>5.433560224918615E-5</c:v>
                </c:pt>
                <c:pt idx="9">
                  <c:v>842.64705882352939</c:v>
                </c:pt>
              </c:numCache>
            </c:numRef>
          </c:val>
          <c:extLst>
            <c:ext xmlns:c16="http://schemas.microsoft.com/office/drawing/2014/chart" uri="{C3380CC4-5D6E-409C-BE32-E72D297353CC}">
              <c16:uniqueId val="{00000001-BD47-4A41-A2E9-B5B222C0909E}"/>
            </c:ext>
          </c:extLst>
        </c:ser>
        <c:ser>
          <c:idx val="2"/>
          <c:order val="2"/>
          <c:tx>
            <c:strRef>
              <c:f>Task4!$D$3</c:f>
              <c:strCache>
                <c:ptCount val="1"/>
                <c:pt idx="0">
                  <c:v>Max of 1h Change (%)</c:v>
                </c:pt>
              </c:strCache>
            </c:strRef>
          </c:tx>
          <c:spPr>
            <a:solidFill>
              <a:schemeClr val="accent3"/>
            </a:solidFill>
            <a:ln>
              <a:noFill/>
            </a:ln>
            <a:effectLst/>
          </c:spPr>
          <c:invertIfNegative val="0"/>
          <c:cat>
            <c:strRef>
              <c:f>Task4!$A$4:$A$14</c:f>
              <c:strCache>
                <c:ptCount val="10"/>
                <c:pt idx="0">
                  <c:v>BNB</c:v>
                </c:pt>
                <c:pt idx="1">
                  <c:v>Cratos</c:v>
                </c:pt>
                <c:pt idx="2">
                  <c:v>Direxion Semiconductor Bull 3X tokenized ETF (xStock)</c:v>
                </c:pt>
                <c:pt idx="3">
                  <c:v>FLOKI</c:v>
                </c:pt>
                <c:pt idx="4">
                  <c:v>Intel Tokenized Stock (Reality)</c:v>
                </c:pt>
                <c:pt idx="5">
                  <c:v>Monero</c:v>
                </c:pt>
                <c:pt idx="6">
                  <c:v>Solana</c:v>
                </c:pt>
                <c:pt idx="7">
                  <c:v>Targon</c:v>
                </c:pt>
                <c:pt idx="8">
                  <c:v>Terra Classic</c:v>
                </c:pt>
                <c:pt idx="9">
                  <c:v>Zcash</c:v>
                </c:pt>
              </c:strCache>
            </c:strRef>
          </c:cat>
          <c:val>
            <c:numRef>
              <c:f>Task4!$D$4:$D$14</c:f>
              <c:numCache>
                <c:formatCode>General</c:formatCode>
                <c:ptCount val="10"/>
                <c:pt idx="0">
                  <c:v>0.5</c:v>
                </c:pt>
                <c:pt idx="1">
                  <c:v>0.9</c:v>
                </c:pt>
                <c:pt idx="2">
                  <c:v>0.76</c:v>
                </c:pt>
                <c:pt idx="3">
                  <c:v>1.36</c:v>
                </c:pt>
                <c:pt idx="4">
                  <c:v>0.75</c:v>
                </c:pt>
                <c:pt idx="5">
                  <c:v>1.21</c:v>
                </c:pt>
                <c:pt idx="6">
                  <c:v>0.62</c:v>
                </c:pt>
                <c:pt idx="7">
                  <c:v>0.63</c:v>
                </c:pt>
                <c:pt idx="8">
                  <c:v>1.37</c:v>
                </c:pt>
                <c:pt idx="9">
                  <c:v>0.64</c:v>
                </c:pt>
              </c:numCache>
            </c:numRef>
          </c:val>
          <c:extLst>
            <c:ext xmlns:c16="http://schemas.microsoft.com/office/drawing/2014/chart" uri="{C3380CC4-5D6E-409C-BE32-E72D297353CC}">
              <c16:uniqueId val="{00000002-BD47-4A41-A2E9-B5B222C0909E}"/>
            </c:ext>
          </c:extLst>
        </c:ser>
        <c:dLbls>
          <c:showLegendKey val="0"/>
          <c:showVal val="0"/>
          <c:showCatName val="0"/>
          <c:showSerName val="0"/>
          <c:showPercent val="0"/>
          <c:showBubbleSize val="0"/>
        </c:dLbls>
        <c:gapWidth val="219"/>
        <c:overlap val="-27"/>
        <c:axId val="157658607"/>
        <c:axId val="370628015"/>
      </c:barChart>
      <c:catAx>
        <c:axId val="157658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628015"/>
        <c:crosses val="autoZero"/>
        <c:auto val="1"/>
        <c:lblAlgn val="ctr"/>
        <c:lblOffset val="100"/>
        <c:noMultiLvlLbl val="0"/>
      </c:catAx>
      <c:valAx>
        <c:axId val="370628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658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3">
            <a:lumMod val="20000"/>
            <a:lumOff val="80000"/>
          </a:schemeClr>
        </a:gs>
        <a:gs pos="63000">
          <a:schemeClr val="accent3">
            <a:lumMod val="40000"/>
            <a:lumOff val="60000"/>
          </a:schemeClr>
        </a:gs>
        <a:gs pos="83000">
          <a:schemeClr val="accent3">
            <a:lumMod val="60000"/>
            <a:lumOff val="40000"/>
          </a:schemeClr>
        </a:gs>
        <a:gs pos="100000">
          <a:schemeClr val="accent3">
            <a:lumMod val="75000"/>
          </a:schemeClr>
        </a:gs>
      </a:gsLst>
      <a:lin ang="5400000" scaled="1"/>
    </a:gradFill>
    <a:ln w="9525" cap="flat" cmpd="sng" algn="ctr">
      <a:solidFill>
        <a:schemeClr val="tx1">
          <a:lumMod val="15000"/>
          <a:lumOff val="85000"/>
        </a:schemeClr>
      </a:solidFill>
      <a:round/>
    </a:ln>
    <a:effectLst>
      <a:glow rad="228600">
        <a:schemeClr val="accent3">
          <a:satMod val="175000"/>
          <a:alpha val="40000"/>
        </a:schemeClr>
      </a:glow>
      <a:innerShdw blurRad="63500" dist="50800" dir="2700000">
        <a:prstClr val="black">
          <a:alpha val="50000"/>
        </a:prstClr>
      </a:innerShdw>
      <a:softEdge rad="12700"/>
    </a:effectLst>
    <a:scene3d>
      <a:camera prst="orthographicFront"/>
      <a:lightRig rig="threePt" dir="t"/>
    </a:scene3d>
    <a:sp3d>
      <a:bevelT w="165100" prst="coolSlan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IN"/>
              <a:t>Top 10 Crypto – 7-Day vs 24-Hour Price</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IN"/>
        </a:p>
      </c:txPr>
    </c:title>
    <c:autoTitleDeleted val="0"/>
    <c:plotArea>
      <c:layout/>
      <c:barChart>
        <c:barDir val="bar"/>
        <c:grouping val="percentStacked"/>
        <c:varyColors val="0"/>
        <c:ser>
          <c:idx val="0"/>
          <c:order val="0"/>
          <c:tx>
            <c:strRef>
              <c:f>Task5_Historical_Insights!$C$1</c:f>
              <c:strCache>
                <c:ptCount val="1"/>
                <c:pt idx="0">
                  <c:v>7-Day Price</c:v>
                </c:pt>
              </c:strCache>
            </c:strRef>
          </c:tx>
          <c:spPr>
            <a:solidFill>
              <a:schemeClr val="accent1"/>
            </a:solidFill>
            <a:ln>
              <a:noFill/>
            </a:ln>
            <a:effectLst/>
          </c:spPr>
          <c:invertIfNegative val="0"/>
          <c:cat>
            <c:strRef>
              <c:extLst>
                <c:ext xmlns:c15="http://schemas.microsoft.com/office/drawing/2012/chart" uri="{02D57815-91ED-43cb-92C2-25804820EDAC}">
                  <c15:fullRef>
                    <c15:sqref>Task5_Historical_Insights!$A$2:$B$11</c15:sqref>
                  </c15:fullRef>
                  <c15:levelRef>
                    <c15:sqref>Task5_Historical_Insights!$A$2:$A$11</c15:sqref>
                  </c15:levelRef>
                </c:ext>
              </c:extLst>
              <c:f>Task5_Historical_Insights!$A$2:$A$11</c:f>
              <c:strCache>
                <c:ptCount val="10"/>
                <c:pt idx="0">
                  <c:v>Measurable Data Token</c:v>
                </c:pt>
                <c:pt idx="1">
                  <c:v>Billy (Bitcoin)</c:v>
                </c:pt>
                <c:pt idx="2">
                  <c:v>CyberLeek</c:v>
                </c:pt>
                <c:pt idx="3">
                  <c:v>Aleph Zero</c:v>
                </c:pt>
                <c:pt idx="4">
                  <c:v>Shark Cat</c:v>
                </c:pt>
                <c:pt idx="5">
                  <c:v>Pons</c:v>
                </c:pt>
                <c:pt idx="6">
                  <c:v>Capricorn</c:v>
                </c:pt>
                <c:pt idx="7">
                  <c:v>Russell</c:v>
                </c:pt>
                <c:pt idx="8">
                  <c:v>ELYSIA</c:v>
                </c:pt>
                <c:pt idx="9">
                  <c:v>Grin</c:v>
                </c:pt>
              </c:strCache>
            </c:strRef>
          </c:cat>
          <c:val>
            <c:numRef>
              <c:f>Task5_Historical_Insights!$C$2:$C$11</c:f>
              <c:numCache>
                <c:formatCode>General</c:formatCode>
                <c:ptCount val="10"/>
                <c:pt idx="0">
                  <c:v>4.2813559322033897E-5</c:v>
                </c:pt>
                <c:pt idx="1">
                  <c:v>1.659205217487426E-5</c:v>
                </c:pt>
                <c:pt idx="2">
                  <c:v>5.6427441984679609E-7</c:v>
                </c:pt>
                <c:pt idx="3">
                  <c:v>8.270683453237411E-4</c:v>
                </c:pt>
                <c:pt idx="4">
                  <c:v>2.1142703139738581E-5</c:v>
                </c:pt>
                <c:pt idx="5">
                  <c:v>4.1903786150048904E-4</c:v>
                </c:pt>
                <c:pt idx="6">
                  <c:v>1.3640866873065016E-2</c:v>
                </c:pt>
                <c:pt idx="7">
                  <c:v>7.1044258027191199E-5</c:v>
                </c:pt>
                <c:pt idx="8">
                  <c:v>6.1005368472425582E-5</c:v>
                </c:pt>
                <c:pt idx="9">
                  <c:v>8.5921052631578957E-3</c:v>
                </c:pt>
              </c:numCache>
            </c:numRef>
          </c:val>
          <c:extLst>
            <c:ext xmlns:c16="http://schemas.microsoft.com/office/drawing/2014/chart" uri="{C3380CC4-5D6E-409C-BE32-E72D297353CC}">
              <c16:uniqueId val="{00000000-EF02-410B-A90B-2FCF5D3FE00F}"/>
            </c:ext>
          </c:extLst>
        </c:ser>
        <c:ser>
          <c:idx val="1"/>
          <c:order val="1"/>
          <c:tx>
            <c:strRef>
              <c:f>Task5_Historical_Insights!$D$1</c:f>
              <c:strCache>
                <c:ptCount val="1"/>
                <c:pt idx="0">
                  <c:v>24-Hour Price</c:v>
                </c:pt>
              </c:strCache>
            </c:strRef>
          </c:tx>
          <c:spPr>
            <a:solidFill>
              <a:schemeClr val="accent2"/>
            </a:solidFill>
            <a:ln>
              <a:noFill/>
            </a:ln>
            <a:effectLst/>
          </c:spPr>
          <c:invertIfNegative val="0"/>
          <c:cat>
            <c:strRef>
              <c:extLst>
                <c:ext xmlns:c15="http://schemas.microsoft.com/office/drawing/2012/chart" uri="{02D57815-91ED-43cb-92C2-25804820EDAC}">
                  <c15:fullRef>
                    <c15:sqref>Task5_Historical_Insights!$A$2:$B$11</c15:sqref>
                  </c15:fullRef>
                  <c15:levelRef>
                    <c15:sqref>Task5_Historical_Insights!$A$2:$A$11</c15:sqref>
                  </c15:levelRef>
                </c:ext>
              </c:extLst>
              <c:f>Task5_Historical_Insights!$A$2:$A$11</c:f>
              <c:strCache>
                <c:ptCount val="10"/>
                <c:pt idx="0">
                  <c:v>Measurable Data Token</c:v>
                </c:pt>
                <c:pt idx="1">
                  <c:v>Billy (Bitcoin)</c:v>
                </c:pt>
                <c:pt idx="2">
                  <c:v>CyberLeek</c:v>
                </c:pt>
                <c:pt idx="3">
                  <c:v>Aleph Zero</c:v>
                </c:pt>
                <c:pt idx="4">
                  <c:v>Shark Cat</c:v>
                </c:pt>
                <c:pt idx="5">
                  <c:v>Pons</c:v>
                </c:pt>
                <c:pt idx="6">
                  <c:v>Capricorn</c:v>
                </c:pt>
                <c:pt idx="7">
                  <c:v>Russell</c:v>
                </c:pt>
                <c:pt idx="8">
                  <c:v>ELYSIA</c:v>
                </c:pt>
                <c:pt idx="9">
                  <c:v>Grin</c:v>
                </c:pt>
              </c:strCache>
            </c:strRef>
          </c:cat>
          <c:val>
            <c:numRef>
              <c:f>Task5_Historical_Insights!$D$2:$D$11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EF02-410B-A90B-2FCF5D3FE00F}"/>
            </c:ext>
          </c:extLst>
        </c:ser>
        <c:dLbls>
          <c:showLegendKey val="0"/>
          <c:showVal val="0"/>
          <c:showCatName val="0"/>
          <c:showSerName val="0"/>
          <c:showPercent val="0"/>
          <c:showBubbleSize val="0"/>
        </c:dLbls>
        <c:gapWidth val="150"/>
        <c:overlap val="100"/>
        <c:axId val="1832148239"/>
        <c:axId val="758772783"/>
      </c:barChart>
      <c:catAx>
        <c:axId val="18321482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758772783"/>
        <c:crosses val="autoZero"/>
        <c:auto val="1"/>
        <c:lblAlgn val="ctr"/>
        <c:lblOffset val="100"/>
        <c:noMultiLvlLbl val="0"/>
      </c:catAx>
      <c:valAx>
        <c:axId val="75877278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14823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[crypto_Analysis_Dashboard-final.xlsm]pivote_chats!PivotTable9</c:name>
    <c:fmtId val="2"/>
  </c:pivotSource>
  <c:chart>
    <c:title>
      <c:tx>
        <c:rich>
          <a:bodyPr rot="0" spcFirstLastPara="1" vertOverflow="ellipsis" vert="horz" wrap="square" anchor="ctr" anchorCtr="1"/>
          <a:lstStyle/>
          <a:p>
            <a:pPr>
              <a:defRPr lang="en-US" sz="1400" b="1" i="0" u="none" strike="noStrike" kern="1200" spc="0" baseline="0">
                <a:solidFill>
                  <a:srgbClr val="7030A0"/>
                </a:solidFill>
                <a:latin typeface="+mn-lt"/>
                <a:ea typeface="+mn-ea"/>
                <a:cs typeface="+mn-cs"/>
              </a:defRPr>
            </a:pPr>
            <a:r>
              <a:rPr lang="en-US" b="1">
                <a:solidFill>
                  <a:srgbClr val="7030A0"/>
                </a:solidFill>
              </a:rPr>
              <a:t>Top 10 coins by Price</a:t>
            </a:r>
          </a:p>
        </c:rich>
      </c:tx>
      <c:overlay val="0"/>
      <c:spPr>
        <a:noFill/>
        <a:ln>
          <a:noFill/>
        </a:ln>
        <a:effectLst/>
      </c:spPr>
      <c:txPr>
        <a:bodyPr rot="0" spcFirstLastPara="1" vertOverflow="ellipsis" vert="horz" wrap="square" anchor="ctr" anchorCtr="1"/>
        <a:lstStyle/>
        <a:p>
          <a:pPr>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pivote_chats!$B$2</c:f>
              <c:strCache>
                <c:ptCount val="1"/>
                <c:pt idx="0">
                  <c:v>Total</c:v>
                </c:pt>
              </c:strCache>
            </c:strRef>
          </c:tx>
          <c:spPr>
            <a:solidFill>
              <a:schemeClr val="accent1"/>
            </a:solidFill>
            <a:ln>
              <a:noFill/>
            </a:ln>
            <a:effectLst/>
          </c:spPr>
          <c:invertIfNegative val="0"/>
          <c:cat>
            <c:strRef>
              <c:f>pivote_chats!$A$3:$A$13</c:f>
              <c:strCache>
                <c:ptCount val="10"/>
                <c:pt idx="0">
                  <c:v>Advanced Micro Devices Tokenized bStocks</c:v>
                </c:pt>
                <c:pt idx="1">
                  <c:v>Bitcoin</c:v>
                </c:pt>
                <c:pt idx="2">
                  <c:v>BNB</c:v>
                </c:pt>
                <c:pt idx="3">
                  <c:v>Ethereum</c:v>
                </c:pt>
                <c:pt idx="4">
                  <c:v>Lockheed Tokenized Stock (Ondo)</c:v>
                </c:pt>
                <c:pt idx="5">
                  <c:v>Mastercard Tokenized Stock (Ondo)</c:v>
                </c:pt>
                <c:pt idx="6">
                  <c:v>Meta Tokenized Stock (Reality)</c:v>
                </c:pt>
                <c:pt idx="7">
                  <c:v>Micron Tokenized Stock (Reality)</c:v>
                </c:pt>
                <c:pt idx="8">
                  <c:v>OpenAI
Pre-IPO stock (Republic)</c:v>
                </c:pt>
                <c:pt idx="9">
                  <c:v>SanDisk Tokenized Stock (Reality)</c:v>
                </c:pt>
              </c:strCache>
            </c:strRef>
          </c:cat>
          <c:val>
            <c:numRef>
              <c:f>pivote_chats!$B$3:$B$13</c:f>
              <c:numCache>
                <c:formatCode>General</c:formatCode>
                <c:ptCount val="10"/>
                <c:pt idx="0">
                  <c:v>479.08</c:v>
                </c:pt>
                <c:pt idx="1">
                  <c:v>62905.02</c:v>
                </c:pt>
                <c:pt idx="2">
                  <c:v>586.66999999999996</c:v>
                </c:pt>
                <c:pt idx="3">
                  <c:v>1861.07</c:v>
                </c:pt>
                <c:pt idx="4">
                  <c:v>592.08000000000004</c:v>
                </c:pt>
                <c:pt idx="5">
                  <c:v>575.01</c:v>
                </c:pt>
                <c:pt idx="6">
                  <c:v>554.79999999999995</c:v>
                </c:pt>
                <c:pt idx="7">
                  <c:v>819.57</c:v>
                </c:pt>
                <c:pt idx="8">
                  <c:v>697.68</c:v>
                </c:pt>
                <c:pt idx="9">
                  <c:v>1211.4100000000001</c:v>
                </c:pt>
              </c:numCache>
            </c:numRef>
          </c:val>
          <c:extLst>
            <c:ext xmlns:c16="http://schemas.microsoft.com/office/drawing/2014/chart" uri="{C3380CC4-5D6E-409C-BE32-E72D297353CC}">
              <c16:uniqueId val="{00000000-7F02-4AFA-838F-E08406D3EE28}"/>
            </c:ext>
          </c:extLst>
        </c:ser>
        <c:dLbls>
          <c:showLegendKey val="0"/>
          <c:showVal val="0"/>
          <c:showCatName val="0"/>
          <c:showSerName val="0"/>
          <c:showPercent val="0"/>
          <c:showBubbleSize val="0"/>
        </c:dLbls>
        <c:gapWidth val="219"/>
        <c:overlap val="-27"/>
        <c:axId val="662385487"/>
        <c:axId val="1165383663"/>
      </c:barChart>
      <c:catAx>
        <c:axId val="662385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165383663"/>
        <c:crosses val="autoZero"/>
        <c:auto val="1"/>
        <c:lblAlgn val="ctr"/>
        <c:lblOffset val="100"/>
        <c:noMultiLvlLbl val="0"/>
      </c:catAx>
      <c:valAx>
        <c:axId val="11653836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662385487"/>
        <c:crosses val="autoZero"/>
        <c:crossBetween val="between"/>
      </c:valAx>
      <c:spPr>
        <a:noFill/>
        <a:ln>
          <a:noFill/>
        </a:ln>
        <a:effectLst/>
      </c:spPr>
    </c:plotArea>
    <c:plotVisOnly val="1"/>
    <c:dispBlanksAs val="gap"/>
    <c:showDLblsOverMax val="0"/>
    <c:extLst>
      <c:ext uri="{0b15fc19-7d7d-44ad-8c2d-2c3a37ce22c3}">
        <chartProps xmlns="https://web.wps.cn/et/2018/main" chartId="{d073833e-0557-49a1-8470-625fd83e49c1}"/>
      </c:ext>
    </c:extLst>
  </c:chart>
  <c:spPr>
    <a:gradFill>
      <a:gsLst>
        <a:gs pos="41000">
          <a:schemeClr val="accent3">
            <a:lumMod val="40000"/>
            <a:lumOff val="60000"/>
          </a:schemeClr>
        </a:gs>
        <a:gs pos="9000">
          <a:schemeClr val="accent3">
            <a:lumMod val="20000"/>
            <a:lumOff val="80000"/>
          </a:schemeClr>
        </a:gs>
        <a:gs pos="78000">
          <a:schemeClr val="accent3">
            <a:lumMod val="60000"/>
            <a:lumOff val="40000"/>
          </a:schemeClr>
        </a:gs>
        <a:gs pos="100000">
          <a:schemeClr val="accent3">
            <a:lumMod val="20000"/>
            <a:lumOff val="80000"/>
          </a:schemeClr>
        </a:gs>
      </a:gsLst>
      <a:lin ang="5400000" scaled="1"/>
    </a:gradFill>
    <a:ln w="9525" cap="flat" cmpd="sng" algn="ctr">
      <a:solidFill>
        <a:schemeClr val="tx1">
          <a:lumMod val="15000"/>
          <a:lumOff val="85000"/>
        </a:schemeClr>
      </a:solidFill>
      <a:round/>
    </a:ln>
    <a:effectLst>
      <a:glow rad="101600">
        <a:schemeClr val="accent3">
          <a:satMod val="175000"/>
          <a:alpha val="40000"/>
        </a:schemeClr>
      </a:glow>
      <a:outerShdw blurRad="50800" dist="50800" dir="5400000" algn="ctr" rotWithShape="0">
        <a:schemeClr val="bg2">
          <a:lumMod val="50000"/>
        </a:schemeClr>
      </a:outerShdw>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[crypto_Analysis_Dashboard-final.xlsm]pivote_chats!PivotTable10</c:name>
    <c:fmtId val="5"/>
  </c:pivotSource>
  <c:chart>
    <c:title>
      <c:tx>
        <c:rich>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rgbClr val="7030A0"/>
                </a:solidFill>
              </a:rPr>
              <a:t>Most changes in 1 hour</a:t>
            </a: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pivote_chats!$B$20</c:f>
              <c:strCache>
                <c:ptCount val="1"/>
                <c:pt idx="0">
                  <c:v>Total</c:v>
                </c:pt>
              </c:strCache>
            </c:strRef>
          </c:tx>
          <c:spPr>
            <a:solidFill>
              <a:schemeClr val="accent1"/>
            </a:solidFill>
            <a:ln>
              <a:noFill/>
            </a:ln>
            <a:effectLst/>
          </c:spPr>
          <c:invertIfNegative val="0"/>
          <c:cat>
            <c:strRef>
              <c:f>pivote_chats!$A$21:$A$31</c:f>
              <c:strCache>
                <c:ptCount val="10"/>
                <c:pt idx="0">
                  <c:v>Ampleforth Governance Token</c:v>
                </c:pt>
                <c:pt idx="1">
                  <c:v>Asteroid Shiba</c:v>
                </c:pt>
                <c:pt idx="2">
                  <c:v>GALAXIA</c:v>
                </c:pt>
                <c:pt idx="3">
                  <c:v>Hachiko</c:v>
                </c:pt>
                <c:pt idx="4">
                  <c:v>Make Aliens Great Again</c:v>
                </c:pt>
                <c:pt idx="5">
                  <c:v>NanoByte Token</c:v>
                </c:pt>
                <c:pt idx="6">
                  <c:v>Odos</c:v>
                </c:pt>
                <c:pt idx="7">
                  <c:v>Orchid</c:v>
                </c:pt>
                <c:pt idx="8">
                  <c:v>RIZE</c:v>
                </c:pt>
                <c:pt idx="9">
                  <c:v>UNCX Network</c:v>
                </c:pt>
              </c:strCache>
            </c:strRef>
          </c:cat>
          <c:val>
            <c:numRef>
              <c:f>pivote_chats!$B$21:$B$31</c:f>
              <c:numCache>
                <c:formatCode>General</c:formatCode>
                <c:ptCount val="10"/>
                <c:pt idx="0">
                  <c:v>5.57</c:v>
                </c:pt>
                <c:pt idx="1">
                  <c:v>4.53</c:v>
                </c:pt>
                <c:pt idx="2">
                  <c:v>9.1999999999999993</c:v>
                </c:pt>
                <c:pt idx="3">
                  <c:v>3.39</c:v>
                </c:pt>
                <c:pt idx="4">
                  <c:v>5.66</c:v>
                </c:pt>
                <c:pt idx="5">
                  <c:v>4.4800000000000004</c:v>
                </c:pt>
                <c:pt idx="6">
                  <c:v>3.85</c:v>
                </c:pt>
                <c:pt idx="7">
                  <c:v>3.06</c:v>
                </c:pt>
                <c:pt idx="8">
                  <c:v>4.3499999999999996</c:v>
                </c:pt>
                <c:pt idx="9">
                  <c:v>16.46</c:v>
                </c:pt>
              </c:numCache>
            </c:numRef>
          </c:val>
          <c:extLst>
            <c:ext xmlns:c16="http://schemas.microsoft.com/office/drawing/2014/chart" uri="{C3380CC4-5D6E-409C-BE32-E72D297353CC}">
              <c16:uniqueId val="{00000000-2490-42A3-B6F3-A85A4C7C61C9}"/>
            </c:ext>
          </c:extLst>
        </c:ser>
        <c:dLbls>
          <c:showLegendKey val="0"/>
          <c:showVal val="0"/>
          <c:showCatName val="0"/>
          <c:showSerName val="0"/>
          <c:showPercent val="0"/>
          <c:showBubbleSize val="0"/>
        </c:dLbls>
        <c:gapWidth val="182"/>
        <c:axId val="649669871"/>
        <c:axId val="1163940655"/>
      </c:barChart>
      <c:catAx>
        <c:axId val="6496698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163940655"/>
        <c:crosses val="autoZero"/>
        <c:auto val="1"/>
        <c:lblAlgn val="ctr"/>
        <c:lblOffset val="100"/>
        <c:noMultiLvlLbl val="0"/>
      </c:catAx>
      <c:valAx>
        <c:axId val="11639406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649669871"/>
        <c:crosses val="autoZero"/>
        <c:crossBetween val="between"/>
      </c:valAx>
      <c:spPr>
        <a:noFill/>
        <a:ln>
          <a:noFill/>
        </a:ln>
        <a:effectLst/>
      </c:spPr>
    </c:plotArea>
    <c:plotVisOnly val="1"/>
    <c:dispBlanksAs val="gap"/>
    <c:showDLblsOverMax val="0"/>
    <c:extLst>
      <c:ext uri="{0b15fc19-7d7d-44ad-8c2d-2c3a37ce22c3}">
        <chartProps xmlns="https://web.wps.cn/et/2018/main" chartId="{df96ae1c-7118-403d-9e6a-5ebf03384489}"/>
      </c:ext>
    </c:extLst>
  </c:chart>
  <c:spPr>
    <a:gradFill>
      <a:gsLst>
        <a:gs pos="41000">
          <a:schemeClr val="accent3">
            <a:lumMod val="40000"/>
            <a:lumOff val="60000"/>
          </a:schemeClr>
        </a:gs>
        <a:gs pos="9000">
          <a:schemeClr val="accent3">
            <a:lumMod val="20000"/>
            <a:lumOff val="80000"/>
          </a:schemeClr>
        </a:gs>
        <a:gs pos="78000">
          <a:schemeClr val="accent3">
            <a:lumMod val="60000"/>
            <a:lumOff val="40000"/>
          </a:schemeClr>
        </a:gs>
        <a:gs pos="100000">
          <a:schemeClr val="accent3">
            <a:lumMod val="20000"/>
            <a:lumOff val="80000"/>
          </a:schemeClr>
        </a:gs>
      </a:gsLst>
      <a:lin ang="5400000" scaled="1"/>
    </a:gradFill>
    <a:ln w="9525" cap="flat" cmpd="sng" algn="ctr">
      <a:solidFill>
        <a:schemeClr val="tx1">
          <a:lumMod val="15000"/>
          <a:lumOff val="85000"/>
        </a:schemeClr>
      </a:solidFill>
      <a:round/>
    </a:ln>
    <a:effectLst>
      <a:glow rad="101600">
        <a:schemeClr val="accent3">
          <a:satMod val="175000"/>
          <a:alpha val="40000"/>
        </a:schemeClr>
      </a:glow>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[crypto_Analysis_Dashboard-final.xlsm]pivote_chats!PivotTable12</c:name>
    <c:fmtId val="6"/>
  </c:pivotSource>
  <c:chart>
    <c:title>
      <c:tx>
        <c:rich>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r>
              <a:rPr lang="en-IN" b="1">
                <a:solidFill>
                  <a:srgbClr val="7030A0"/>
                </a:solidFill>
              </a:rPr>
              <a:t>Price</a:t>
            </a:r>
            <a:r>
              <a:rPr lang="en-IN" b="1" baseline="0">
                <a:solidFill>
                  <a:srgbClr val="7030A0"/>
                </a:solidFill>
              </a:rPr>
              <a:t> Vs Doller pre Supply</a:t>
            </a:r>
            <a:endParaRPr lang="en-IN" b="1">
              <a:solidFill>
                <a:srgbClr val="7030A0"/>
              </a:solidFill>
            </a:endParaRP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pivote_chats!$B$37</c:f>
              <c:strCache>
                <c:ptCount val="1"/>
                <c:pt idx="0">
                  <c:v>Sum of Doller Volume per Supply</c:v>
                </c:pt>
              </c:strCache>
            </c:strRef>
          </c:tx>
          <c:spPr>
            <a:solidFill>
              <a:schemeClr val="accent1"/>
            </a:solidFill>
            <a:ln>
              <a:noFill/>
            </a:ln>
            <a:effectLst/>
          </c:spPr>
          <c:invertIfNegative val="0"/>
          <c:cat>
            <c:strRef>
              <c:f>pivote_chats!$A$38:$A$48</c:f>
              <c:strCache>
                <c:ptCount val="10"/>
                <c:pt idx="0">
                  <c:v>Adshares</c:v>
                </c:pt>
                <c:pt idx="1">
                  <c:v>Advanced Micro Devices Tokenized bStocks</c:v>
                </c:pt>
                <c:pt idx="2">
                  <c:v>Gemini Dollar</c:v>
                </c:pt>
                <c:pt idx="3">
                  <c:v>Hoge Finance</c:v>
                </c:pt>
                <c:pt idx="4">
                  <c:v>Mango</c:v>
                </c:pt>
                <c:pt idx="5">
                  <c:v>Maverick Protocol</c:v>
                </c:pt>
                <c:pt idx="6">
                  <c:v>NanoByte Token</c:v>
                </c:pt>
                <c:pt idx="7">
                  <c:v>Rain</c:v>
                </c:pt>
                <c:pt idx="8">
                  <c:v>Turbo</c:v>
                </c:pt>
                <c:pt idx="9">
                  <c:v>USDC</c:v>
                </c:pt>
              </c:strCache>
            </c:strRef>
          </c:cat>
          <c:val>
            <c:numRef>
              <c:f>pivote_chats!$B$38:$B$48</c:f>
              <c:numCache>
                <c:formatCode>General</c:formatCode>
                <c:ptCount val="10"/>
                <c:pt idx="0">
                  <c:v>3038.3657199800696</c:v>
                </c:pt>
                <c:pt idx="1">
                  <c:v>194.8127278753729</c:v>
                </c:pt>
                <c:pt idx="2">
                  <c:v>376.32933104631218</c:v>
                </c:pt>
                <c:pt idx="3">
                  <c:v>141.63440860215053</c:v>
                </c:pt>
                <c:pt idx="4">
                  <c:v>324.37877770315646</c:v>
                </c:pt>
                <c:pt idx="5">
                  <c:v>134.59516298633017</c:v>
                </c:pt>
                <c:pt idx="6">
                  <c:v>221.58273381294964</c:v>
                </c:pt>
                <c:pt idx="7">
                  <c:v>369.11764705882354</c:v>
                </c:pt>
                <c:pt idx="8">
                  <c:v>163.35078534031413</c:v>
                </c:pt>
                <c:pt idx="9">
                  <c:v>3658.7301587301586</c:v>
                </c:pt>
              </c:numCache>
            </c:numRef>
          </c:val>
          <c:extLst>
            <c:ext xmlns:c16="http://schemas.microsoft.com/office/drawing/2014/chart" uri="{C3380CC4-5D6E-409C-BE32-E72D297353CC}">
              <c16:uniqueId val="{00000000-82B9-4AE2-997E-1AC5C70686EC}"/>
            </c:ext>
          </c:extLst>
        </c:ser>
        <c:ser>
          <c:idx val="1"/>
          <c:order val="1"/>
          <c:tx>
            <c:strRef>
              <c:f>pivote_chats!$C$37</c:f>
              <c:strCache>
                <c:ptCount val="1"/>
                <c:pt idx="0">
                  <c:v>Sum of Price (USD)</c:v>
                </c:pt>
              </c:strCache>
            </c:strRef>
          </c:tx>
          <c:spPr>
            <a:solidFill>
              <a:schemeClr val="accent2"/>
            </a:solidFill>
            <a:ln>
              <a:noFill/>
            </a:ln>
            <a:effectLst/>
          </c:spPr>
          <c:invertIfNegative val="0"/>
          <c:cat>
            <c:strRef>
              <c:f>pivote_chats!$A$38:$A$48</c:f>
              <c:strCache>
                <c:ptCount val="10"/>
                <c:pt idx="0">
                  <c:v>Adshares</c:v>
                </c:pt>
                <c:pt idx="1">
                  <c:v>Advanced Micro Devices Tokenized bStocks</c:v>
                </c:pt>
                <c:pt idx="2">
                  <c:v>Gemini Dollar</c:v>
                </c:pt>
                <c:pt idx="3">
                  <c:v>Hoge Finance</c:v>
                </c:pt>
                <c:pt idx="4">
                  <c:v>Mango</c:v>
                </c:pt>
                <c:pt idx="5">
                  <c:v>Maverick Protocol</c:v>
                </c:pt>
                <c:pt idx="6">
                  <c:v>NanoByte Token</c:v>
                </c:pt>
                <c:pt idx="7">
                  <c:v>Rain</c:v>
                </c:pt>
                <c:pt idx="8">
                  <c:v>Turbo</c:v>
                </c:pt>
                <c:pt idx="9">
                  <c:v>USDC</c:v>
                </c:pt>
              </c:strCache>
            </c:strRef>
          </c:cat>
          <c:val>
            <c:numRef>
              <c:f>pivote_chats!$C$38:$C$48</c:f>
              <c:numCache>
                <c:formatCode>General</c:formatCode>
                <c:ptCount val="10"/>
                <c:pt idx="0">
                  <c:v>0.40110000000000001</c:v>
                </c:pt>
                <c:pt idx="1">
                  <c:v>479.08</c:v>
                </c:pt>
                <c:pt idx="2">
                  <c:v>0.99950000000000006</c:v>
                </c:pt>
                <c:pt idx="3">
                  <c:v>5.2713999999999997E-2</c:v>
                </c:pt>
                <c:pt idx="4">
                  <c:v>2.5579999999999999E-2</c:v>
                </c:pt>
                <c:pt idx="5">
                  <c:v>8.0409999999999995E-3</c:v>
                </c:pt>
                <c:pt idx="6">
                  <c:v>9.1189999999999999E-4</c:v>
                </c:pt>
                <c:pt idx="7">
                  <c:v>1.2749999999999999E-2</c:v>
                </c:pt>
                <c:pt idx="8">
                  <c:v>7.9080000000000003E-4</c:v>
                </c:pt>
                <c:pt idx="9">
                  <c:v>0.99980000000000002</c:v>
                </c:pt>
              </c:numCache>
            </c:numRef>
          </c:val>
          <c:extLst>
            <c:ext xmlns:c16="http://schemas.microsoft.com/office/drawing/2014/chart" uri="{C3380CC4-5D6E-409C-BE32-E72D297353CC}">
              <c16:uniqueId val="{00000001-82B9-4AE2-997E-1AC5C70686EC}"/>
            </c:ext>
          </c:extLst>
        </c:ser>
        <c:dLbls>
          <c:showLegendKey val="0"/>
          <c:showVal val="0"/>
          <c:showCatName val="0"/>
          <c:showSerName val="0"/>
          <c:showPercent val="0"/>
          <c:showBubbleSize val="0"/>
        </c:dLbls>
        <c:gapWidth val="219"/>
        <c:overlap val="-27"/>
        <c:axId val="553847823"/>
        <c:axId val="506264431"/>
      </c:barChart>
      <c:catAx>
        <c:axId val="553847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506264431"/>
        <c:crosses val="autoZero"/>
        <c:auto val="1"/>
        <c:lblAlgn val="ctr"/>
        <c:lblOffset val="100"/>
        <c:noMultiLvlLbl val="0"/>
      </c:catAx>
      <c:valAx>
        <c:axId val="5062644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5538478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bb82700c-a578-4434-9c84-533956925b98}"/>
      </c:ext>
    </c:extLst>
  </c:chart>
  <c:spPr>
    <a:gradFill>
      <a:gsLst>
        <a:gs pos="41000">
          <a:schemeClr val="accent3">
            <a:lumMod val="40000"/>
            <a:lumOff val="60000"/>
          </a:schemeClr>
        </a:gs>
        <a:gs pos="9000">
          <a:schemeClr val="accent3">
            <a:lumMod val="20000"/>
            <a:lumOff val="80000"/>
          </a:schemeClr>
        </a:gs>
        <a:gs pos="78000">
          <a:schemeClr val="accent3">
            <a:lumMod val="60000"/>
            <a:lumOff val="40000"/>
          </a:schemeClr>
        </a:gs>
        <a:gs pos="100000">
          <a:schemeClr val="accent3">
            <a:lumMod val="20000"/>
            <a:lumOff val="80000"/>
          </a:schemeClr>
        </a:gs>
      </a:gsLst>
      <a:lin ang="5400000" scaled="1"/>
    </a:gradFill>
    <a:ln w="9525" cap="flat" cmpd="sng" algn="ctr">
      <a:solidFill>
        <a:schemeClr val="tx1">
          <a:lumMod val="15000"/>
          <a:lumOff val="85000"/>
        </a:schemeClr>
      </a:solidFill>
      <a:round/>
    </a:ln>
    <a:effectLst>
      <a:glow rad="101600">
        <a:schemeClr val="accent3">
          <a:satMod val="175000"/>
          <a:alpha val="40000"/>
        </a:schemeClr>
      </a:glow>
      <a:outerShdw blurRad="50800" dist="50800" dir="5400000" algn="ctr" rotWithShape="0">
        <a:schemeClr val="accent6">
          <a:lumMod val="60000"/>
          <a:lumOff val="40000"/>
        </a:schemeClr>
      </a:outerShdw>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r>
              <a:rPr lang="en-IN" b="1">
                <a:solidFill>
                  <a:srgbClr val="7030A0"/>
                </a:solidFill>
              </a:rPr>
              <a:t>Market</a:t>
            </a:r>
            <a:r>
              <a:rPr lang="en-IN" b="1" baseline="0">
                <a:solidFill>
                  <a:srgbClr val="7030A0"/>
                </a:solidFill>
              </a:rPr>
              <a:t> Captial Shares</a:t>
            </a:r>
            <a:endParaRPr lang="en-IN" b="1">
              <a:solidFill>
                <a:srgbClr val="7030A0"/>
              </a:solidFill>
            </a:endParaRP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0A-4BF9-8BB9-F898BCD7E62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0A-4BF9-8BB9-F898BCD7E62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70A-4BF9-8BB9-F898BCD7E62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70A-4BF9-8BB9-F898BCD7E62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70A-4BF9-8BB9-F898BCD7E62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70A-4BF9-8BB9-F898BCD7E62C}"/>
              </c:ext>
            </c:extLst>
          </c:dPt>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pivote_chats!$D$66:$D$71</c:f>
              <c:strCache>
                <c:ptCount val="6"/>
                <c:pt idx="0">
                  <c:v>Bitcoin</c:v>
                </c:pt>
                <c:pt idx="1">
                  <c:v>Ethereum</c:v>
                </c:pt>
                <c:pt idx="2">
                  <c:v>Tether</c:v>
                </c:pt>
                <c:pt idx="3">
                  <c:v>BNB</c:v>
                </c:pt>
                <c:pt idx="4">
                  <c:v>USDC</c:v>
                </c:pt>
                <c:pt idx="5">
                  <c:v>others</c:v>
                </c:pt>
              </c:strCache>
            </c:strRef>
          </c:cat>
          <c:val>
            <c:numRef>
              <c:f>pivote_chats!$E$66:$E$71</c:f>
              <c:numCache>
                <c:formatCode>General</c:formatCode>
                <c:ptCount val="6"/>
                <c:pt idx="0">
                  <c:v>1260000000000</c:v>
                </c:pt>
                <c:pt idx="1">
                  <c:v>224490000000</c:v>
                </c:pt>
                <c:pt idx="2">
                  <c:v>183630000000</c:v>
                </c:pt>
                <c:pt idx="3">
                  <c:v>78080000000</c:v>
                </c:pt>
                <c:pt idx="4">
                  <c:v>71920000000</c:v>
                </c:pt>
                <c:pt idx="5">
                  <c:v>228122643250</c:v>
                </c:pt>
              </c:numCache>
            </c:numRef>
          </c:val>
          <c:extLst>
            <c:ext xmlns:c16="http://schemas.microsoft.com/office/drawing/2014/chart" uri="{C3380CC4-5D6E-409C-BE32-E72D297353CC}">
              <c16:uniqueId val="{0000000C-070A-4BF9-8BB9-F898BCD7E62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bf4ac2c4-5e04-42f3-84ec-676f0c2af012}"/>
      </c:ext>
    </c:extLst>
  </c:chart>
  <c:spPr>
    <a:gradFill>
      <a:gsLst>
        <a:gs pos="41000">
          <a:schemeClr val="accent3">
            <a:lumMod val="40000"/>
            <a:lumOff val="60000"/>
          </a:schemeClr>
        </a:gs>
        <a:gs pos="9000">
          <a:schemeClr val="accent3">
            <a:lumMod val="20000"/>
            <a:lumOff val="80000"/>
          </a:schemeClr>
        </a:gs>
        <a:gs pos="78000">
          <a:schemeClr val="accent3">
            <a:lumMod val="60000"/>
            <a:lumOff val="40000"/>
          </a:schemeClr>
        </a:gs>
        <a:gs pos="100000">
          <a:schemeClr val="accent3">
            <a:lumMod val="20000"/>
            <a:lumOff val="80000"/>
          </a:schemeClr>
        </a:gs>
      </a:gsLst>
      <a:lin ang="5400000" scaled="1"/>
    </a:gradFill>
    <a:ln w="9525" cap="flat" cmpd="sng" algn="ctr">
      <a:solidFill>
        <a:schemeClr val="tx1">
          <a:lumMod val="15000"/>
          <a:lumOff val="85000"/>
          <a:alpha val="64000"/>
        </a:schemeClr>
      </a:solidFill>
      <a:round/>
    </a:ln>
    <a:effectLst>
      <a:glow rad="139700">
        <a:srgbClr val="92D050">
          <a:alpha val="40000"/>
        </a:srgbClr>
      </a:glow>
      <a:innerShdw blurRad="63500" dist="50800" dir="18900000">
        <a:schemeClr val="accent6">
          <a:lumMod val="75000"/>
          <a:alpha val="50000"/>
        </a:schemeClr>
      </a:innerShdw>
    </a:effectLst>
  </c:spPr>
  <c:txPr>
    <a:bodyPr/>
    <a:lstStyle/>
    <a:p>
      <a:pPr>
        <a:defRPr lang="en-US"/>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[crypto_Analysis_Dashboard-final.xlsm]Sheet1!PivotTable1</c:name>
    <c:fmtId val="5"/>
  </c:pivotSource>
  <c:chart>
    <c:title>
      <c:tx>
        <c:rich>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r>
              <a:rPr lang="en-US" b="1">
                <a:solidFill>
                  <a:schemeClr val="accent6"/>
                </a:solidFill>
              </a:rPr>
              <a:t>Top 10 coins by price</a:t>
            </a:r>
          </a:p>
        </c:rich>
      </c:tx>
      <c:layout>
        <c:manualLayout>
          <c:xMode val="edge"/>
          <c:yMode val="edge"/>
          <c:x val="0.36838008530183702"/>
          <c:y val="2.41254523522316E-2"/>
        </c:manualLayout>
      </c:layout>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Sheet1!$B$2</c:f>
              <c:strCache>
                <c:ptCount val="1"/>
                <c:pt idx="0">
                  <c:v>Total</c:v>
                </c:pt>
              </c:strCache>
            </c:strRef>
          </c:tx>
          <c:spPr>
            <a:solidFill>
              <a:schemeClr val="accent1"/>
            </a:solidFill>
            <a:ln>
              <a:noFill/>
            </a:ln>
            <a:effectLst/>
          </c:spPr>
          <c:invertIfNegative val="0"/>
          <c:cat>
            <c:strRef>
              <c:f>Sheet1!$A$3:$A$13</c:f>
              <c:strCache>
                <c:ptCount val="10"/>
                <c:pt idx="0">
                  <c:v>Bitcoin</c:v>
                </c:pt>
                <c:pt idx="1">
                  <c:v>BNB</c:v>
                </c:pt>
                <c:pt idx="2">
                  <c:v>Ethereum</c:v>
                </c:pt>
                <c:pt idx="3">
                  <c:v>Zcash</c:v>
                </c:pt>
                <c:pt idx="4">
                  <c:v>Diem</c:v>
                </c:pt>
                <c:pt idx="5">
                  <c:v>State Street SPDR S&amp;P 500 ETF Tokenized bStocks</c:v>
                </c:pt>
                <c:pt idx="6">
                  <c:v>Tether Gold Tokens</c:v>
                </c:pt>
                <c:pt idx="7">
                  <c:v>Micron Technology Inc tokenized stock (Backpack)</c:v>
                </c:pt>
                <c:pt idx="8">
                  <c:v>Bitcoin Silver AI</c:v>
                </c:pt>
                <c:pt idx="9">
                  <c:v>Costco Tokenized Stock (Ondo)</c:v>
                </c:pt>
              </c:strCache>
            </c:strRef>
          </c:cat>
          <c:val>
            <c:numRef>
              <c:f>Sheet1!$B$3:$B$13</c:f>
              <c:numCache>
                <c:formatCode>General</c:formatCode>
                <c:ptCount val="10"/>
                <c:pt idx="0">
                  <c:v>80509.13</c:v>
                </c:pt>
                <c:pt idx="1">
                  <c:v>713.29</c:v>
                </c:pt>
                <c:pt idx="2">
                  <c:v>2502.7199999999998</c:v>
                </c:pt>
                <c:pt idx="3">
                  <c:v>848.04</c:v>
                </c:pt>
                <c:pt idx="4">
                  <c:v>1638.11</c:v>
                </c:pt>
                <c:pt idx="5">
                  <c:v>764.74</c:v>
                </c:pt>
                <c:pt idx="6">
                  <c:v>4631.91</c:v>
                </c:pt>
                <c:pt idx="7">
                  <c:v>926.42</c:v>
                </c:pt>
                <c:pt idx="8">
                  <c:v>1111.68</c:v>
                </c:pt>
                <c:pt idx="9">
                  <c:v>973.38</c:v>
                </c:pt>
              </c:numCache>
            </c:numRef>
          </c:val>
          <c:extLst>
            <c:ext xmlns:c16="http://schemas.microsoft.com/office/drawing/2014/chart" uri="{C3380CC4-5D6E-409C-BE32-E72D297353CC}">
              <c16:uniqueId val="{00000000-AC7B-48CC-9572-C607CDF66BC8}"/>
            </c:ext>
          </c:extLst>
        </c:ser>
        <c:dLbls>
          <c:showLegendKey val="0"/>
          <c:showVal val="0"/>
          <c:showCatName val="0"/>
          <c:showSerName val="0"/>
          <c:showPercent val="0"/>
          <c:showBubbleSize val="0"/>
        </c:dLbls>
        <c:gapWidth val="219"/>
        <c:overlap val="-27"/>
        <c:axId val="340664063"/>
        <c:axId val="342679791"/>
      </c:barChart>
      <c:catAx>
        <c:axId val="340664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342679791"/>
        <c:crosses val="autoZero"/>
        <c:auto val="1"/>
        <c:lblAlgn val="ctr"/>
        <c:lblOffset val="100"/>
        <c:noMultiLvlLbl val="0"/>
      </c:catAx>
      <c:valAx>
        <c:axId val="342679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340664063"/>
        <c:crosses val="autoZero"/>
        <c:crossBetween val="between"/>
      </c:valAx>
      <c:spPr>
        <a:noFill/>
        <a:ln>
          <a:noFill/>
        </a:ln>
        <a:effectLst/>
      </c:spPr>
    </c:plotArea>
    <c:plotVisOnly val="1"/>
    <c:dispBlanksAs val="gap"/>
    <c:showDLblsOverMax val="0"/>
    <c:extLst>
      <c:ext uri="{0b15fc19-7d7d-44ad-8c2d-2c3a37ce22c3}">
        <chartProps xmlns="https://web.wps.cn/et/2018/main" chartId="{53674971-96bb-4cdf-b585-336fe36c19ae}"/>
      </c:ext>
    </c:extLst>
  </c:chart>
  <c:spPr>
    <a:gradFill>
      <a:gsLst>
        <a:gs pos="41000">
          <a:schemeClr val="accent3">
            <a:lumMod val="40000"/>
            <a:lumOff val="60000"/>
          </a:schemeClr>
        </a:gs>
        <a:gs pos="9000">
          <a:schemeClr val="accent3">
            <a:lumMod val="20000"/>
            <a:lumOff val="80000"/>
          </a:schemeClr>
        </a:gs>
        <a:gs pos="78000">
          <a:schemeClr val="accent3">
            <a:lumMod val="60000"/>
            <a:lumOff val="40000"/>
          </a:schemeClr>
        </a:gs>
        <a:gs pos="100000">
          <a:schemeClr val="accent3">
            <a:lumMod val="20000"/>
            <a:lumOff val="80000"/>
          </a:schemeClr>
        </a:gs>
      </a:gsLst>
      <a:lin ang="5400000" scaled="1"/>
    </a:gradFill>
    <a:ln w="9525" cap="flat" cmpd="sng" algn="ctr">
      <a:solidFill>
        <a:schemeClr val="tx1">
          <a:lumMod val="15000"/>
          <a:lumOff val="85000"/>
        </a:schemeClr>
      </a:solidFill>
      <a:round/>
    </a:ln>
    <a:effectLst>
      <a:innerShdw blurRad="114300">
        <a:schemeClr val="bg2">
          <a:lumMod val="50000"/>
        </a:schemeClr>
      </a:innerShdw>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[crypto_Analysis_Dashboard-final.xlsm]Sheet1!PivotTable3</c:name>
    <c:fmtId val="6"/>
  </c:pivotSource>
  <c:chart>
    <c:title>
      <c:tx>
        <c:rich>
          <a:bodyPr rot="0" spcFirstLastPara="1" vertOverflow="ellipsis" vert="horz" wrap="square" anchor="ctr" anchorCtr="1"/>
          <a:lstStyle/>
          <a:p>
            <a:pPr>
              <a:defRPr lang="en-US" sz="1400" b="1" i="0" u="none" strike="noStrike" kern="1200" spc="0" baseline="0">
                <a:solidFill>
                  <a:schemeClr val="accent6"/>
                </a:solidFill>
                <a:latin typeface="+mn-lt"/>
                <a:ea typeface="+mn-ea"/>
                <a:cs typeface="+mn-cs"/>
              </a:defRPr>
            </a:pPr>
            <a:r>
              <a:rPr lang="en-US" b="1">
                <a:solidFill>
                  <a:schemeClr val="accent6"/>
                </a:solidFill>
              </a:rPr>
              <a:t>Most changes in 1 hour</a:t>
            </a:r>
          </a:p>
        </c:rich>
      </c:tx>
      <c:overlay val="0"/>
      <c:spPr>
        <a:noFill/>
        <a:ln>
          <a:noFill/>
        </a:ln>
        <a:effectLst/>
      </c:spPr>
      <c:txPr>
        <a:bodyPr rot="0" spcFirstLastPara="1" vertOverflow="ellipsis" vert="horz" wrap="square" anchor="ctr" anchorCtr="1"/>
        <a:lstStyle/>
        <a:p>
          <a:pPr>
            <a:defRPr lang="en-US" sz="1400" b="1" i="0" u="none" strike="noStrike" kern="1200" spc="0" baseline="0">
              <a:solidFill>
                <a:schemeClr val="accent6"/>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Sheet1!$B$37</c:f>
              <c:strCache>
                <c:ptCount val="1"/>
                <c:pt idx="0">
                  <c:v>Total</c:v>
                </c:pt>
              </c:strCache>
            </c:strRef>
          </c:tx>
          <c:spPr>
            <a:solidFill>
              <a:schemeClr val="accent1"/>
            </a:solidFill>
            <a:ln>
              <a:noFill/>
            </a:ln>
            <a:effectLst/>
          </c:spPr>
          <c:invertIfNegative val="0"/>
          <c:cat>
            <c:strRef>
              <c:f>Sheet1!$A$38:$A$48</c:f>
              <c:strCache>
                <c:ptCount val="10"/>
                <c:pt idx="0">
                  <c:v>Aleph Zero</c:v>
                </c:pt>
                <c:pt idx="1">
                  <c:v>Jimothy The Raccoon</c:v>
                </c:pt>
                <c:pt idx="2">
                  <c:v>Pons</c:v>
                </c:pt>
                <c:pt idx="3">
                  <c:v>Capricorn</c:v>
                </c:pt>
                <c:pt idx="4">
                  <c:v>CyberLeek</c:v>
                </c:pt>
                <c:pt idx="5">
                  <c:v>MAGIC肘NTERNET筆ONEY (Bitcoin)</c:v>
                </c:pt>
                <c:pt idx="6">
                  <c:v>Measurable Data Token</c:v>
                </c:pt>
                <c:pt idx="7">
                  <c:v>Arrow Finance</c:v>
                </c:pt>
                <c:pt idx="8">
                  <c:v>Billy (Bitcoin)</c:v>
                </c:pt>
                <c:pt idx="9">
                  <c:v>Shark Cat</c:v>
                </c:pt>
              </c:strCache>
            </c:strRef>
          </c:cat>
          <c:val>
            <c:numRef>
              <c:f>Sheet1!$B$38:$B$48</c:f>
              <c:numCache>
                <c:formatCode>General</c:formatCode>
                <c:ptCount val="10"/>
                <c:pt idx="0">
                  <c:v>5.71</c:v>
                </c:pt>
                <c:pt idx="1">
                  <c:v>30.91</c:v>
                </c:pt>
                <c:pt idx="2">
                  <c:v>5.64</c:v>
                </c:pt>
                <c:pt idx="3">
                  <c:v>5.35</c:v>
                </c:pt>
                <c:pt idx="4">
                  <c:v>6.1</c:v>
                </c:pt>
                <c:pt idx="5">
                  <c:v>8.0399999999999991</c:v>
                </c:pt>
                <c:pt idx="6">
                  <c:v>19.54</c:v>
                </c:pt>
                <c:pt idx="7">
                  <c:v>45.45</c:v>
                </c:pt>
                <c:pt idx="8">
                  <c:v>9.58</c:v>
                </c:pt>
                <c:pt idx="9">
                  <c:v>5.65</c:v>
                </c:pt>
              </c:numCache>
            </c:numRef>
          </c:val>
          <c:extLst>
            <c:ext xmlns:c16="http://schemas.microsoft.com/office/drawing/2014/chart" uri="{C3380CC4-5D6E-409C-BE32-E72D297353CC}">
              <c16:uniqueId val="{00000000-FD4C-4C22-B789-BFDD378E7F4C}"/>
            </c:ext>
          </c:extLst>
        </c:ser>
        <c:dLbls>
          <c:showLegendKey val="0"/>
          <c:showVal val="0"/>
          <c:showCatName val="0"/>
          <c:showSerName val="0"/>
          <c:showPercent val="0"/>
          <c:showBubbleSize val="0"/>
        </c:dLbls>
        <c:gapWidth val="219"/>
        <c:axId val="553915567"/>
        <c:axId val="1165398063"/>
      </c:barChart>
      <c:catAx>
        <c:axId val="5539155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165398063"/>
        <c:crosses val="autoZero"/>
        <c:auto val="1"/>
        <c:lblAlgn val="ctr"/>
        <c:lblOffset val="100"/>
        <c:noMultiLvlLbl val="0"/>
      </c:catAx>
      <c:valAx>
        <c:axId val="11653980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553915567"/>
        <c:crosses val="autoZero"/>
        <c:crossBetween val="between"/>
      </c:valAx>
      <c:spPr>
        <a:noFill/>
        <a:ln>
          <a:noFill/>
        </a:ln>
        <a:effectLst/>
      </c:spPr>
    </c:plotArea>
    <c:plotVisOnly val="1"/>
    <c:dispBlanksAs val="gap"/>
    <c:showDLblsOverMax val="0"/>
    <c:extLst>
      <c:ext uri="{0b15fc19-7d7d-44ad-8c2d-2c3a37ce22c3}">
        <chartProps xmlns="https://web.wps.cn/et/2018/main" chartId="{711882f0-3a2a-4370-bcb1-2a6da333ecaa}"/>
      </c:ext>
    </c:extLst>
  </c:chart>
  <c:spPr>
    <a:gradFill>
      <a:gsLst>
        <a:gs pos="41000">
          <a:schemeClr val="accent3">
            <a:lumMod val="40000"/>
            <a:lumOff val="60000"/>
          </a:schemeClr>
        </a:gs>
        <a:gs pos="9000">
          <a:schemeClr val="accent3">
            <a:lumMod val="20000"/>
            <a:lumOff val="80000"/>
          </a:schemeClr>
        </a:gs>
        <a:gs pos="78000">
          <a:schemeClr val="accent3">
            <a:lumMod val="60000"/>
            <a:lumOff val="40000"/>
          </a:schemeClr>
        </a:gs>
        <a:gs pos="100000">
          <a:schemeClr val="accent3">
            <a:lumMod val="20000"/>
            <a:lumOff val="80000"/>
          </a:schemeClr>
        </a:gs>
      </a:gsLst>
      <a:lin ang="5400000" scaled="1"/>
    </a:gra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[crypto_Analysis_Dashboard-final.xlsm]pivote_chats!PivotTable9</c:name>
    <c:fmtId val="0"/>
  </c:pivotSource>
  <c:chart>
    <c:title>
      <c:tx>
        <c:rich>
          <a:bodyPr rot="0" spcFirstLastPara="1" vertOverflow="ellipsis" vert="horz" wrap="square" anchor="ctr" anchorCtr="1"/>
          <a:lstStyle/>
          <a:p>
            <a:pPr>
              <a:defRPr lang="en-US" sz="1400" b="1" i="0" u="none" strike="noStrike" kern="1200" spc="0" baseline="0">
                <a:solidFill>
                  <a:srgbClr val="7030A0"/>
                </a:solidFill>
                <a:latin typeface="+mn-lt"/>
                <a:ea typeface="+mn-ea"/>
                <a:cs typeface="+mn-cs"/>
              </a:defRPr>
            </a:pPr>
            <a:r>
              <a:rPr lang="en-US" b="1">
                <a:solidFill>
                  <a:srgbClr val="7030A0"/>
                </a:solidFill>
              </a:rPr>
              <a:t>Top 10 coins by Price</a:t>
            </a:r>
          </a:p>
        </c:rich>
      </c:tx>
      <c:overlay val="0"/>
      <c:spPr>
        <a:noFill/>
        <a:ln>
          <a:noFill/>
        </a:ln>
        <a:effectLst/>
      </c:spPr>
      <c:txPr>
        <a:bodyPr rot="0" spcFirstLastPara="1" vertOverflow="ellipsis" vert="horz" wrap="square" anchor="ctr" anchorCtr="1"/>
        <a:lstStyle/>
        <a:p>
          <a:pPr>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pivote_chats!$B$2</c:f>
              <c:strCache>
                <c:ptCount val="1"/>
                <c:pt idx="0">
                  <c:v>Total</c:v>
                </c:pt>
              </c:strCache>
            </c:strRef>
          </c:tx>
          <c:spPr>
            <a:solidFill>
              <a:schemeClr val="accent1"/>
            </a:solidFill>
            <a:ln>
              <a:noFill/>
            </a:ln>
            <a:effectLst/>
          </c:spPr>
          <c:invertIfNegative val="0"/>
          <c:cat>
            <c:strRef>
              <c:f>pivote_chats!$A$3:$A$13</c:f>
              <c:strCache>
                <c:ptCount val="10"/>
                <c:pt idx="0">
                  <c:v>Advanced Micro Devices Tokenized bStocks</c:v>
                </c:pt>
                <c:pt idx="1">
                  <c:v>Bitcoin</c:v>
                </c:pt>
                <c:pt idx="2">
                  <c:v>BNB</c:v>
                </c:pt>
                <c:pt idx="3">
                  <c:v>Ethereum</c:v>
                </c:pt>
                <c:pt idx="4">
                  <c:v>Lockheed Tokenized Stock (Ondo)</c:v>
                </c:pt>
                <c:pt idx="5">
                  <c:v>Mastercard Tokenized Stock (Ondo)</c:v>
                </c:pt>
                <c:pt idx="6">
                  <c:v>Meta Tokenized Stock (Reality)</c:v>
                </c:pt>
                <c:pt idx="7">
                  <c:v>Micron Tokenized Stock (Reality)</c:v>
                </c:pt>
                <c:pt idx="8">
                  <c:v>OpenAI
Pre-IPO stock (Republic)</c:v>
                </c:pt>
                <c:pt idx="9">
                  <c:v>SanDisk Tokenized Stock (Reality)</c:v>
                </c:pt>
              </c:strCache>
            </c:strRef>
          </c:cat>
          <c:val>
            <c:numRef>
              <c:f>pivote_chats!$B$3:$B$13</c:f>
              <c:numCache>
                <c:formatCode>General</c:formatCode>
                <c:ptCount val="10"/>
                <c:pt idx="0">
                  <c:v>479.08</c:v>
                </c:pt>
                <c:pt idx="1">
                  <c:v>62905.02</c:v>
                </c:pt>
                <c:pt idx="2">
                  <c:v>586.66999999999996</c:v>
                </c:pt>
                <c:pt idx="3">
                  <c:v>1861.07</c:v>
                </c:pt>
                <c:pt idx="4">
                  <c:v>592.08000000000004</c:v>
                </c:pt>
                <c:pt idx="5">
                  <c:v>575.01</c:v>
                </c:pt>
                <c:pt idx="6">
                  <c:v>554.79999999999995</c:v>
                </c:pt>
                <c:pt idx="7">
                  <c:v>819.57</c:v>
                </c:pt>
                <c:pt idx="8">
                  <c:v>697.68</c:v>
                </c:pt>
                <c:pt idx="9">
                  <c:v>1211.4100000000001</c:v>
                </c:pt>
              </c:numCache>
            </c:numRef>
          </c:val>
          <c:extLst>
            <c:ext xmlns:c16="http://schemas.microsoft.com/office/drawing/2014/chart" uri="{C3380CC4-5D6E-409C-BE32-E72D297353CC}">
              <c16:uniqueId val="{00000000-F68A-4892-A6D7-77F4E4041652}"/>
            </c:ext>
          </c:extLst>
        </c:ser>
        <c:dLbls>
          <c:showLegendKey val="0"/>
          <c:showVal val="0"/>
          <c:showCatName val="0"/>
          <c:showSerName val="0"/>
          <c:showPercent val="0"/>
          <c:showBubbleSize val="0"/>
        </c:dLbls>
        <c:gapWidth val="219"/>
        <c:overlap val="-27"/>
        <c:axId val="662385487"/>
        <c:axId val="1165383663"/>
      </c:barChart>
      <c:catAx>
        <c:axId val="662385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165383663"/>
        <c:crosses val="autoZero"/>
        <c:auto val="1"/>
        <c:lblAlgn val="ctr"/>
        <c:lblOffset val="100"/>
        <c:noMultiLvlLbl val="0"/>
      </c:catAx>
      <c:valAx>
        <c:axId val="11653836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662385487"/>
        <c:crosses val="autoZero"/>
        <c:crossBetween val="between"/>
      </c:valAx>
      <c:spPr>
        <a:noFill/>
        <a:ln>
          <a:noFill/>
        </a:ln>
        <a:effectLst/>
      </c:spPr>
    </c:plotArea>
    <c:plotVisOnly val="1"/>
    <c:dispBlanksAs val="gap"/>
    <c:showDLblsOverMax val="0"/>
    <c:extLst>
      <c:ext uri="{0b15fc19-7d7d-44ad-8c2d-2c3a37ce22c3}">
        <chartProps xmlns="https://web.wps.cn/et/2018/main" chartId="{4289cbec-6a03-4e40-b3d5-909b063f6ca7}"/>
      </c:ext>
    </c:extLst>
  </c:chart>
  <c:spPr>
    <a:gradFill>
      <a:gsLst>
        <a:gs pos="41000">
          <a:schemeClr val="accent3">
            <a:lumMod val="40000"/>
            <a:lumOff val="60000"/>
          </a:schemeClr>
        </a:gs>
        <a:gs pos="9000">
          <a:schemeClr val="accent3">
            <a:lumMod val="20000"/>
            <a:lumOff val="80000"/>
          </a:schemeClr>
        </a:gs>
        <a:gs pos="78000">
          <a:schemeClr val="accent3">
            <a:lumMod val="60000"/>
            <a:lumOff val="40000"/>
          </a:schemeClr>
        </a:gs>
        <a:gs pos="100000">
          <a:schemeClr val="accent3">
            <a:lumMod val="20000"/>
            <a:lumOff val="80000"/>
          </a:schemeClr>
        </a:gs>
      </a:gsLst>
      <a:lin ang="5400000" scaled="1"/>
    </a:gradFill>
    <a:ln w="9525" cap="flat" cmpd="sng" algn="ctr">
      <a:solidFill>
        <a:schemeClr val="tx1">
          <a:lumMod val="15000"/>
          <a:lumOff val="85000"/>
        </a:schemeClr>
      </a:solidFill>
      <a:round/>
    </a:ln>
    <a:effectLst>
      <a:glow rad="101600">
        <a:schemeClr val="accent3">
          <a:satMod val="175000"/>
          <a:alpha val="40000"/>
        </a:schemeClr>
      </a:glow>
      <a:outerShdw blurRad="50800" dist="50800" dir="5400000" algn="ctr" rotWithShape="0">
        <a:schemeClr val="bg2">
          <a:lumMod val="50000"/>
        </a:schemeClr>
      </a:outerShdw>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[crypto_Analysis_Dashboard-final.xlsm]pivote_chats!PivotTable10</c:name>
    <c:fmtId val="3"/>
  </c:pivotSource>
  <c:chart>
    <c:title>
      <c:tx>
        <c:rich>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rgbClr val="7030A0"/>
                </a:solidFill>
              </a:rPr>
              <a:t>Most changes in 1 hour</a:t>
            </a: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pivote_chats!$B$20</c:f>
              <c:strCache>
                <c:ptCount val="1"/>
                <c:pt idx="0">
                  <c:v>Total</c:v>
                </c:pt>
              </c:strCache>
            </c:strRef>
          </c:tx>
          <c:spPr>
            <a:solidFill>
              <a:schemeClr val="accent1"/>
            </a:solidFill>
            <a:ln>
              <a:noFill/>
            </a:ln>
            <a:effectLst/>
          </c:spPr>
          <c:invertIfNegative val="0"/>
          <c:cat>
            <c:strRef>
              <c:f>pivote_chats!$A$21:$A$31</c:f>
              <c:strCache>
                <c:ptCount val="10"/>
                <c:pt idx="0">
                  <c:v>Ampleforth Governance Token</c:v>
                </c:pt>
                <c:pt idx="1">
                  <c:v>Asteroid Shiba</c:v>
                </c:pt>
                <c:pt idx="2">
                  <c:v>GALAXIA</c:v>
                </c:pt>
                <c:pt idx="3">
                  <c:v>Hachiko</c:v>
                </c:pt>
                <c:pt idx="4">
                  <c:v>Make Aliens Great Again</c:v>
                </c:pt>
                <c:pt idx="5">
                  <c:v>NanoByte Token</c:v>
                </c:pt>
                <c:pt idx="6">
                  <c:v>Odos</c:v>
                </c:pt>
                <c:pt idx="7">
                  <c:v>Orchid</c:v>
                </c:pt>
                <c:pt idx="8">
                  <c:v>RIZE</c:v>
                </c:pt>
                <c:pt idx="9">
                  <c:v>UNCX Network</c:v>
                </c:pt>
              </c:strCache>
            </c:strRef>
          </c:cat>
          <c:val>
            <c:numRef>
              <c:f>pivote_chats!$B$21:$B$31</c:f>
              <c:numCache>
                <c:formatCode>General</c:formatCode>
                <c:ptCount val="10"/>
                <c:pt idx="0">
                  <c:v>5.57</c:v>
                </c:pt>
                <c:pt idx="1">
                  <c:v>4.53</c:v>
                </c:pt>
                <c:pt idx="2">
                  <c:v>9.1999999999999993</c:v>
                </c:pt>
                <c:pt idx="3">
                  <c:v>3.39</c:v>
                </c:pt>
                <c:pt idx="4">
                  <c:v>5.66</c:v>
                </c:pt>
                <c:pt idx="5">
                  <c:v>4.4800000000000004</c:v>
                </c:pt>
                <c:pt idx="6">
                  <c:v>3.85</c:v>
                </c:pt>
                <c:pt idx="7">
                  <c:v>3.06</c:v>
                </c:pt>
                <c:pt idx="8">
                  <c:v>4.3499999999999996</c:v>
                </c:pt>
                <c:pt idx="9">
                  <c:v>16.46</c:v>
                </c:pt>
              </c:numCache>
            </c:numRef>
          </c:val>
          <c:extLst>
            <c:ext xmlns:c16="http://schemas.microsoft.com/office/drawing/2014/chart" uri="{C3380CC4-5D6E-409C-BE32-E72D297353CC}">
              <c16:uniqueId val="{00000000-1C76-4A73-97EA-7C9430340F88}"/>
            </c:ext>
          </c:extLst>
        </c:ser>
        <c:dLbls>
          <c:showLegendKey val="0"/>
          <c:showVal val="0"/>
          <c:showCatName val="0"/>
          <c:showSerName val="0"/>
          <c:showPercent val="0"/>
          <c:showBubbleSize val="0"/>
        </c:dLbls>
        <c:gapWidth val="182"/>
        <c:axId val="649669871"/>
        <c:axId val="1163940655"/>
      </c:barChart>
      <c:catAx>
        <c:axId val="6496698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163940655"/>
        <c:crosses val="autoZero"/>
        <c:auto val="1"/>
        <c:lblAlgn val="ctr"/>
        <c:lblOffset val="100"/>
        <c:noMultiLvlLbl val="0"/>
      </c:catAx>
      <c:valAx>
        <c:axId val="11639406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649669871"/>
        <c:crosses val="autoZero"/>
        <c:crossBetween val="between"/>
      </c:valAx>
      <c:spPr>
        <a:noFill/>
        <a:ln>
          <a:noFill/>
        </a:ln>
        <a:effectLst/>
      </c:spPr>
    </c:plotArea>
    <c:plotVisOnly val="1"/>
    <c:dispBlanksAs val="gap"/>
    <c:showDLblsOverMax val="0"/>
    <c:extLst>
      <c:ext uri="{0b15fc19-7d7d-44ad-8c2d-2c3a37ce22c3}">
        <chartProps xmlns="https://web.wps.cn/et/2018/main" chartId="{ab5f2ceb-d6cd-4e41-8cd9-02399da56f7f}"/>
      </c:ext>
    </c:extLst>
  </c:chart>
  <c:spPr>
    <a:gradFill>
      <a:gsLst>
        <a:gs pos="41000">
          <a:schemeClr val="accent3">
            <a:lumMod val="40000"/>
            <a:lumOff val="60000"/>
          </a:schemeClr>
        </a:gs>
        <a:gs pos="9000">
          <a:schemeClr val="accent3">
            <a:lumMod val="20000"/>
            <a:lumOff val="80000"/>
          </a:schemeClr>
        </a:gs>
        <a:gs pos="78000">
          <a:schemeClr val="accent3">
            <a:lumMod val="60000"/>
            <a:lumOff val="40000"/>
          </a:schemeClr>
        </a:gs>
        <a:gs pos="100000">
          <a:schemeClr val="accent3">
            <a:lumMod val="20000"/>
            <a:lumOff val="80000"/>
          </a:schemeClr>
        </a:gs>
      </a:gsLst>
      <a:lin ang="5400000" scaled="1"/>
    </a:gradFill>
    <a:ln w="9525" cap="flat" cmpd="sng" algn="ctr">
      <a:solidFill>
        <a:schemeClr val="tx1">
          <a:lumMod val="15000"/>
          <a:lumOff val="85000"/>
        </a:schemeClr>
      </a:solidFill>
      <a:round/>
    </a:ln>
    <a:effectLst>
      <a:glow rad="101600">
        <a:schemeClr val="accent3">
          <a:satMod val="175000"/>
          <a:alpha val="40000"/>
        </a:schemeClr>
      </a:glow>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[crypto_Analysis_Dashboard-final.xlsm]pivote_chats!PivotTable12</c:name>
    <c:fmtId val="2"/>
  </c:pivotSource>
  <c:chart>
    <c:title>
      <c:tx>
        <c:rich>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r>
              <a:rPr lang="en-IN" b="1">
                <a:solidFill>
                  <a:srgbClr val="7030A0"/>
                </a:solidFill>
              </a:rPr>
              <a:t>Price</a:t>
            </a:r>
            <a:r>
              <a:rPr lang="en-IN" b="1" baseline="0">
                <a:solidFill>
                  <a:srgbClr val="7030A0"/>
                </a:solidFill>
              </a:rPr>
              <a:t> Vs Doller pre Supply</a:t>
            </a:r>
            <a:endParaRPr lang="en-IN" b="1">
              <a:solidFill>
                <a:srgbClr val="7030A0"/>
              </a:solidFill>
            </a:endParaRP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pivote_chats!$B$37</c:f>
              <c:strCache>
                <c:ptCount val="1"/>
                <c:pt idx="0">
                  <c:v>Sum of Doller Volume per Supply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pivote_chats!$A$38:$A$48</c:f>
              <c:strCache>
                <c:ptCount val="10"/>
                <c:pt idx="0">
                  <c:v>Adshares</c:v>
                </c:pt>
                <c:pt idx="1">
                  <c:v>Advanced Micro Devices Tokenized bStocks</c:v>
                </c:pt>
                <c:pt idx="2">
                  <c:v>Gemini Dollar</c:v>
                </c:pt>
                <c:pt idx="3">
                  <c:v>Hoge Finance</c:v>
                </c:pt>
                <c:pt idx="4">
                  <c:v>Mango</c:v>
                </c:pt>
                <c:pt idx="5">
                  <c:v>Maverick Protocol</c:v>
                </c:pt>
                <c:pt idx="6">
                  <c:v>NanoByte Token</c:v>
                </c:pt>
                <c:pt idx="7">
                  <c:v>Rain</c:v>
                </c:pt>
                <c:pt idx="8">
                  <c:v>Turbo</c:v>
                </c:pt>
                <c:pt idx="9">
                  <c:v>USDC</c:v>
                </c:pt>
              </c:strCache>
            </c:strRef>
          </c:cat>
          <c:val>
            <c:numRef>
              <c:f>pivote_chats!$B$38:$B$48</c:f>
              <c:numCache>
                <c:formatCode>General</c:formatCode>
                <c:ptCount val="10"/>
                <c:pt idx="0">
                  <c:v>3038.3657199800696</c:v>
                </c:pt>
                <c:pt idx="1">
                  <c:v>194.8127278753729</c:v>
                </c:pt>
                <c:pt idx="2">
                  <c:v>376.32933104631218</c:v>
                </c:pt>
                <c:pt idx="3">
                  <c:v>141.63440860215053</c:v>
                </c:pt>
                <c:pt idx="4">
                  <c:v>324.37877770315646</c:v>
                </c:pt>
                <c:pt idx="5">
                  <c:v>134.59516298633017</c:v>
                </c:pt>
                <c:pt idx="6">
                  <c:v>221.58273381294964</c:v>
                </c:pt>
                <c:pt idx="7">
                  <c:v>369.11764705882354</c:v>
                </c:pt>
                <c:pt idx="8">
                  <c:v>163.35078534031413</c:v>
                </c:pt>
                <c:pt idx="9">
                  <c:v>3658.7301587301586</c:v>
                </c:pt>
              </c:numCache>
            </c:numRef>
          </c:val>
          <c:extLst>
            <c:ext xmlns:c16="http://schemas.microsoft.com/office/drawing/2014/chart" uri="{C3380CC4-5D6E-409C-BE32-E72D297353CC}">
              <c16:uniqueId val="{00000000-5FC4-4DBF-B387-5E356EF19614}"/>
            </c:ext>
          </c:extLst>
        </c:ser>
        <c:ser>
          <c:idx val="1"/>
          <c:order val="1"/>
          <c:tx>
            <c:strRef>
              <c:f>pivote_chats!$C$37</c:f>
              <c:strCache>
                <c:ptCount val="1"/>
                <c:pt idx="0">
                  <c:v>Sum of Price (USD)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pivote_chats!$A$38:$A$48</c:f>
              <c:strCache>
                <c:ptCount val="10"/>
                <c:pt idx="0">
                  <c:v>Adshares</c:v>
                </c:pt>
                <c:pt idx="1">
                  <c:v>Advanced Micro Devices Tokenized bStocks</c:v>
                </c:pt>
                <c:pt idx="2">
                  <c:v>Gemini Dollar</c:v>
                </c:pt>
                <c:pt idx="3">
                  <c:v>Hoge Finance</c:v>
                </c:pt>
                <c:pt idx="4">
                  <c:v>Mango</c:v>
                </c:pt>
                <c:pt idx="5">
                  <c:v>Maverick Protocol</c:v>
                </c:pt>
                <c:pt idx="6">
                  <c:v>NanoByte Token</c:v>
                </c:pt>
                <c:pt idx="7">
                  <c:v>Rain</c:v>
                </c:pt>
                <c:pt idx="8">
                  <c:v>Turbo</c:v>
                </c:pt>
                <c:pt idx="9">
                  <c:v>USDC</c:v>
                </c:pt>
              </c:strCache>
            </c:strRef>
          </c:cat>
          <c:val>
            <c:numRef>
              <c:f>pivote_chats!$C$38:$C$48</c:f>
              <c:numCache>
                <c:formatCode>General</c:formatCode>
                <c:ptCount val="10"/>
                <c:pt idx="0">
                  <c:v>0.40110000000000001</c:v>
                </c:pt>
                <c:pt idx="1">
                  <c:v>479.08</c:v>
                </c:pt>
                <c:pt idx="2">
                  <c:v>0.99950000000000006</c:v>
                </c:pt>
                <c:pt idx="3">
                  <c:v>5.2713999999999997E-2</c:v>
                </c:pt>
                <c:pt idx="4">
                  <c:v>2.5579999999999999E-2</c:v>
                </c:pt>
                <c:pt idx="5">
                  <c:v>8.0409999999999995E-3</c:v>
                </c:pt>
                <c:pt idx="6">
                  <c:v>9.1189999999999999E-4</c:v>
                </c:pt>
                <c:pt idx="7">
                  <c:v>1.2749999999999999E-2</c:v>
                </c:pt>
                <c:pt idx="8">
                  <c:v>7.9080000000000003E-4</c:v>
                </c:pt>
                <c:pt idx="9">
                  <c:v>0.99980000000000002</c:v>
                </c:pt>
              </c:numCache>
            </c:numRef>
          </c:val>
          <c:extLst>
            <c:ext xmlns:c16="http://schemas.microsoft.com/office/drawing/2014/chart" uri="{C3380CC4-5D6E-409C-BE32-E72D297353CC}">
              <c16:uniqueId val="{00000001-5FC4-4DBF-B387-5E356EF19614}"/>
            </c:ext>
          </c:extLst>
        </c:ser>
        <c:dLbls>
          <c:showLegendKey val="0"/>
          <c:showVal val="1"/>
          <c:showCatName val="0"/>
          <c:showSerName val="0"/>
          <c:showPercent val="0"/>
          <c:showBubbleSize val="0"/>
        </c:dLbls>
        <c:gapWidth val="219"/>
        <c:overlap val="-27"/>
        <c:axId val="553847823"/>
        <c:axId val="506264431"/>
      </c:barChart>
      <c:catAx>
        <c:axId val="553847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506264431"/>
        <c:crosses val="autoZero"/>
        <c:auto val="1"/>
        <c:lblAlgn val="ctr"/>
        <c:lblOffset val="100"/>
        <c:noMultiLvlLbl val="0"/>
      </c:catAx>
      <c:valAx>
        <c:axId val="5062644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5538478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0092210f-a200-4e6c-b62d-59c2b03a678f}"/>
      </c:ext>
    </c:extLst>
  </c:chart>
  <c:spPr>
    <a:gradFill>
      <a:gsLst>
        <a:gs pos="41000">
          <a:schemeClr val="accent3">
            <a:lumMod val="40000"/>
            <a:lumOff val="60000"/>
          </a:schemeClr>
        </a:gs>
        <a:gs pos="9000">
          <a:schemeClr val="accent3">
            <a:lumMod val="20000"/>
            <a:lumOff val="80000"/>
          </a:schemeClr>
        </a:gs>
        <a:gs pos="78000">
          <a:schemeClr val="accent3">
            <a:lumMod val="60000"/>
            <a:lumOff val="40000"/>
          </a:schemeClr>
        </a:gs>
        <a:gs pos="100000">
          <a:schemeClr val="accent3">
            <a:lumMod val="20000"/>
            <a:lumOff val="80000"/>
          </a:schemeClr>
        </a:gs>
      </a:gsLst>
      <a:lin ang="5400000" scaled="1"/>
    </a:gradFill>
    <a:ln w="9525" cap="flat" cmpd="sng" algn="ctr">
      <a:solidFill>
        <a:schemeClr val="tx1">
          <a:lumMod val="15000"/>
          <a:lumOff val="85000"/>
        </a:schemeClr>
      </a:solidFill>
      <a:round/>
    </a:ln>
    <a:effectLst>
      <a:glow rad="101600">
        <a:schemeClr val="accent3">
          <a:satMod val="175000"/>
          <a:alpha val="40000"/>
        </a:schemeClr>
      </a:glow>
      <a:outerShdw blurRad="50800" dist="50800" dir="5400000" algn="ctr" rotWithShape="0">
        <a:schemeClr val="accent6">
          <a:lumMod val="60000"/>
          <a:lumOff val="40000"/>
        </a:schemeClr>
      </a:outerShdw>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r>
              <a:rPr lang="en-IN" b="1">
                <a:solidFill>
                  <a:srgbClr val="7030A0"/>
                </a:solidFill>
              </a:rPr>
              <a:t>Market</a:t>
            </a:r>
            <a:r>
              <a:rPr lang="en-IN" b="1" baseline="0">
                <a:solidFill>
                  <a:srgbClr val="7030A0"/>
                </a:solidFill>
              </a:rPr>
              <a:t> Captial Shares</a:t>
            </a:r>
            <a:endParaRPr lang="en-IN" b="1">
              <a:solidFill>
                <a:srgbClr val="7030A0"/>
              </a:solidFill>
            </a:endParaRP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CA-4D48-9D12-0332A3B90A9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CA-4D48-9D12-0332A3B90A9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CA-4D48-9D12-0332A3B90A9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0CA-4D48-9D12-0332A3B90A9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0CA-4D48-9D12-0332A3B90A9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0CA-4D48-9D12-0332A3B90A9D}"/>
              </c:ext>
            </c:extLst>
          </c:dPt>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pivote_chats!$D$66:$D$71</c:f>
              <c:strCache>
                <c:ptCount val="6"/>
                <c:pt idx="0">
                  <c:v>Bitcoin</c:v>
                </c:pt>
                <c:pt idx="1">
                  <c:v>Ethereum</c:v>
                </c:pt>
                <c:pt idx="2">
                  <c:v>Tether</c:v>
                </c:pt>
                <c:pt idx="3">
                  <c:v>BNB</c:v>
                </c:pt>
                <c:pt idx="4">
                  <c:v>USDC</c:v>
                </c:pt>
                <c:pt idx="5">
                  <c:v>others</c:v>
                </c:pt>
              </c:strCache>
            </c:strRef>
          </c:cat>
          <c:val>
            <c:numRef>
              <c:f>pivote_chats!$E$66:$E$71</c:f>
              <c:numCache>
                <c:formatCode>General</c:formatCode>
                <c:ptCount val="6"/>
                <c:pt idx="0">
                  <c:v>1260000000000</c:v>
                </c:pt>
                <c:pt idx="1">
                  <c:v>224490000000</c:v>
                </c:pt>
                <c:pt idx="2">
                  <c:v>183630000000</c:v>
                </c:pt>
                <c:pt idx="3">
                  <c:v>78080000000</c:v>
                </c:pt>
                <c:pt idx="4">
                  <c:v>71920000000</c:v>
                </c:pt>
                <c:pt idx="5">
                  <c:v>228122643250</c:v>
                </c:pt>
              </c:numCache>
            </c:numRef>
          </c:val>
          <c:extLst>
            <c:ext xmlns:c16="http://schemas.microsoft.com/office/drawing/2014/chart" uri="{C3380CC4-5D6E-409C-BE32-E72D297353CC}">
              <c16:uniqueId val="{0000000C-A0CA-4D48-9D12-0332A3B90A9D}"/>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6ae20fe3-07c4-4638-bd77-60a0ed764ae5}"/>
      </c:ext>
    </c:extLst>
  </c:chart>
  <c:spPr>
    <a:gradFill>
      <a:gsLst>
        <a:gs pos="41000">
          <a:schemeClr val="accent3">
            <a:lumMod val="40000"/>
            <a:lumOff val="60000"/>
          </a:schemeClr>
        </a:gs>
        <a:gs pos="9000">
          <a:schemeClr val="accent3">
            <a:lumMod val="20000"/>
            <a:lumOff val="80000"/>
          </a:schemeClr>
        </a:gs>
        <a:gs pos="78000">
          <a:schemeClr val="accent3">
            <a:lumMod val="60000"/>
            <a:lumOff val="40000"/>
          </a:schemeClr>
        </a:gs>
        <a:gs pos="100000">
          <a:schemeClr val="accent3">
            <a:lumMod val="20000"/>
            <a:lumOff val="80000"/>
          </a:schemeClr>
        </a:gs>
      </a:gsLst>
      <a:lin ang="5400000" scaled="1"/>
    </a:gradFill>
    <a:ln w="9525" cap="flat" cmpd="sng" algn="ctr">
      <a:solidFill>
        <a:schemeClr val="tx1">
          <a:lumMod val="15000"/>
          <a:lumOff val="85000"/>
          <a:alpha val="64000"/>
        </a:schemeClr>
      </a:solidFill>
      <a:round/>
    </a:ln>
    <a:effectLst>
      <a:glow rad="139700">
        <a:srgbClr val="92D050">
          <a:alpha val="40000"/>
        </a:srgbClr>
      </a:glow>
      <a:innerShdw blurRad="63500" dist="50800" dir="18900000">
        <a:schemeClr val="accent6">
          <a:lumMod val="75000"/>
          <a:alpha val="50000"/>
        </a:schemeClr>
      </a:innerShdw>
    </a:effectLst>
  </c:spPr>
  <c:txPr>
    <a:bodyPr/>
    <a:lstStyle/>
    <a:p>
      <a:pPr>
        <a:defRPr lang="en-US"/>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0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396240</xdr:colOff>
      <xdr:row>3</xdr:row>
      <xdr:rowOff>102870</xdr:rowOff>
    </xdr:from>
    <xdr:to>
      <xdr:col>23</xdr:col>
      <xdr:colOff>273169</xdr:colOff>
      <xdr:row>31</xdr:row>
      <xdr:rowOff>158151</xdr:rowOff>
    </xdr:to>
    <xdr:graphicFrame macro="">
      <xdr:nvGraphicFramePr>
        <xdr:cNvPr id="3" name="Chart 2">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320040</xdr:colOff>
      <xdr:row>0</xdr:row>
      <xdr:rowOff>182880</xdr:rowOff>
    </xdr:from>
    <xdr:to>
      <xdr:col>14</xdr:col>
      <xdr:colOff>175260</xdr:colOff>
      <xdr:row>3</xdr:row>
      <xdr:rowOff>99060</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2788920" y="182880"/>
          <a:ext cx="10279380" cy="510540"/>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1100"/>
            <a:t> </a:t>
          </a:r>
          <a:r>
            <a:rPr lang="en-IN" sz="1600" b="1">
              <a:solidFill>
                <a:schemeClr val="accent6">
                  <a:lumMod val="50000"/>
                </a:schemeClr>
              </a:solidFill>
            </a:rPr>
            <a:t>CRYPTO COIN COMPARISON DASHBOARD</a:t>
          </a:r>
          <a:endParaRPr lang="en-IN" sz="1100" b="1">
            <a:solidFill>
              <a:schemeClr val="accent6">
                <a:lumMod val="50000"/>
              </a:schemeClr>
            </a:solidFill>
          </a:endParaRPr>
        </a:p>
      </xdr:txBody>
    </xdr:sp>
    <xdr:clientData/>
  </xdr:twoCellAnchor>
  <xdr:twoCellAnchor>
    <xdr:from>
      <xdr:col>5</xdr:col>
      <xdr:colOff>256222</xdr:colOff>
      <xdr:row>6</xdr:row>
      <xdr:rowOff>952</xdr:rowOff>
    </xdr:from>
    <xdr:to>
      <xdr:col>8</xdr:col>
      <xdr:colOff>454342</xdr:colOff>
      <xdr:row>8</xdr:row>
      <xdr:rowOff>195739</xdr:rowOff>
    </xdr:to>
    <xdr:sp macro="" textlink="">
      <xdr:nvSpPr>
        <xdr:cNvPr id="4" name="Rectangle: Rounded Corners 3">
          <a:extLst>
            <a:ext uri="{FF2B5EF4-FFF2-40B4-BE49-F238E27FC236}">
              <a16:creationId xmlns:a16="http://schemas.microsoft.com/office/drawing/2014/main" id="{00000000-0008-0000-0900-000004000000}"/>
            </a:ext>
          </a:extLst>
        </xdr:cNvPr>
        <xdr:cNvSpPr/>
      </xdr:nvSpPr>
      <xdr:spPr>
        <a:xfrm>
          <a:off x="4304347" y="1215390"/>
          <a:ext cx="3567589" cy="599599"/>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1600" b="1">
              <a:solidFill>
                <a:schemeClr val="accent6">
                  <a:lumMod val="50000"/>
                </a:schemeClr>
              </a:solidFill>
            </a:rPr>
            <a:t>coin1</a:t>
          </a:r>
        </a:p>
      </xdr:txBody>
    </xdr:sp>
    <xdr:clientData/>
  </xdr:twoCellAnchor>
  <xdr:twoCellAnchor>
    <xdr:from>
      <xdr:col>10</xdr:col>
      <xdr:colOff>511016</xdr:colOff>
      <xdr:row>6</xdr:row>
      <xdr:rowOff>27147</xdr:rowOff>
    </xdr:from>
    <xdr:to>
      <xdr:col>14</xdr:col>
      <xdr:colOff>290036</xdr:colOff>
      <xdr:row>9</xdr:row>
      <xdr:rowOff>27147</xdr:rowOff>
    </xdr:to>
    <xdr:sp macro="" textlink="">
      <xdr:nvSpPr>
        <xdr:cNvPr id="5" name="Rectangle: Rounded Corners 4">
          <a:extLst>
            <a:ext uri="{FF2B5EF4-FFF2-40B4-BE49-F238E27FC236}">
              <a16:creationId xmlns:a16="http://schemas.microsoft.com/office/drawing/2014/main" id="{00000000-0008-0000-0900-000005000000}"/>
            </a:ext>
          </a:extLst>
        </xdr:cNvPr>
        <xdr:cNvSpPr/>
      </xdr:nvSpPr>
      <xdr:spPr>
        <a:xfrm>
          <a:off x="9464516" y="1241585"/>
          <a:ext cx="3719989" cy="60721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1600" b="1">
              <a:solidFill>
                <a:schemeClr val="accent6">
                  <a:lumMod val="50000"/>
                </a:schemeClr>
              </a:solidFill>
            </a:rPr>
            <a:t>coin2</a:t>
          </a:r>
        </a:p>
      </xdr:txBody>
    </xdr:sp>
    <xdr:clientData/>
  </xdr:twoCellAnchor>
  <xdr:twoCellAnchor>
    <xdr:from>
      <xdr:col>6</xdr:col>
      <xdr:colOff>835342</xdr:colOff>
      <xdr:row>13</xdr:row>
      <xdr:rowOff>184310</xdr:rowOff>
    </xdr:from>
    <xdr:to>
      <xdr:col>8</xdr:col>
      <xdr:colOff>748664</xdr:colOff>
      <xdr:row>16</xdr:row>
      <xdr:rowOff>169069</xdr:rowOff>
    </xdr:to>
    <xdr:sp macro="" textlink="">
      <xdr:nvSpPr>
        <xdr:cNvPr id="7" name="Rectangle: Rounded Corners 6">
          <a:extLst>
            <a:ext uri="{FF2B5EF4-FFF2-40B4-BE49-F238E27FC236}">
              <a16:creationId xmlns:a16="http://schemas.microsoft.com/office/drawing/2014/main" id="{00000000-0008-0000-0900-000007000000}"/>
            </a:ext>
          </a:extLst>
        </xdr:cNvPr>
        <xdr:cNvSpPr/>
      </xdr:nvSpPr>
      <xdr:spPr>
        <a:xfrm>
          <a:off x="5490686" y="2815591"/>
          <a:ext cx="2675572" cy="591978"/>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1600" b="1">
              <a:solidFill>
                <a:schemeClr val="accent6">
                  <a:lumMod val="50000"/>
                </a:schemeClr>
              </a:solidFill>
            </a:rPr>
            <a:t> COMPARISON</a:t>
          </a:r>
        </a:p>
      </xdr:txBody>
    </xdr:sp>
    <xdr:clientData/>
  </xdr:twoCellAnchor>
  <xdr:twoCellAnchor>
    <xdr:from>
      <xdr:col>6</xdr:col>
      <xdr:colOff>83820</xdr:colOff>
      <xdr:row>25</xdr:row>
      <xdr:rowOff>76200</xdr:rowOff>
    </xdr:from>
    <xdr:to>
      <xdr:col>11</xdr:col>
      <xdr:colOff>525780</xdr:colOff>
      <xdr:row>28</xdr:row>
      <xdr:rowOff>38100</xdr:rowOff>
    </xdr:to>
    <xdr:sp macro="" textlink="">
      <xdr:nvSpPr>
        <xdr:cNvPr id="8" name="Rectangle 7">
          <a:extLst>
            <a:ext uri="{FF2B5EF4-FFF2-40B4-BE49-F238E27FC236}">
              <a16:creationId xmlns:a16="http://schemas.microsoft.com/office/drawing/2014/main" id="{00000000-0008-0000-0900-000008000000}"/>
            </a:ext>
          </a:extLst>
        </xdr:cNvPr>
        <xdr:cNvSpPr/>
      </xdr:nvSpPr>
      <xdr:spPr>
        <a:xfrm>
          <a:off x="4739640" y="5029200"/>
          <a:ext cx="5356860" cy="556260"/>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2000" b="1">
              <a:solidFill>
                <a:schemeClr val="accent6">
                  <a:lumMod val="50000"/>
                </a:schemeClr>
              </a:solidFill>
            </a:rPr>
            <a:t>KPI DIFFERENCES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525780</xdr:colOff>
      <xdr:row>4</xdr:row>
      <xdr:rowOff>49530</xdr:rowOff>
    </xdr:from>
    <xdr:to>
      <xdr:col>11</xdr:col>
      <xdr:colOff>220980</xdr:colOff>
      <xdr:row>19</xdr:row>
      <xdr:rowOff>49530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8</xdr:row>
      <xdr:rowOff>0</xdr:rowOff>
    </xdr:from>
    <xdr:to>
      <xdr:col>15</xdr:col>
      <xdr:colOff>0</xdr:colOff>
      <xdr:row>13</xdr:row>
      <xdr:rowOff>114300</xdr:rowOff>
    </xdr:to>
    <xdr:sp macro="" textlink="">
      <xdr:nvSpPr>
        <xdr:cNvPr id="3" name="Price Category">
          <a:extLst>
            <a:ext uri="{FF2B5EF4-FFF2-40B4-BE49-F238E27FC236}">
              <a16:creationId xmlns:a16="http://schemas.microsoft.com/office/drawing/2014/main" id="{00000000-0008-0000-0A00-000003000000}"/>
            </a:ext>
          </a:extLst>
        </xdr:cNvPr>
        <xdr:cNvSpPr/>
      </xdr:nvSpPr>
      <xdr:spPr>
        <a:xfrm>
          <a:off x="8526780" y="1463040"/>
          <a:ext cx="1851660" cy="1028700"/>
        </a:xfrm>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342900</xdr:colOff>
      <xdr:row>16</xdr:row>
      <xdr:rowOff>41910</xdr:rowOff>
    </xdr:from>
    <xdr:to>
      <xdr:col>2</xdr:col>
      <xdr:colOff>510540</xdr:colOff>
      <xdr:row>31</xdr:row>
      <xdr:rowOff>41910</xdr:rowOff>
    </xdr:to>
    <xdr:graphicFrame macro="">
      <xdr:nvGraphicFramePr>
        <xdr:cNvPr id="2" name="Chart 1">
          <a:extLst>
            <a:ext uri="{FF2B5EF4-FFF2-40B4-BE49-F238E27FC236}">
              <a16:creationId xmlns:a16="http://schemas.microsoft.com/office/drawing/2014/main" id="{EDCE45A1-83C9-E98E-A872-8D63293E70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137823</xdr:colOff>
      <xdr:row>2</xdr:row>
      <xdr:rowOff>108170</xdr:rowOff>
    </xdr:from>
    <xdr:to>
      <xdr:col>13</xdr:col>
      <xdr:colOff>442623</xdr:colOff>
      <xdr:row>17</xdr:row>
      <xdr:rowOff>108170</xdr:rowOff>
    </xdr:to>
    <xdr:graphicFrame macro="">
      <xdr:nvGraphicFramePr>
        <xdr:cNvPr id="2" name="Chart 1">
          <a:extLst>
            <a:ext uri="{FF2B5EF4-FFF2-40B4-BE49-F238E27FC236}">
              <a16:creationId xmlns:a16="http://schemas.microsoft.com/office/drawing/2014/main" id="{72BFFF5E-36B5-A86C-4596-109D3CE4C8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274320</xdr:colOff>
      <xdr:row>12</xdr:row>
      <xdr:rowOff>167640</xdr:rowOff>
    </xdr:from>
    <xdr:to>
      <xdr:col>3</xdr:col>
      <xdr:colOff>502920</xdr:colOff>
      <xdr:row>25</xdr:row>
      <xdr:rowOff>159224</xdr:rowOff>
    </xdr:to>
    <xdr:sp macro="" textlink="A2">
      <xdr:nvSpPr>
        <xdr:cNvPr id="2" name="Rectangle: Rounded Corners 1">
          <a:extLst>
            <a:ext uri="{FF2B5EF4-FFF2-40B4-BE49-F238E27FC236}">
              <a16:creationId xmlns:a16="http://schemas.microsoft.com/office/drawing/2014/main" id="{E124951C-14F7-B38D-AC06-5D5BACED461B}"/>
            </a:ext>
          </a:extLst>
        </xdr:cNvPr>
        <xdr:cNvSpPr/>
      </xdr:nvSpPr>
      <xdr:spPr>
        <a:xfrm>
          <a:off x="274320" y="2351282"/>
          <a:ext cx="2230272" cy="2357196"/>
        </a:xfrm>
        <a:prstGeom prst="roundRect">
          <a:avLst/>
        </a:prstGeom>
        <a:solidFill>
          <a:schemeClr val="accent3">
            <a:lumMod val="75000"/>
          </a:schemeClr>
        </a:solidFill>
        <a:ln>
          <a:solidFill>
            <a:schemeClr val="accent3">
              <a:lumMod val="75000"/>
            </a:schemeClr>
          </a:solidFill>
        </a:ln>
        <a:effectLst>
          <a:glow rad="228600">
            <a:schemeClr val="accent3">
              <a:satMod val="175000"/>
              <a:alpha val="40000"/>
            </a:schemeClr>
          </a:glow>
          <a:outerShdw blurRad="107950" dist="12700" dir="5400000" algn="ctr">
            <a:srgbClr val="000000"/>
          </a:outerShdw>
        </a:effectLst>
        <a:scene3d>
          <a:camera prst="orthographicFront"/>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01D921D-ADF5-4C2B-8701-DA5E54EFECF0}" type="TxLink">
            <a:rPr lang="en-US" sz="2000" b="1" i="0" u="none" strike="noStrike">
              <a:solidFill>
                <a:schemeClr val="bg1"/>
              </a:solidFill>
              <a:latin typeface="Calibri"/>
              <a:ea typeface="Calibri"/>
              <a:cs typeface="Calibri"/>
            </a:rPr>
            <a:pPr algn="ctr"/>
            <a:t>Groestlcoin</a:t>
          </a:fld>
          <a:endParaRPr lang="en-IN" sz="2000" b="1">
            <a:solidFill>
              <a:schemeClr val="bg1"/>
            </a:solidFill>
          </a:endParaRPr>
        </a:p>
      </xdr:txBody>
    </xdr:sp>
    <xdr:clientData/>
  </xdr:twoCellAnchor>
  <xdr:twoCellAnchor>
    <xdr:from>
      <xdr:col>3</xdr:col>
      <xdr:colOff>871219</xdr:colOff>
      <xdr:row>12</xdr:row>
      <xdr:rowOff>179494</xdr:rowOff>
    </xdr:from>
    <xdr:to>
      <xdr:col>6</xdr:col>
      <xdr:colOff>602402</xdr:colOff>
      <xdr:row>25</xdr:row>
      <xdr:rowOff>170597</xdr:rowOff>
    </xdr:to>
    <xdr:sp macro="" textlink="B2">
      <xdr:nvSpPr>
        <xdr:cNvPr id="3" name="Rectangle: Rounded Corners 2">
          <a:extLst>
            <a:ext uri="{FF2B5EF4-FFF2-40B4-BE49-F238E27FC236}">
              <a16:creationId xmlns:a16="http://schemas.microsoft.com/office/drawing/2014/main" id="{45046100-7641-218A-58A3-F266E864EA9C}"/>
            </a:ext>
          </a:extLst>
        </xdr:cNvPr>
        <xdr:cNvSpPr/>
      </xdr:nvSpPr>
      <xdr:spPr>
        <a:xfrm>
          <a:off x="2872891" y="2363136"/>
          <a:ext cx="2233272" cy="2356715"/>
        </a:xfrm>
        <a:prstGeom prst="roundRect">
          <a:avLst/>
        </a:prstGeom>
        <a:solidFill>
          <a:schemeClr val="accent3">
            <a:lumMod val="75000"/>
          </a:schemeClr>
        </a:solidFill>
        <a:ln>
          <a:solidFill>
            <a:schemeClr val="accent3">
              <a:lumMod val="75000"/>
            </a:schemeClr>
          </a:solidFill>
        </a:ln>
        <a:effectLst>
          <a:glow rad="228600">
            <a:schemeClr val="accent3">
              <a:satMod val="175000"/>
              <a:alpha val="40000"/>
            </a:schemeClr>
          </a:glow>
          <a:outerShdw blurRad="107950" dist="12700" dir="5400000" algn="ctr">
            <a:srgbClr val="000000"/>
          </a:outerShdw>
        </a:effectLst>
        <a:scene3d>
          <a:camera prst="orthographicFront"/>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34EA480-A89E-413C-9201-CF671EA2BBA7}" type="TxLink">
            <a:rPr lang="en-US" sz="1800" b="1" i="0" u="none" strike="noStrike">
              <a:solidFill>
                <a:schemeClr val="bg1"/>
              </a:solidFill>
              <a:latin typeface="Calibri"/>
              <a:ea typeface="Calibri"/>
              <a:cs typeface="Calibri"/>
            </a:rPr>
            <a:pPr algn="ctr"/>
            <a:t>GRS</a:t>
          </a:fld>
          <a:endParaRPr lang="en-IN" sz="3600" b="1">
            <a:solidFill>
              <a:schemeClr val="bg1"/>
            </a:solidFill>
          </a:endParaRPr>
        </a:p>
      </xdr:txBody>
    </xdr:sp>
    <xdr:clientData/>
  </xdr:twoCellAnchor>
  <xdr:twoCellAnchor>
    <xdr:from>
      <xdr:col>7</xdr:col>
      <xdr:colOff>378037</xdr:colOff>
      <xdr:row>13</xdr:row>
      <xdr:rowOff>43180</xdr:rowOff>
    </xdr:from>
    <xdr:to>
      <xdr:col>11</xdr:col>
      <xdr:colOff>151554</xdr:colOff>
      <xdr:row>26</xdr:row>
      <xdr:rowOff>45492</xdr:rowOff>
    </xdr:to>
    <xdr:sp macro="" textlink="C2">
      <xdr:nvSpPr>
        <xdr:cNvPr id="4" name="Rectangle: Rounded Corners 3">
          <a:extLst>
            <a:ext uri="{FF2B5EF4-FFF2-40B4-BE49-F238E27FC236}">
              <a16:creationId xmlns:a16="http://schemas.microsoft.com/office/drawing/2014/main" id="{E593E505-BA87-31A4-D74E-A52D1D1D05B3}"/>
            </a:ext>
          </a:extLst>
        </xdr:cNvPr>
        <xdr:cNvSpPr/>
      </xdr:nvSpPr>
      <xdr:spPr>
        <a:xfrm>
          <a:off x="5495947" y="2408792"/>
          <a:ext cx="2230114" cy="2367924"/>
        </a:xfrm>
        <a:prstGeom prst="roundRect">
          <a:avLst/>
        </a:prstGeom>
        <a:solidFill>
          <a:schemeClr val="accent3">
            <a:lumMod val="75000"/>
          </a:schemeClr>
        </a:solidFill>
        <a:ln>
          <a:solidFill>
            <a:schemeClr val="accent3">
              <a:lumMod val="75000"/>
            </a:schemeClr>
          </a:solidFill>
        </a:ln>
        <a:effectLst>
          <a:glow rad="228600">
            <a:schemeClr val="accent3">
              <a:satMod val="175000"/>
              <a:alpha val="40000"/>
            </a:schemeClr>
          </a:glow>
          <a:outerShdw blurRad="107950" dist="12700" dir="5400000" algn="ctr">
            <a:srgbClr val="000000"/>
          </a:outerShdw>
        </a:effectLst>
        <a:scene3d>
          <a:camera prst="orthographicFront"/>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36E7375-E816-4202-A5FF-9ED9E39495E1}" type="TxLink">
            <a:rPr lang="en-US" sz="1800" b="1" i="0" u="none" strike="noStrike">
              <a:solidFill>
                <a:schemeClr val="bg1"/>
              </a:solidFill>
              <a:latin typeface="Calibri"/>
              <a:ea typeface="Calibri"/>
              <a:cs typeface="Calibri"/>
            </a:rPr>
            <a:pPr algn="ctr"/>
            <a:t>0.09154</a:t>
          </a:fld>
          <a:endParaRPr lang="en-IN" sz="3600" b="1">
            <a:solidFill>
              <a:schemeClr val="bg1"/>
            </a:solidFill>
          </a:endParaRPr>
        </a:p>
      </xdr:txBody>
    </xdr:sp>
    <xdr:clientData/>
  </xdr:twoCellAnchor>
  <xdr:twoCellAnchor>
    <xdr:from>
      <xdr:col>11</xdr:col>
      <xdr:colOff>477521</xdr:colOff>
      <xdr:row>13</xdr:row>
      <xdr:rowOff>12701</xdr:rowOff>
    </xdr:from>
    <xdr:to>
      <xdr:col>15</xdr:col>
      <xdr:colOff>251037</xdr:colOff>
      <xdr:row>26</xdr:row>
      <xdr:rowOff>22747</xdr:rowOff>
    </xdr:to>
    <xdr:sp macro="" textlink="D2">
      <xdr:nvSpPr>
        <xdr:cNvPr id="5" name="Rectangle: Rounded Corners 4">
          <a:extLst>
            <a:ext uri="{FF2B5EF4-FFF2-40B4-BE49-F238E27FC236}">
              <a16:creationId xmlns:a16="http://schemas.microsoft.com/office/drawing/2014/main" id="{05FAAFE0-2A8A-2688-9C46-43BB3654C910}"/>
            </a:ext>
          </a:extLst>
        </xdr:cNvPr>
        <xdr:cNvSpPr/>
      </xdr:nvSpPr>
      <xdr:spPr>
        <a:xfrm>
          <a:off x="8052028" y="2378313"/>
          <a:ext cx="2230113" cy="2375658"/>
        </a:xfrm>
        <a:prstGeom prst="roundRect">
          <a:avLst/>
        </a:prstGeom>
        <a:solidFill>
          <a:schemeClr val="accent3">
            <a:lumMod val="75000"/>
          </a:schemeClr>
        </a:solidFill>
        <a:ln>
          <a:solidFill>
            <a:schemeClr val="accent3">
              <a:lumMod val="75000"/>
            </a:schemeClr>
          </a:solidFill>
        </a:ln>
        <a:effectLst>
          <a:glow rad="228600">
            <a:schemeClr val="accent3">
              <a:satMod val="175000"/>
              <a:alpha val="40000"/>
            </a:schemeClr>
          </a:glow>
          <a:outerShdw blurRad="107950" dist="12700" dir="5400000" algn="ctr">
            <a:srgbClr val="000000"/>
          </a:outerShdw>
        </a:effectLst>
        <a:scene3d>
          <a:camera prst="orthographicFront"/>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A0984A72-85BB-4025-9AEE-BDCF98D43866}" type="TxLink">
            <a:rPr lang="en-US" sz="1800" b="1" i="0" u="none" strike="noStrike">
              <a:solidFill>
                <a:schemeClr val="bg1"/>
              </a:solidFill>
              <a:latin typeface="Calibri"/>
              <a:ea typeface="Calibri"/>
              <a:cs typeface="Calibri"/>
            </a:rPr>
            <a:pPr algn="ctr"/>
            <a:t>0</a:t>
          </a:fld>
          <a:endParaRPr lang="en-IN" sz="3600" b="1">
            <a:solidFill>
              <a:schemeClr val="bg1"/>
            </a:solidFill>
          </a:endParaRPr>
        </a:p>
      </xdr:txBody>
    </xdr:sp>
    <xdr:clientData/>
  </xdr:twoCellAnchor>
  <xdr:twoCellAnchor>
    <xdr:from>
      <xdr:col>16</xdr:col>
      <xdr:colOff>27631</xdr:colOff>
      <xdr:row>12</xdr:row>
      <xdr:rowOff>162025</xdr:rowOff>
    </xdr:from>
    <xdr:to>
      <xdr:col>19</xdr:col>
      <xdr:colOff>416251</xdr:colOff>
      <xdr:row>26</xdr:row>
      <xdr:rowOff>1</xdr:rowOff>
    </xdr:to>
    <xdr:sp macro="" textlink="E2">
      <xdr:nvSpPr>
        <xdr:cNvPr id="6" name="Rectangle: Rounded Corners 5">
          <a:extLst>
            <a:ext uri="{FF2B5EF4-FFF2-40B4-BE49-F238E27FC236}">
              <a16:creationId xmlns:a16="http://schemas.microsoft.com/office/drawing/2014/main" id="{446D4AE5-F999-F580-46FD-1865AF7E11C9}"/>
            </a:ext>
          </a:extLst>
        </xdr:cNvPr>
        <xdr:cNvSpPr/>
      </xdr:nvSpPr>
      <xdr:spPr>
        <a:xfrm>
          <a:off x="10672885" y="2345667"/>
          <a:ext cx="2231067" cy="2385558"/>
        </a:xfrm>
        <a:prstGeom prst="roundRect">
          <a:avLst/>
        </a:prstGeom>
        <a:solidFill>
          <a:schemeClr val="accent3">
            <a:lumMod val="75000"/>
          </a:schemeClr>
        </a:solidFill>
        <a:ln>
          <a:solidFill>
            <a:schemeClr val="accent3">
              <a:lumMod val="75000"/>
            </a:schemeClr>
          </a:solidFill>
        </a:ln>
        <a:effectLst>
          <a:glow rad="228600">
            <a:schemeClr val="accent3">
              <a:satMod val="175000"/>
              <a:alpha val="40000"/>
            </a:schemeClr>
          </a:glow>
          <a:outerShdw blurRad="107950" dist="12700" dir="5400000" algn="ctr">
            <a:srgbClr val="000000"/>
          </a:outerShdw>
        </a:effectLst>
        <a:scene3d>
          <a:camera prst="orthographicFront"/>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FB5427DD-26FC-45BD-BB15-D182C373D3DC}" type="TxLink">
            <a:rPr lang="en-US" sz="1800" b="1" i="0" u="none" strike="noStrike">
              <a:solidFill>
                <a:schemeClr val="bg1"/>
              </a:solidFill>
              <a:latin typeface="Calibri"/>
              <a:ea typeface="Calibri"/>
              <a:cs typeface="Calibri"/>
            </a:rPr>
            <a:pPr algn="ctr"/>
            <a:t>80</a:t>
          </a:fld>
          <a:endParaRPr lang="en-IN" sz="3600" b="1">
            <a:solidFill>
              <a:schemeClr val="bg1"/>
            </a:solidFill>
          </a:endParaRPr>
        </a:p>
      </xdr:txBody>
    </xdr:sp>
    <xdr:clientData/>
  </xdr:twoCellAnchor>
  <xdr:twoCellAnchor>
    <xdr:from>
      <xdr:col>0</xdr:col>
      <xdr:colOff>307075</xdr:colOff>
      <xdr:row>14</xdr:row>
      <xdr:rowOff>56865</xdr:rowOff>
    </xdr:from>
    <xdr:to>
      <xdr:col>3</xdr:col>
      <xdr:colOff>443552</xdr:colOff>
      <xdr:row>20</xdr:row>
      <xdr:rowOff>90985</xdr:rowOff>
    </xdr:to>
    <xdr:sp macro="" textlink="">
      <xdr:nvSpPr>
        <xdr:cNvPr id="7" name="Rectangle: Rounded Corners 6">
          <a:extLst>
            <a:ext uri="{FF2B5EF4-FFF2-40B4-BE49-F238E27FC236}">
              <a16:creationId xmlns:a16="http://schemas.microsoft.com/office/drawing/2014/main" id="{6B74C3DF-B614-BE31-41E5-CDE02339E93F}"/>
            </a:ext>
          </a:extLst>
        </xdr:cNvPr>
        <xdr:cNvSpPr/>
      </xdr:nvSpPr>
      <xdr:spPr>
        <a:xfrm>
          <a:off x="307075" y="2604447"/>
          <a:ext cx="2138149" cy="1125941"/>
        </a:xfrm>
        <a:prstGeom prst="roundRect">
          <a:avLst/>
        </a:prstGeom>
        <a:solidFill>
          <a:schemeClr val="accent3"/>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LOWEST DOWNFALL COIN</a:t>
          </a:r>
        </a:p>
      </xdr:txBody>
    </xdr:sp>
    <xdr:clientData/>
  </xdr:twoCellAnchor>
  <xdr:twoCellAnchor>
    <xdr:from>
      <xdr:col>11</xdr:col>
      <xdr:colOff>504967</xdr:colOff>
      <xdr:row>13</xdr:row>
      <xdr:rowOff>175145</xdr:rowOff>
    </xdr:from>
    <xdr:to>
      <xdr:col>15</xdr:col>
      <xdr:colOff>186519</xdr:colOff>
      <xdr:row>20</xdr:row>
      <xdr:rowOff>27295</xdr:rowOff>
    </xdr:to>
    <xdr:sp macro="" textlink="">
      <xdr:nvSpPr>
        <xdr:cNvPr id="8" name="Rectangle: Rounded Corners 7">
          <a:extLst>
            <a:ext uri="{FF2B5EF4-FFF2-40B4-BE49-F238E27FC236}">
              <a16:creationId xmlns:a16="http://schemas.microsoft.com/office/drawing/2014/main" id="{E5767F5D-1563-CBCC-1D59-072BE9251600}"/>
            </a:ext>
          </a:extLst>
        </xdr:cNvPr>
        <xdr:cNvSpPr/>
      </xdr:nvSpPr>
      <xdr:spPr>
        <a:xfrm>
          <a:off x="8079474" y="2540757"/>
          <a:ext cx="2138149" cy="1125941"/>
        </a:xfrm>
        <a:prstGeom prst="roundRect">
          <a:avLst/>
        </a:prstGeom>
        <a:solidFill>
          <a:schemeClr val="accent3"/>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AVERAGE DOWNFALL</a:t>
          </a:r>
        </a:p>
      </xdr:txBody>
    </xdr:sp>
    <xdr:clientData/>
  </xdr:twoCellAnchor>
  <xdr:twoCellAnchor>
    <xdr:from>
      <xdr:col>7</xdr:col>
      <xdr:colOff>418532</xdr:colOff>
      <xdr:row>14</xdr:row>
      <xdr:rowOff>20471</xdr:rowOff>
    </xdr:from>
    <xdr:to>
      <xdr:col>11</xdr:col>
      <xdr:colOff>100084</xdr:colOff>
      <xdr:row>20</xdr:row>
      <xdr:rowOff>54591</xdr:rowOff>
    </xdr:to>
    <xdr:sp macro="" textlink="">
      <xdr:nvSpPr>
        <xdr:cNvPr id="9" name="Rectangle: Rounded Corners 8">
          <a:extLst>
            <a:ext uri="{FF2B5EF4-FFF2-40B4-BE49-F238E27FC236}">
              <a16:creationId xmlns:a16="http://schemas.microsoft.com/office/drawing/2014/main" id="{C2F22C79-7604-6B2F-3FBF-7B844C62E18A}"/>
            </a:ext>
          </a:extLst>
        </xdr:cNvPr>
        <xdr:cNvSpPr/>
      </xdr:nvSpPr>
      <xdr:spPr>
        <a:xfrm>
          <a:off x="5536442" y="2568053"/>
          <a:ext cx="2138149" cy="1125941"/>
        </a:xfrm>
        <a:prstGeom prst="roundRect">
          <a:avLst/>
        </a:prstGeom>
        <a:solidFill>
          <a:schemeClr val="accent3"/>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CURRENT PRICE</a:t>
          </a:r>
        </a:p>
      </xdr:txBody>
    </xdr:sp>
    <xdr:clientData/>
  </xdr:twoCellAnchor>
  <xdr:twoCellAnchor>
    <xdr:from>
      <xdr:col>3</xdr:col>
      <xdr:colOff>900752</xdr:colOff>
      <xdr:row>14</xdr:row>
      <xdr:rowOff>13648</xdr:rowOff>
    </xdr:from>
    <xdr:to>
      <xdr:col>6</xdr:col>
      <xdr:colOff>536812</xdr:colOff>
      <xdr:row>20</xdr:row>
      <xdr:rowOff>47768</xdr:rowOff>
    </xdr:to>
    <xdr:sp macro="" textlink="">
      <xdr:nvSpPr>
        <xdr:cNvPr id="10" name="Rectangle: Rounded Corners 9">
          <a:extLst>
            <a:ext uri="{FF2B5EF4-FFF2-40B4-BE49-F238E27FC236}">
              <a16:creationId xmlns:a16="http://schemas.microsoft.com/office/drawing/2014/main" id="{124AB8F0-0B45-86C5-B0E3-D3670421CBBE}"/>
            </a:ext>
          </a:extLst>
        </xdr:cNvPr>
        <xdr:cNvSpPr/>
      </xdr:nvSpPr>
      <xdr:spPr>
        <a:xfrm>
          <a:off x="2902424" y="2561230"/>
          <a:ext cx="2138149" cy="1125941"/>
        </a:xfrm>
        <a:prstGeom prst="roundRect">
          <a:avLst/>
        </a:prstGeom>
        <a:solidFill>
          <a:schemeClr val="accent3"/>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rPr>
            <a:t>SYMBOL</a:t>
          </a:r>
        </a:p>
      </xdr:txBody>
    </xdr:sp>
    <xdr:clientData/>
  </xdr:twoCellAnchor>
  <xdr:twoCellAnchor>
    <xdr:from>
      <xdr:col>16</xdr:col>
      <xdr:colOff>88710</xdr:colOff>
      <xdr:row>13</xdr:row>
      <xdr:rowOff>134202</xdr:rowOff>
    </xdr:from>
    <xdr:to>
      <xdr:col>19</xdr:col>
      <xdr:colOff>384412</xdr:colOff>
      <xdr:row>19</xdr:row>
      <xdr:rowOff>168322</xdr:rowOff>
    </xdr:to>
    <xdr:sp macro="" textlink="">
      <xdr:nvSpPr>
        <xdr:cNvPr id="11" name="Rectangle: Rounded Corners 10">
          <a:extLst>
            <a:ext uri="{FF2B5EF4-FFF2-40B4-BE49-F238E27FC236}">
              <a16:creationId xmlns:a16="http://schemas.microsoft.com/office/drawing/2014/main" id="{21C4ED7D-40AA-E000-34C6-725EC773CD6E}"/>
            </a:ext>
          </a:extLst>
        </xdr:cNvPr>
        <xdr:cNvSpPr/>
      </xdr:nvSpPr>
      <xdr:spPr>
        <a:xfrm>
          <a:off x="10733964" y="2499814"/>
          <a:ext cx="2138149" cy="1125941"/>
        </a:xfrm>
        <a:prstGeom prst="roundRect">
          <a:avLst/>
        </a:prstGeom>
        <a:solidFill>
          <a:schemeClr val="accent3"/>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COINS CONSIDERED</a:t>
          </a:r>
        </a:p>
      </xdr:txBody>
    </xdr:sp>
    <xdr:clientData/>
  </xdr:twoCellAnchor>
  <xdr:twoCellAnchor editAs="oneCell">
    <xdr:from>
      <xdr:col>6</xdr:col>
      <xdr:colOff>602775</xdr:colOff>
      <xdr:row>31</xdr:row>
      <xdr:rowOff>0</xdr:rowOff>
    </xdr:from>
    <xdr:to>
      <xdr:col>10</xdr:col>
      <xdr:colOff>477671</xdr:colOff>
      <xdr:row>42</xdr:row>
      <xdr:rowOff>23883</xdr:rowOff>
    </xdr:to>
    <mc:AlternateContent xmlns:mc="http://schemas.openxmlformats.org/markup-compatibility/2006" xmlns:a14="http://schemas.microsoft.com/office/drawing/2010/main">
      <mc:Choice Requires="a14">
        <xdr:graphicFrame macro="">
          <xdr:nvGraphicFramePr>
            <xdr:cNvPr id="12" name="Price Range 1">
              <a:extLst>
                <a:ext uri="{FF2B5EF4-FFF2-40B4-BE49-F238E27FC236}">
                  <a16:creationId xmlns:a16="http://schemas.microsoft.com/office/drawing/2014/main" id="{022807BF-8A5E-4F30-8516-50EB35EADEEF}"/>
                </a:ext>
              </a:extLst>
            </xdr:cNvPr>
            <xdr:cNvGraphicFramePr/>
          </xdr:nvGraphicFramePr>
          <xdr:xfrm>
            <a:off x="0" y="0"/>
            <a:ext cx="0" cy="0"/>
          </xdr:xfrm>
          <a:graphic>
            <a:graphicData uri="http://schemas.microsoft.com/office/drawing/2010/slicer">
              <sle:slicer xmlns:sle="http://schemas.microsoft.com/office/drawing/2010/slicer" name="Price Range 1"/>
            </a:graphicData>
          </a:graphic>
        </xdr:graphicFrame>
      </mc:Choice>
      <mc:Fallback xmlns="">
        <xdr:sp macro="" textlink="">
          <xdr:nvSpPr>
            <xdr:cNvPr id="0" name=""/>
            <xdr:cNvSpPr>
              <a:spLocks noTextEdit="1"/>
            </xdr:cNvSpPr>
          </xdr:nvSpPr>
          <xdr:spPr>
            <a:xfrm>
              <a:off x="5106536" y="5641075"/>
              <a:ext cx="2331493" cy="20255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15</xdr:col>
      <xdr:colOff>258305</xdr:colOff>
      <xdr:row>17</xdr:row>
      <xdr:rowOff>146854</xdr:rowOff>
    </xdr:from>
    <xdr:to>
      <xdr:col>21</xdr:col>
      <xdr:colOff>1911457</xdr:colOff>
      <xdr:row>35</xdr:row>
      <xdr:rowOff>25830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461948</xdr:colOff>
      <xdr:row>38</xdr:row>
      <xdr:rowOff>50556</xdr:rowOff>
    </xdr:from>
    <xdr:to>
      <xdr:col>10</xdr:col>
      <xdr:colOff>159100</xdr:colOff>
      <xdr:row>56</xdr:row>
      <xdr:rowOff>157703</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363707</xdr:colOff>
      <xdr:row>17</xdr:row>
      <xdr:rowOff>24948</xdr:rowOff>
    </xdr:from>
    <xdr:to>
      <xdr:col>10</xdr:col>
      <xdr:colOff>73278</xdr:colOff>
      <xdr:row>34</xdr:row>
      <xdr:rowOff>103321</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58616</xdr:colOff>
      <xdr:row>38</xdr:row>
      <xdr:rowOff>35296</xdr:rowOff>
    </xdr:from>
    <xdr:to>
      <xdr:col>19</xdr:col>
      <xdr:colOff>107461</xdr:colOff>
      <xdr:row>57</xdr:row>
      <xdr:rowOff>156308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406329</xdr:colOff>
      <xdr:row>6</xdr:row>
      <xdr:rowOff>53737</xdr:rowOff>
    </xdr:from>
    <xdr:to>
      <xdr:col>6</xdr:col>
      <xdr:colOff>67349</xdr:colOff>
      <xdr:row>14</xdr:row>
      <xdr:rowOff>106525</xdr:rowOff>
    </xdr:to>
    <xdr:sp macro="" textlink="">
      <xdr:nvSpPr>
        <xdr:cNvPr id="16" name="Rectangle 15">
          <a:extLst>
            <a:ext uri="{FF2B5EF4-FFF2-40B4-BE49-F238E27FC236}">
              <a16:creationId xmlns:a16="http://schemas.microsoft.com/office/drawing/2014/main" id="{00000000-0008-0000-0700-000010000000}"/>
            </a:ext>
          </a:extLst>
        </xdr:cNvPr>
        <xdr:cNvSpPr/>
      </xdr:nvSpPr>
      <xdr:spPr>
        <a:xfrm>
          <a:off x="1022985" y="1150620"/>
          <a:ext cx="2747645" cy="1515745"/>
        </a:xfrm>
        <a:prstGeom prst="rect">
          <a:avLst/>
        </a:prstGeom>
        <a:solidFill>
          <a:schemeClr val="accent3">
            <a:lumMod val="40000"/>
            <a:lumOff val="60000"/>
          </a:schemeClr>
        </a:solidFill>
        <a:ln>
          <a:solidFill>
            <a:srgbClr val="92D050"/>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r>
            <a:rPr lang="en-IN" sz="3200">
              <a:effectLst/>
            </a:rPr>
            <a:t> </a:t>
          </a:r>
          <a:r>
            <a:rPr lang="en-IN" sz="3200" b="0" i="0" u="none" strike="noStrike">
              <a:solidFill>
                <a:srgbClr val="7030A0"/>
              </a:solidFill>
              <a:effectLst/>
              <a:latin typeface="+mn-lt"/>
              <a:ea typeface="+mn-ea"/>
              <a:cs typeface="+mn-cs"/>
            </a:rPr>
            <a:t>2.04624E+12</a:t>
          </a:r>
          <a:r>
            <a:rPr lang="en-IN" sz="3200">
              <a:solidFill>
                <a:srgbClr val="7030A0"/>
              </a:solidFill>
              <a:effectLst/>
            </a:rPr>
            <a:t> </a:t>
          </a:r>
          <a:endParaRPr lang="en-IN" sz="3200">
            <a:solidFill>
              <a:srgbClr val="7030A0"/>
            </a:solidFill>
          </a:endParaRPr>
        </a:p>
      </xdr:txBody>
    </xdr:sp>
    <xdr:clientData/>
  </xdr:twoCellAnchor>
  <xdr:twoCellAnchor>
    <xdr:from>
      <xdr:col>1</xdr:col>
      <xdr:colOff>592475</xdr:colOff>
      <xdr:row>7</xdr:row>
      <xdr:rowOff>114460</xdr:rowOff>
    </xdr:from>
    <xdr:to>
      <xdr:col>5</xdr:col>
      <xdr:colOff>470303</xdr:colOff>
      <xdr:row>10</xdr:row>
      <xdr:rowOff>57440</xdr:rowOff>
    </xdr:to>
    <xdr:sp macro="" textlink="">
      <xdr:nvSpPr>
        <xdr:cNvPr id="17" name="Rectangle 16">
          <a:extLst>
            <a:ext uri="{FF2B5EF4-FFF2-40B4-BE49-F238E27FC236}">
              <a16:creationId xmlns:a16="http://schemas.microsoft.com/office/drawing/2014/main" id="{00000000-0008-0000-0700-000011000000}"/>
            </a:ext>
          </a:extLst>
        </xdr:cNvPr>
        <xdr:cNvSpPr/>
      </xdr:nvSpPr>
      <xdr:spPr>
        <a:xfrm>
          <a:off x="1209675" y="1394460"/>
          <a:ext cx="2346325" cy="491490"/>
        </a:xfrm>
        <a:prstGeom prst="rect">
          <a:avLst/>
        </a:prstGeom>
        <a:solidFill>
          <a:schemeClr val="accent6">
            <a:lumMod val="20000"/>
            <a:lumOff val="80000"/>
          </a:schemeClr>
        </a:solidFill>
        <a:ln>
          <a:solidFill>
            <a:srgbClr val="FFFFFF"/>
          </a:solid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0" u="none" strike="noStrike">
              <a:solidFill>
                <a:schemeClr val="accent6">
                  <a:lumMod val="50000"/>
                </a:schemeClr>
              </a:solidFill>
              <a:effectLst/>
              <a:latin typeface="+mn-lt"/>
              <a:ea typeface="+mn-ea"/>
              <a:cs typeface="+mn-cs"/>
            </a:rPr>
            <a:t>Sum of Market Cap</a:t>
          </a:r>
          <a:r>
            <a:rPr lang="en-IN" sz="2000">
              <a:solidFill>
                <a:schemeClr val="accent6">
                  <a:lumMod val="50000"/>
                </a:schemeClr>
              </a:solidFill>
              <a:effectLst/>
            </a:rPr>
            <a:t> </a:t>
          </a:r>
          <a:endParaRPr lang="en-IN" sz="2000">
            <a:solidFill>
              <a:schemeClr val="accent6">
                <a:lumMod val="50000"/>
              </a:schemeClr>
            </a:solidFill>
          </a:endParaRPr>
        </a:p>
      </xdr:txBody>
    </xdr:sp>
    <xdr:clientData/>
  </xdr:twoCellAnchor>
  <xdr:twoCellAnchor>
    <xdr:from>
      <xdr:col>6</xdr:col>
      <xdr:colOff>308949</xdr:colOff>
      <xdr:row>6</xdr:row>
      <xdr:rowOff>53986</xdr:rowOff>
    </xdr:from>
    <xdr:to>
      <xdr:col>10</xdr:col>
      <xdr:colOff>586826</xdr:colOff>
      <xdr:row>14</xdr:row>
      <xdr:rowOff>106775</xdr:rowOff>
    </xdr:to>
    <xdr:sp macro="" textlink="">
      <xdr:nvSpPr>
        <xdr:cNvPr id="18" name="Rectangle 17">
          <a:extLst>
            <a:ext uri="{FF2B5EF4-FFF2-40B4-BE49-F238E27FC236}">
              <a16:creationId xmlns:a16="http://schemas.microsoft.com/office/drawing/2014/main" id="{00000000-0008-0000-0700-000012000000}"/>
            </a:ext>
          </a:extLst>
        </xdr:cNvPr>
        <xdr:cNvSpPr/>
      </xdr:nvSpPr>
      <xdr:spPr>
        <a:xfrm>
          <a:off x="4011930" y="1151255"/>
          <a:ext cx="2747010" cy="1515745"/>
        </a:xfrm>
        <a:prstGeom prst="rect">
          <a:avLst/>
        </a:prstGeom>
        <a:solidFill>
          <a:schemeClr val="accent3">
            <a:lumMod val="40000"/>
            <a:lumOff val="60000"/>
          </a:schemeClr>
        </a:solidFill>
        <a:ln>
          <a:solidFill>
            <a:srgbClr val="92D050"/>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r>
            <a:rPr lang="en-IN" sz="3200">
              <a:effectLst/>
            </a:rPr>
            <a:t> </a:t>
          </a:r>
          <a:r>
            <a:rPr lang="en-IN" sz="3200" b="0" i="0" u="none" strike="noStrike">
              <a:solidFill>
                <a:srgbClr val="7030A0"/>
              </a:solidFill>
              <a:effectLst/>
              <a:latin typeface="+mn-lt"/>
              <a:ea typeface="+mn-ea"/>
              <a:cs typeface="+mn-cs"/>
            </a:rPr>
            <a:t>75333.41845</a:t>
          </a:r>
          <a:r>
            <a:rPr lang="en-IN" sz="3200">
              <a:solidFill>
                <a:srgbClr val="7030A0"/>
              </a:solidFill>
              <a:effectLst/>
            </a:rPr>
            <a:t> </a:t>
          </a:r>
          <a:endParaRPr lang="en-IN" sz="3200">
            <a:solidFill>
              <a:srgbClr val="7030A0"/>
            </a:solidFill>
          </a:endParaRPr>
        </a:p>
      </xdr:txBody>
    </xdr:sp>
    <xdr:clientData/>
  </xdr:twoCellAnchor>
  <xdr:twoCellAnchor>
    <xdr:from>
      <xdr:col>6</xdr:col>
      <xdr:colOff>522613</xdr:colOff>
      <xdr:row>7</xdr:row>
      <xdr:rowOff>81915</xdr:rowOff>
    </xdr:from>
    <xdr:to>
      <xdr:col>10</xdr:col>
      <xdr:colOff>400441</xdr:colOff>
      <xdr:row>10</xdr:row>
      <xdr:rowOff>25510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4225925" y="1362075"/>
          <a:ext cx="2346325" cy="492125"/>
        </a:xfrm>
        <a:prstGeom prst="rect">
          <a:avLst/>
        </a:prstGeom>
        <a:solidFill>
          <a:schemeClr val="accent6">
            <a:lumMod val="20000"/>
            <a:lumOff val="80000"/>
          </a:schemeClr>
        </a:solidFill>
        <a:ln>
          <a:solidFill>
            <a:srgbClr val="FFFFFF"/>
          </a:solid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0" u="none" strike="noStrike">
              <a:solidFill>
                <a:schemeClr val="accent6">
                  <a:lumMod val="50000"/>
                </a:schemeClr>
              </a:solidFill>
              <a:effectLst/>
              <a:latin typeface="+mn-lt"/>
              <a:ea typeface="+mn-ea"/>
              <a:cs typeface="+mn-cs"/>
            </a:rPr>
            <a:t>Sum of</a:t>
          </a:r>
          <a:r>
            <a:rPr lang="en-IN" sz="2000" b="1" i="0" u="none" strike="noStrike" baseline="0">
              <a:solidFill>
                <a:schemeClr val="accent6">
                  <a:lumMod val="50000"/>
                </a:schemeClr>
              </a:solidFill>
              <a:effectLst/>
              <a:latin typeface="+mn-lt"/>
              <a:ea typeface="+mn-ea"/>
              <a:cs typeface="+mn-cs"/>
            </a:rPr>
            <a:t> Total price </a:t>
          </a:r>
          <a:r>
            <a:rPr lang="en-IN" sz="2000">
              <a:solidFill>
                <a:schemeClr val="accent6">
                  <a:lumMod val="50000"/>
                </a:schemeClr>
              </a:solidFill>
              <a:effectLst/>
            </a:rPr>
            <a:t> </a:t>
          </a:r>
          <a:endParaRPr lang="en-IN" sz="2000">
            <a:solidFill>
              <a:schemeClr val="accent6">
                <a:lumMod val="50000"/>
              </a:schemeClr>
            </a:solidFill>
          </a:endParaRPr>
        </a:p>
      </xdr:txBody>
    </xdr:sp>
    <xdr:clientData/>
  </xdr:twoCellAnchor>
  <xdr:twoCellAnchor>
    <xdr:from>
      <xdr:col>11</xdr:col>
      <xdr:colOff>566989</xdr:colOff>
      <xdr:row>6</xdr:row>
      <xdr:rowOff>28155</xdr:rowOff>
    </xdr:from>
    <xdr:to>
      <xdr:col>16</xdr:col>
      <xdr:colOff>226196</xdr:colOff>
      <xdr:row>14</xdr:row>
      <xdr:rowOff>105782</xdr:rowOff>
    </xdr:to>
    <xdr:sp macro="" textlink="">
      <xdr:nvSpPr>
        <xdr:cNvPr id="20" name="Rectangle 19">
          <a:extLst>
            <a:ext uri="{FF2B5EF4-FFF2-40B4-BE49-F238E27FC236}">
              <a16:creationId xmlns:a16="http://schemas.microsoft.com/office/drawing/2014/main" id="{00000000-0008-0000-0700-000014000000}"/>
            </a:ext>
          </a:extLst>
        </xdr:cNvPr>
        <xdr:cNvSpPr/>
      </xdr:nvSpPr>
      <xdr:spPr>
        <a:xfrm>
          <a:off x="7355840" y="1125220"/>
          <a:ext cx="2745740" cy="1540510"/>
        </a:xfrm>
        <a:prstGeom prst="rect">
          <a:avLst/>
        </a:prstGeom>
        <a:solidFill>
          <a:schemeClr val="accent3">
            <a:lumMod val="40000"/>
            <a:lumOff val="60000"/>
          </a:schemeClr>
        </a:solidFill>
        <a:ln>
          <a:solidFill>
            <a:srgbClr val="92D050"/>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i="0" u="none" strike="noStrike">
            <a:solidFill>
              <a:srgbClr val="7030A0"/>
            </a:solidFill>
            <a:effectLst/>
            <a:latin typeface="+mn-lt"/>
            <a:ea typeface="+mn-ea"/>
            <a:cs typeface="+mn-cs"/>
          </a:endParaRPr>
        </a:p>
        <a:p>
          <a:pPr algn="l"/>
          <a:endParaRPr lang="en-IN" sz="1100" b="0" i="0" u="none" strike="noStrike">
            <a:solidFill>
              <a:srgbClr val="7030A0"/>
            </a:solidFill>
            <a:effectLst/>
            <a:latin typeface="+mn-lt"/>
            <a:ea typeface="+mn-ea"/>
            <a:cs typeface="+mn-cs"/>
          </a:endParaRPr>
        </a:p>
        <a:p>
          <a:pPr algn="l"/>
          <a:endParaRPr lang="en-IN" sz="1100" b="0" i="0" u="none" strike="noStrike">
            <a:solidFill>
              <a:srgbClr val="7030A0"/>
            </a:solidFill>
            <a:effectLst/>
            <a:latin typeface="+mn-lt"/>
            <a:ea typeface="+mn-ea"/>
            <a:cs typeface="+mn-cs"/>
          </a:endParaRPr>
        </a:p>
        <a:p>
          <a:pPr algn="l"/>
          <a:endParaRPr lang="en-IN" sz="1100" b="0" i="0" u="none" strike="noStrike">
            <a:solidFill>
              <a:srgbClr val="7030A0"/>
            </a:solidFill>
            <a:effectLst/>
            <a:latin typeface="+mn-lt"/>
            <a:ea typeface="+mn-ea"/>
            <a:cs typeface="+mn-cs"/>
          </a:endParaRPr>
        </a:p>
        <a:p>
          <a:pPr algn="l"/>
          <a:endParaRPr lang="en-IN" sz="1100" b="0" i="0" u="none" strike="noStrike">
            <a:solidFill>
              <a:srgbClr val="7030A0"/>
            </a:solidFill>
            <a:effectLst/>
            <a:latin typeface="+mn-lt"/>
            <a:ea typeface="+mn-ea"/>
            <a:cs typeface="+mn-cs"/>
          </a:endParaRPr>
        </a:p>
        <a:p>
          <a:pPr algn="l"/>
          <a:r>
            <a:rPr lang="en-IN" sz="3600" b="0" i="0" u="none" strike="noStrike">
              <a:solidFill>
                <a:srgbClr val="7030A0"/>
              </a:solidFill>
              <a:effectLst/>
              <a:latin typeface="+mn-lt"/>
              <a:ea typeface="+mn-ea"/>
              <a:cs typeface="+mn-cs"/>
            </a:rPr>
            <a:t>5.92318E+15</a:t>
          </a:r>
          <a:r>
            <a:rPr lang="en-IN" sz="3600">
              <a:solidFill>
                <a:srgbClr val="7030A0"/>
              </a:solidFill>
              <a:effectLst/>
            </a:rPr>
            <a:t> </a:t>
          </a:r>
          <a:endParaRPr lang="en-IN" sz="3600">
            <a:solidFill>
              <a:srgbClr val="7030A0"/>
            </a:solidFill>
          </a:endParaRPr>
        </a:p>
      </xdr:txBody>
    </xdr:sp>
    <xdr:clientData/>
  </xdr:twoCellAnchor>
  <xdr:twoCellAnchor>
    <xdr:from>
      <xdr:col>12</xdr:col>
      <xdr:colOff>39682</xdr:colOff>
      <xdr:row>6</xdr:row>
      <xdr:rowOff>181404</xdr:rowOff>
    </xdr:from>
    <xdr:to>
      <xdr:col>16</xdr:col>
      <xdr:colOff>61524</xdr:colOff>
      <xdr:row>9</xdr:row>
      <xdr:rowOff>124999</xdr:rowOff>
    </xdr:to>
    <xdr:sp macro="" textlink="">
      <xdr:nvSpPr>
        <xdr:cNvPr id="21" name="Rectangle 20">
          <a:extLst>
            <a:ext uri="{FF2B5EF4-FFF2-40B4-BE49-F238E27FC236}">
              <a16:creationId xmlns:a16="http://schemas.microsoft.com/office/drawing/2014/main" id="{00000000-0008-0000-0700-000015000000}"/>
            </a:ext>
          </a:extLst>
        </xdr:cNvPr>
        <xdr:cNvSpPr/>
      </xdr:nvSpPr>
      <xdr:spPr>
        <a:xfrm>
          <a:off x="7446010" y="1278255"/>
          <a:ext cx="2490470" cy="492125"/>
        </a:xfrm>
        <a:prstGeom prst="rect">
          <a:avLst/>
        </a:prstGeom>
        <a:solidFill>
          <a:schemeClr val="accent6">
            <a:lumMod val="20000"/>
            <a:lumOff val="80000"/>
          </a:schemeClr>
        </a:solidFill>
        <a:ln>
          <a:solidFill>
            <a:srgbClr val="FFFFFF"/>
          </a:solid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i="0" u="none" strike="noStrike">
              <a:solidFill>
                <a:schemeClr val="accent6">
                  <a:lumMod val="50000"/>
                </a:schemeClr>
              </a:solidFill>
              <a:effectLst/>
              <a:latin typeface="+mn-lt"/>
              <a:ea typeface="+mn-ea"/>
              <a:cs typeface="+mn-cs"/>
            </a:rPr>
            <a:t>Sum of Circulating Supply</a:t>
          </a:r>
          <a:r>
            <a:rPr lang="en-IN" sz="1600">
              <a:solidFill>
                <a:schemeClr val="accent6">
                  <a:lumMod val="50000"/>
                </a:schemeClr>
              </a:solidFill>
              <a:effectLst/>
            </a:rPr>
            <a:t> </a:t>
          </a:r>
          <a:endParaRPr lang="en-IN" sz="1600">
            <a:solidFill>
              <a:schemeClr val="accent6">
                <a:lumMod val="50000"/>
              </a:schemeClr>
            </a:solidFill>
          </a:endParaRPr>
        </a:p>
      </xdr:txBody>
    </xdr:sp>
    <xdr:clientData/>
  </xdr:twoCellAnchor>
  <xdr:twoCellAnchor>
    <xdr:from>
      <xdr:col>17</xdr:col>
      <xdr:colOff>132977</xdr:colOff>
      <xdr:row>5</xdr:row>
      <xdr:rowOff>166938</xdr:rowOff>
    </xdr:from>
    <xdr:to>
      <xdr:col>20</xdr:col>
      <xdr:colOff>1023542</xdr:colOff>
      <xdr:row>14</xdr:row>
      <xdr:rowOff>139988</xdr:rowOff>
    </xdr:to>
    <xdr:sp macro="" textlink="">
      <xdr:nvSpPr>
        <xdr:cNvPr id="24" name="Rectangle 23">
          <a:extLst>
            <a:ext uri="{FF2B5EF4-FFF2-40B4-BE49-F238E27FC236}">
              <a16:creationId xmlns:a16="http://schemas.microsoft.com/office/drawing/2014/main" id="{00000000-0008-0000-0700-000018000000}"/>
            </a:ext>
          </a:extLst>
        </xdr:cNvPr>
        <xdr:cNvSpPr/>
      </xdr:nvSpPr>
      <xdr:spPr>
        <a:xfrm>
          <a:off x="10625455" y="1080770"/>
          <a:ext cx="2741930" cy="1619250"/>
        </a:xfrm>
        <a:prstGeom prst="rect">
          <a:avLst/>
        </a:prstGeom>
        <a:solidFill>
          <a:schemeClr val="accent3">
            <a:lumMod val="40000"/>
            <a:lumOff val="60000"/>
          </a:schemeClr>
        </a:solidFill>
        <a:ln>
          <a:solidFill>
            <a:srgbClr val="92D050"/>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0" i="0" u="none" strike="noStrike" baseline="0">
              <a:solidFill>
                <a:srgbClr val="7030A0"/>
              </a:solidFill>
              <a:effectLst/>
              <a:latin typeface="+mn-lt"/>
              <a:ea typeface="+mn-ea"/>
              <a:cs typeface="+mn-cs"/>
            </a:rPr>
            <a:t>    </a:t>
          </a:r>
        </a:p>
        <a:p>
          <a:pPr algn="l"/>
          <a:r>
            <a:rPr lang="en-IN" sz="3200" b="0" i="0" u="none" strike="noStrike" baseline="0">
              <a:solidFill>
                <a:srgbClr val="7030A0"/>
              </a:solidFill>
              <a:effectLst/>
              <a:latin typeface="+mn-lt"/>
              <a:ea typeface="+mn-ea"/>
              <a:cs typeface="+mn-cs"/>
            </a:rPr>
            <a:t>         </a:t>
          </a:r>
        </a:p>
        <a:p>
          <a:pPr algn="l"/>
          <a:r>
            <a:rPr lang="en-IN" sz="3200" b="0" i="0" u="none" strike="noStrike" baseline="0">
              <a:solidFill>
                <a:srgbClr val="7030A0"/>
              </a:solidFill>
              <a:effectLst/>
              <a:latin typeface="+mn-lt"/>
              <a:ea typeface="+mn-ea"/>
              <a:cs typeface="+mn-cs"/>
            </a:rPr>
            <a:t>      </a:t>
          </a:r>
          <a:r>
            <a:rPr lang="en-IN" sz="3200" b="0" i="0" u="none" strike="noStrike">
              <a:solidFill>
                <a:srgbClr val="7030A0"/>
              </a:solidFill>
              <a:effectLst/>
              <a:latin typeface="+mn-lt"/>
              <a:ea typeface="+mn-ea"/>
              <a:cs typeface="+mn-cs"/>
            </a:rPr>
            <a:t>Bitcoin</a:t>
          </a:r>
          <a:r>
            <a:rPr lang="en-IN" sz="3200">
              <a:solidFill>
                <a:srgbClr val="7030A0"/>
              </a:solidFill>
              <a:effectLst/>
            </a:rPr>
            <a:t> </a:t>
          </a:r>
          <a:endParaRPr lang="en-IN" sz="3200">
            <a:solidFill>
              <a:srgbClr val="7030A0"/>
            </a:solidFill>
          </a:endParaRPr>
        </a:p>
      </xdr:txBody>
    </xdr:sp>
    <xdr:clientData/>
  </xdr:twoCellAnchor>
  <xdr:twoCellAnchor>
    <xdr:from>
      <xdr:col>17</xdr:col>
      <xdr:colOff>345325</xdr:colOff>
      <xdr:row>7</xdr:row>
      <xdr:rowOff>37940</xdr:rowOff>
    </xdr:from>
    <xdr:to>
      <xdr:col>20</xdr:col>
      <xdr:colOff>834341</xdr:colOff>
      <xdr:row>9</xdr:row>
      <xdr:rowOff>164303</xdr:rowOff>
    </xdr:to>
    <xdr:sp macro="" textlink="">
      <xdr:nvSpPr>
        <xdr:cNvPr id="25" name="Rectangle 24">
          <a:extLst>
            <a:ext uri="{FF2B5EF4-FFF2-40B4-BE49-F238E27FC236}">
              <a16:creationId xmlns:a16="http://schemas.microsoft.com/office/drawing/2014/main" id="{00000000-0008-0000-0700-000019000000}"/>
            </a:ext>
          </a:extLst>
        </xdr:cNvPr>
        <xdr:cNvSpPr/>
      </xdr:nvSpPr>
      <xdr:spPr>
        <a:xfrm>
          <a:off x="10837545" y="1317625"/>
          <a:ext cx="2340610" cy="492125"/>
        </a:xfrm>
        <a:prstGeom prst="rect">
          <a:avLst/>
        </a:prstGeom>
        <a:solidFill>
          <a:schemeClr val="accent6">
            <a:lumMod val="20000"/>
            <a:lumOff val="80000"/>
          </a:schemeClr>
        </a:solidFill>
        <a:ln>
          <a:solidFill>
            <a:srgbClr val="FFFFFF"/>
          </a:solid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0" u="none" strike="noStrike">
              <a:solidFill>
                <a:schemeClr val="accent6">
                  <a:lumMod val="50000"/>
                </a:schemeClr>
              </a:solidFill>
              <a:effectLst/>
              <a:latin typeface="+mn-lt"/>
              <a:ea typeface="+mn-ea"/>
              <a:cs typeface="+mn-cs"/>
            </a:rPr>
            <a:t>Highest</a:t>
          </a:r>
          <a:r>
            <a:rPr lang="en-IN" sz="2000" b="1" i="0" u="none" strike="noStrike" baseline="0">
              <a:solidFill>
                <a:schemeClr val="accent6">
                  <a:lumMod val="50000"/>
                </a:schemeClr>
              </a:solidFill>
              <a:effectLst/>
              <a:latin typeface="+mn-lt"/>
              <a:ea typeface="+mn-ea"/>
              <a:cs typeface="+mn-cs"/>
            </a:rPr>
            <a:t> Price Coin</a:t>
          </a:r>
          <a:r>
            <a:rPr lang="en-IN" sz="2000">
              <a:solidFill>
                <a:schemeClr val="accent6">
                  <a:lumMod val="50000"/>
                </a:schemeClr>
              </a:solidFill>
              <a:effectLst/>
            </a:rPr>
            <a:t> </a:t>
          </a:r>
          <a:endParaRPr lang="en-IN" sz="2000">
            <a:solidFill>
              <a:schemeClr val="accent6">
                <a:lumMod val="50000"/>
              </a:schemeClr>
            </a:solidFill>
          </a:endParaRPr>
        </a:p>
      </xdr:txBody>
    </xdr:sp>
    <xdr:clientData/>
  </xdr:twoCellAnchor>
  <xdr:twoCellAnchor>
    <xdr:from>
      <xdr:col>20</xdr:col>
      <xdr:colOff>1268053</xdr:colOff>
      <xdr:row>5</xdr:row>
      <xdr:rowOff>166303</xdr:rowOff>
    </xdr:from>
    <xdr:to>
      <xdr:col>22</xdr:col>
      <xdr:colOff>362263</xdr:colOff>
      <xdr:row>14</xdr:row>
      <xdr:rowOff>160810</xdr:rowOff>
    </xdr:to>
    <xdr:sp macro="" textlink="">
      <xdr:nvSpPr>
        <xdr:cNvPr id="26" name="Rectangle 25">
          <a:extLst>
            <a:ext uri="{FF2B5EF4-FFF2-40B4-BE49-F238E27FC236}">
              <a16:creationId xmlns:a16="http://schemas.microsoft.com/office/drawing/2014/main" id="{00000000-0008-0000-0700-00001A000000}"/>
            </a:ext>
          </a:extLst>
        </xdr:cNvPr>
        <xdr:cNvSpPr/>
      </xdr:nvSpPr>
      <xdr:spPr>
        <a:xfrm>
          <a:off x="13510020" y="1103188"/>
          <a:ext cx="2466997" cy="1680901"/>
        </a:xfrm>
        <a:prstGeom prst="rect">
          <a:avLst/>
        </a:prstGeom>
        <a:solidFill>
          <a:schemeClr val="accent3">
            <a:lumMod val="40000"/>
            <a:lumOff val="60000"/>
          </a:schemeClr>
        </a:solidFill>
        <a:ln>
          <a:solidFill>
            <a:srgbClr val="92D050"/>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a:solidFill>
                <a:srgbClr val="7030A0"/>
              </a:solidFill>
              <a:effectLst/>
            </a:rPr>
            <a:t> </a:t>
          </a:r>
        </a:p>
        <a:p>
          <a:pPr algn="l"/>
          <a:r>
            <a:rPr lang="en-IN" sz="3200" b="0" i="0" u="none" strike="noStrike">
              <a:solidFill>
                <a:srgbClr val="7030A0"/>
              </a:solidFill>
              <a:effectLst/>
              <a:latin typeface="+mn-lt"/>
              <a:ea typeface="+mn-ea"/>
              <a:cs typeface="+mn-cs"/>
            </a:rPr>
            <a:t> </a:t>
          </a:r>
        </a:p>
        <a:p>
          <a:pPr algn="l"/>
          <a:r>
            <a:rPr lang="en-IN" sz="3200" b="0" i="0" u="none" strike="noStrike">
              <a:solidFill>
                <a:srgbClr val="7030A0"/>
              </a:solidFill>
              <a:effectLst/>
              <a:latin typeface="+mn-lt"/>
              <a:ea typeface="+mn-ea"/>
              <a:cs typeface="+mn-cs"/>
            </a:rPr>
            <a:t>      62905.02</a:t>
          </a:r>
          <a:r>
            <a:rPr lang="en-IN" sz="3200">
              <a:solidFill>
                <a:srgbClr val="7030A0"/>
              </a:solidFill>
              <a:effectLst/>
            </a:rPr>
            <a:t> </a:t>
          </a:r>
          <a:endParaRPr lang="en-IN" sz="3200">
            <a:solidFill>
              <a:srgbClr val="7030A0"/>
            </a:solidFill>
          </a:endParaRPr>
        </a:p>
      </xdr:txBody>
    </xdr:sp>
    <xdr:clientData/>
  </xdr:twoCellAnchor>
  <xdr:twoCellAnchor>
    <xdr:from>
      <xdr:col>20</xdr:col>
      <xdr:colOff>1383761</xdr:colOff>
      <xdr:row>6</xdr:row>
      <xdr:rowOff>180624</xdr:rowOff>
    </xdr:from>
    <xdr:to>
      <xdr:col>22</xdr:col>
      <xdr:colOff>437213</xdr:colOff>
      <xdr:row>9</xdr:row>
      <xdr:rowOff>118272</xdr:rowOff>
    </xdr:to>
    <xdr:sp macro="" textlink="">
      <xdr:nvSpPr>
        <xdr:cNvPr id="27" name="Rectangle 26">
          <a:extLst>
            <a:ext uri="{FF2B5EF4-FFF2-40B4-BE49-F238E27FC236}">
              <a16:creationId xmlns:a16="http://schemas.microsoft.com/office/drawing/2014/main" id="{00000000-0008-0000-0700-00001B000000}"/>
            </a:ext>
          </a:extLst>
        </xdr:cNvPr>
        <xdr:cNvSpPr/>
      </xdr:nvSpPr>
      <xdr:spPr>
        <a:xfrm>
          <a:off x="13625728" y="1304886"/>
          <a:ext cx="2426239" cy="499779"/>
        </a:xfrm>
        <a:prstGeom prst="rect">
          <a:avLst/>
        </a:prstGeom>
        <a:solidFill>
          <a:schemeClr val="accent6">
            <a:lumMod val="20000"/>
            <a:lumOff val="80000"/>
          </a:schemeClr>
        </a:solidFill>
        <a:ln>
          <a:solidFill>
            <a:srgbClr val="FFFFFF"/>
          </a:solid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i="0" u="none" strike="noStrike">
              <a:solidFill>
                <a:schemeClr val="accent6">
                  <a:lumMod val="50000"/>
                </a:schemeClr>
              </a:solidFill>
              <a:effectLst/>
              <a:latin typeface="+mn-lt"/>
              <a:ea typeface="+mn-ea"/>
              <a:cs typeface="+mn-cs"/>
            </a:rPr>
            <a:t>Highest</a:t>
          </a:r>
          <a:r>
            <a:rPr lang="en-IN" sz="2000" b="1" i="0" u="none" strike="noStrike" baseline="0">
              <a:solidFill>
                <a:schemeClr val="accent6">
                  <a:lumMod val="50000"/>
                </a:schemeClr>
              </a:solidFill>
              <a:effectLst/>
              <a:latin typeface="+mn-lt"/>
              <a:ea typeface="+mn-ea"/>
              <a:cs typeface="+mn-cs"/>
            </a:rPr>
            <a:t> Price</a:t>
          </a:r>
          <a:r>
            <a:rPr lang="en-IN" sz="2000">
              <a:solidFill>
                <a:schemeClr val="accent6">
                  <a:lumMod val="50000"/>
                </a:schemeClr>
              </a:solidFill>
              <a:effectLst/>
            </a:rPr>
            <a:t> </a:t>
          </a:r>
          <a:endParaRPr lang="en-IN" sz="2000">
            <a:solidFill>
              <a:schemeClr val="accent6">
                <a:lumMod val="50000"/>
              </a:schemeClr>
            </a:solidFill>
          </a:endParaRPr>
        </a:p>
      </xdr:txBody>
    </xdr:sp>
    <xdr:clientData/>
  </xdr:twoCellAnchor>
  <xdr:twoCellAnchor editAs="oneCell">
    <xdr:from>
      <xdr:col>11</xdr:col>
      <xdr:colOff>167899</xdr:colOff>
      <xdr:row>18</xdr:row>
      <xdr:rowOff>25831</xdr:rowOff>
    </xdr:from>
    <xdr:to>
      <xdr:col>14</xdr:col>
      <xdr:colOff>477865</xdr:colOff>
      <xdr:row>35</xdr:row>
      <xdr:rowOff>25829</xdr:rowOff>
    </xdr:to>
    <mc:AlternateContent xmlns:mc="http://schemas.openxmlformats.org/markup-compatibility/2006" xmlns:a14="http://schemas.microsoft.com/office/drawing/2010/main">
      <mc:Choice Requires="a14">
        <xdr:graphicFrame macro="">
          <xdr:nvGraphicFramePr>
            <xdr:cNvPr id="28" name="Price (USD) 2">
              <a:extLst>
                <a:ext uri="{FF2B5EF4-FFF2-40B4-BE49-F238E27FC236}">
                  <a16:creationId xmlns:a16="http://schemas.microsoft.com/office/drawing/2014/main" id="{00000000-0008-0000-0700-00001C000000}"/>
                </a:ext>
              </a:extLst>
            </xdr:cNvPr>
            <xdr:cNvGraphicFramePr/>
          </xdr:nvGraphicFramePr>
          <xdr:xfrm>
            <a:off x="0" y="0"/>
            <a:ext cx="0" cy="0"/>
          </xdr:xfrm>
          <a:graphic>
            <a:graphicData uri="http://schemas.microsoft.com/office/drawing/2010/slicer">
              <sle:slicer xmlns:sle="http://schemas.microsoft.com/office/drawing/2010/slicer" name="Price (USD) 2"/>
            </a:graphicData>
          </a:graphic>
        </xdr:graphicFrame>
      </mc:Choice>
      <mc:Fallback xmlns:r="http://schemas.openxmlformats.org/officeDocument/2006/relationships" xmlns="">
        <xdr:sp macro="" textlink="">
          <xdr:nvSpPr>
            <xdr:cNvPr id="0" name=""/>
            <xdr:cNvSpPr>
              <a:spLocks noTextEdit="1"/>
            </xdr:cNvSpPr>
          </xdr:nvSpPr>
          <xdr:spPr>
            <a:xfrm>
              <a:off x="6957060" y="3317240"/>
              <a:ext cx="2161540" cy="3108960"/>
            </a:xfrm>
            <a:prstGeom prst="rect">
              <a:avLst/>
            </a:prstGeom>
            <a:solidFill>
              <a:prstClr val="white"/>
            </a:solidFill>
            <a:ln w="1">
              <a:solidFill>
                <a:prstClr val="green"/>
              </a:solidFill>
            </a:ln>
          </xdr:spPr>
          <xdr:txBody>
            <a:bodyPr vertOverflow="clip" horzOverflow="clip"/>
            <a:lstStyle/>
            <a:p>
              <a:r>
                <a:rPr sz="1100"/>
                <a:t>This shape represents a slicer. 
Slicers are not supported in this version. Please update to the latest version of WPS Office.</a:t>
              </a:r>
            </a:p>
          </xdr:txBody>
        </xdr:sp>
      </mc:Fallback>
    </mc:AlternateContent>
    <xdr:clientData/>
  </xdr:twoCellAnchor>
  <xdr:twoCellAnchor>
    <xdr:from>
      <xdr:col>1</xdr:col>
      <xdr:colOff>362857</xdr:colOff>
      <xdr:row>0</xdr:row>
      <xdr:rowOff>163286</xdr:rowOff>
    </xdr:from>
    <xdr:to>
      <xdr:col>22</xdr:col>
      <xdr:colOff>36285</xdr:colOff>
      <xdr:row>4</xdr:row>
      <xdr:rowOff>72572</xdr:rowOff>
    </xdr:to>
    <xdr:sp macro="" textlink="">
      <xdr:nvSpPr>
        <xdr:cNvPr id="29" name="Rectangle 28">
          <a:extLst>
            <a:ext uri="{FF2B5EF4-FFF2-40B4-BE49-F238E27FC236}">
              <a16:creationId xmlns:a16="http://schemas.microsoft.com/office/drawing/2014/main" id="{00000000-0008-0000-0700-00001D000000}"/>
            </a:ext>
          </a:extLst>
        </xdr:cNvPr>
        <xdr:cNvSpPr/>
      </xdr:nvSpPr>
      <xdr:spPr>
        <a:xfrm>
          <a:off x="979805" y="163195"/>
          <a:ext cx="15051405" cy="640715"/>
        </a:xfrm>
        <a:prstGeom prst="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a:solidFill>
                <a:srgbClr val="FFFF00"/>
              </a:solidFill>
            </a:rPr>
            <a:t>Crypro Analysis Dashboard</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342900</xdr:colOff>
      <xdr:row>1</xdr:row>
      <xdr:rowOff>163830</xdr:rowOff>
    </xdr:from>
    <xdr:to>
      <xdr:col>13</xdr:col>
      <xdr:colOff>342900</xdr:colOff>
      <xdr:row>19</xdr:row>
      <xdr:rowOff>30480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2209800</xdr:colOff>
      <xdr:row>15</xdr:row>
      <xdr:rowOff>106681</xdr:rowOff>
    </xdr:from>
    <xdr:to>
      <xdr:col>1</xdr:col>
      <xdr:colOff>548981</xdr:colOff>
      <xdr:row>27</xdr:row>
      <xdr:rowOff>53341</xdr:rowOff>
    </xdr:to>
    <mc:AlternateContent xmlns:mc="http://schemas.openxmlformats.org/markup-compatibility/2006" xmlns:a14="http://schemas.microsoft.com/office/drawing/2010/main">
      <mc:Choice Requires="a14">
        <xdr:graphicFrame macro="">
          <xdr:nvGraphicFramePr>
            <xdr:cNvPr id="5" name="Price (USD)">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Price (USD)"/>
            </a:graphicData>
          </a:graphic>
        </xdr:graphicFrame>
      </mc:Choice>
      <mc:Fallback xmlns:r="http://schemas.openxmlformats.org/officeDocument/2006/relationships" xmlns="">
        <xdr:sp macro="" textlink="">
          <xdr:nvSpPr>
            <xdr:cNvPr id="0" name=""/>
            <xdr:cNvSpPr>
              <a:spLocks noTextEdit="1"/>
            </xdr:cNvSpPr>
          </xdr:nvSpPr>
          <xdr:spPr>
            <a:xfrm>
              <a:off x="1988820" y="2849880"/>
              <a:ext cx="1581785" cy="2141220"/>
            </a:xfrm>
            <a:prstGeom prst="rect">
              <a:avLst/>
            </a:prstGeom>
            <a:solidFill>
              <a:prstClr val="white"/>
            </a:solidFill>
            <a:ln w="1">
              <a:solidFill>
                <a:prstClr val="green"/>
              </a:solidFill>
            </a:ln>
          </xdr:spPr>
          <xdr:txBody>
            <a:bodyPr vertOverflow="clip" horzOverflow="clip"/>
            <a:lstStyle/>
            <a:p>
              <a:r>
                <a:rPr sz="1100"/>
                <a:t>This shape represents a slicer. 
Slicers are not supported in this version. Please update to the latest version of WPS Office.</a:t>
              </a:r>
            </a:p>
          </xdr:txBody>
        </xdr:sp>
      </mc:Fallback>
    </mc:AlternateContent>
    <xdr:clientData/>
  </xdr:twoCellAnchor>
  <xdr:twoCellAnchor>
    <xdr:from>
      <xdr:col>4</xdr:col>
      <xdr:colOff>220980</xdr:colOff>
      <xdr:row>34</xdr:row>
      <xdr:rowOff>41910</xdr:rowOff>
    </xdr:from>
    <xdr:to>
      <xdr:col>13</xdr:col>
      <xdr:colOff>12915</xdr:colOff>
      <xdr:row>49</xdr:row>
      <xdr:rowOff>41910</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100100</xdr:colOff>
      <xdr:row>34</xdr:row>
      <xdr:rowOff>174914</xdr:rowOff>
    </xdr:from>
    <xdr:to>
      <xdr:col>17</xdr:col>
      <xdr:colOff>110490</xdr:colOff>
      <xdr:row>48</xdr:row>
      <xdr:rowOff>96116</xdr:rowOff>
    </xdr:to>
    <mc:AlternateContent xmlns:mc="http://schemas.openxmlformats.org/markup-compatibility/2006" xmlns:a14="http://schemas.microsoft.com/office/drawing/2010/main">
      <mc:Choice Requires="a14">
        <xdr:graphicFrame macro="">
          <xdr:nvGraphicFramePr>
            <xdr:cNvPr id="7" name="1h Change (%)">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microsoft.com/office/drawing/2010/slicer">
              <sle:slicer xmlns:sle="http://schemas.microsoft.com/office/drawing/2010/slicer" name="1h Change (%)"/>
            </a:graphicData>
          </a:graphic>
        </xdr:graphicFrame>
      </mc:Choice>
      <mc:Fallback xmlns:r="http://schemas.openxmlformats.org/officeDocument/2006/relationships" xmlns="">
        <xdr:sp macro="" textlink="">
          <xdr:nvSpPr>
            <xdr:cNvPr id="0" name=""/>
            <xdr:cNvSpPr>
              <a:spLocks noTextEdit="1"/>
            </xdr:cNvSpPr>
          </xdr:nvSpPr>
          <xdr:spPr>
            <a:xfrm>
              <a:off x="12398375" y="6392545"/>
              <a:ext cx="1862455" cy="2481580"/>
            </a:xfrm>
            <a:prstGeom prst="rect">
              <a:avLst/>
            </a:prstGeom>
            <a:solidFill>
              <a:prstClr val="white"/>
            </a:solidFill>
            <a:ln w="1">
              <a:solidFill>
                <a:prstClr val="green"/>
              </a:solidFill>
            </a:ln>
          </xdr:spPr>
          <xdr:txBody>
            <a:bodyPr vertOverflow="clip" horzOverflow="clip"/>
            <a:lstStyle/>
            <a:p>
              <a:r>
                <a:rPr sz="1100"/>
                <a:t>This shape represents a slicer. 
Slicers are not supported in this version. Please update to the latest version of WPS Office.</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3</xdr:col>
      <xdr:colOff>99060</xdr:colOff>
      <xdr:row>1</xdr:row>
      <xdr:rowOff>87630</xdr:rowOff>
    </xdr:from>
    <xdr:to>
      <xdr:col>10</xdr:col>
      <xdr:colOff>403860</xdr:colOff>
      <xdr:row>16</xdr:row>
      <xdr:rowOff>87630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309649</xdr:colOff>
      <xdr:row>3</xdr:row>
      <xdr:rowOff>133697</xdr:rowOff>
    </xdr:from>
    <xdr:to>
      <xdr:col>14</xdr:col>
      <xdr:colOff>309648</xdr:colOff>
      <xdr:row>17</xdr:row>
      <xdr:rowOff>40352</xdr:rowOff>
    </xdr:to>
    <mc:AlternateContent xmlns:mc="http://schemas.openxmlformats.org/markup-compatibility/2006" xmlns:a14="http://schemas.microsoft.com/office/drawing/2010/main">
      <mc:Choice Requires="a14">
        <xdr:graphicFrame macro="">
          <xdr:nvGraphicFramePr>
            <xdr:cNvPr id="3" name="Price (USD)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Price (USD) 1"/>
            </a:graphicData>
          </a:graphic>
        </xdr:graphicFrame>
      </mc:Choice>
      <mc:Fallback xmlns:r="http://schemas.openxmlformats.org/officeDocument/2006/relationships" xmlns="">
        <xdr:sp macro="" textlink="">
          <xdr:nvSpPr>
            <xdr:cNvPr id="0" name=""/>
            <xdr:cNvSpPr>
              <a:spLocks noTextEdit="1"/>
            </xdr:cNvSpPr>
          </xdr:nvSpPr>
          <xdr:spPr>
            <a:xfrm>
              <a:off x="11868785" y="681990"/>
              <a:ext cx="1851660" cy="2466975"/>
            </a:xfrm>
            <a:prstGeom prst="rect">
              <a:avLst/>
            </a:prstGeom>
            <a:solidFill>
              <a:prstClr val="white"/>
            </a:solidFill>
            <a:ln w="1">
              <a:solidFill>
                <a:prstClr val="green"/>
              </a:solidFill>
            </a:ln>
          </xdr:spPr>
          <xdr:txBody>
            <a:bodyPr vertOverflow="clip" horzOverflow="clip"/>
            <a:lstStyle/>
            <a:p>
              <a:r>
                <a:rPr sz="1100"/>
                <a:t>This shape represents a slicer. 
Slicers are not supported in this version. Please update to the latest version of WPS Office.</a:t>
              </a:r>
            </a:p>
          </xdr:txBody>
        </xdr:sp>
      </mc:Fallback>
    </mc:AlternateContent>
    <xdr:clientData/>
  </xdr:twoCellAnchor>
  <xdr:twoCellAnchor>
    <xdr:from>
      <xdr:col>2</xdr:col>
      <xdr:colOff>1165860</xdr:colOff>
      <xdr:row>18</xdr:row>
      <xdr:rowOff>72390</xdr:rowOff>
    </xdr:from>
    <xdr:to>
      <xdr:col>10</xdr:col>
      <xdr:colOff>114300</xdr:colOff>
      <xdr:row>33</xdr:row>
      <xdr:rowOff>72390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236220</xdr:colOff>
      <xdr:row>35</xdr:row>
      <xdr:rowOff>34290</xdr:rowOff>
    </xdr:from>
    <xdr:to>
      <xdr:col>10</xdr:col>
      <xdr:colOff>541020</xdr:colOff>
      <xdr:row>50</xdr:row>
      <xdr:rowOff>34290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416034</xdr:colOff>
      <xdr:row>64</xdr:row>
      <xdr:rowOff>38538</xdr:rowOff>
    </xdr:from>
    <xdr:to>
      <xdr:col>13</xdr:col>
      <xdr:colOff>459827</xdr:colOff>
      <xdr:row>79</xdr:row>
      <xdr:rowOff>22772</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180976</xdr:colOff>
      <xdr:row>110</xdr:row>
      <xdr:rowOff>1</xdr:rowOff>
    </xdr:from>
    <xdr:to>
      <xdr:col>22</xdr:col>
      <xdr:colOff>485775</xdr:colOff>
      <xdr:row>118</xdr:row>
      <xdr:rowOff>76201</xdr:rowOff>
    </xdr:to>
    <xdr:sp macro="" textlink="">
      <xdr:nvSpPr>
        <xdr:cNvPr id="10" name="Rectangle 9">
          <a:extLst>
            <a:ext uri="{FF2B5EF4-FFF2-40B4-BE49-F238E27FC236}">
              <a16:creationId xmlns:a16="http://schemas.microsoft.com/office/drawing/2014/main" id="{00000000-0008-0000-0600-00000A000000}"/>
            </a:ext>
          </a:extLst>
        </xdr:cNvPr>
        <xdr:cNvSpPr/>
      </xdr:nvSpPr>
      <xdr:spPr>
        <a:xfrm>
          <a:off x="17722215" y="20116800"/>
          <a:ext cx="2773680" cy="1539240"/>
        </a:xfrm>
        <a:prstGeom prst="rect">
          <a:avLst/>
        </a:prstGeom>
        <a:solidFill>
          <a:srgbClr val="A5F3E0"/>
        </a:solidFill>
        <a:ln>
          <a:solidFill>
            <a:srgbClr val="92D050"/>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r>
            <a:rPr lang="en-IN" sz="3200">
              <a:effectLst/>
            </a:rPr>
            <a:t> </a:t>
          </a:r>
          <a:r>
            <a:rPr lang="en-IN" sz="3200" b="0" i="0" u="none" strike="noStrike">
              <a:solidFill>
                <a:srgbClr val="7030A0"/>
              </a:solidFill>
              <a:effectLst/>
              <a:latin typeface="+mn-lt"/>
              <a:ea typeface="+mn-ea"/>
              <a:cs typeface="+mn-cs"/>
            </a:rPr>
            <a:t>2.04624E+12</a:t>
          </a:r>
          <a:r>
            <a:rPr lang="en-IN" sz="3200">
              <a:solidFill>
                <a:srgbClr val="7030A0"/>
              </a:solidFill>
              <a:effectLst/>
            </a:rPr>
            <a:t> </a:t>
          </a:r>
          <a:endParaRPr lang="en-IN" sz="3200">
            <a:solidFill>
              <a:srgbClr val="7030A0"/>
            </a:solidFill>
          </a:endParaRPr>
        </a:p>
      </xdr:txBody>
    </xdr:sp>
    <xdr:clientData/>
  </xdr:twoCellAnchor>
  <xdr:twoCellAnchor>
    <xdr:from>
      <xdr:col>18</xdr:col>
      <xdr:colOff>361950</xdr:colOff>
      <xdr:row>111</xdr:row>
      <xdr:rowOff>76201</xdr:rowOff>
    </xdr:from>
    <xdr:to>
      <xdr:col>22</xdr:col>
      <xdr:colOff>266700</xdr:colOff>
      <xdr:row>114</xdr:row>
      <xdr:rowOff>28576</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a:off x="17903190" y="20375880"/>
          <a:ext cx="2373630" cy="501015"/>
        </a:xfrm>
        <a:prstGeom prst="rect">
          <a:avLst/>
        </a:prstGeom>
        <a:solidFill>
          <a:schemeClr val="accent6">
            <a:lumMod val="20000"/>
            <a:lumOff val="80000"/>
          </a:schemeClr>
        </a:solidFill>
        <a:ln>
          <a:solidFill>
            <a:srgbClr val="FFFFFF"/>
          </a:solid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0" u="none" strike="noStrike">
              <a:solidFill>
                <a:schemeClr val="accent6">
                  <a:lumMod val="50000"/>
                </a:schemeClr>
              </a:solidFill>
              <a:effectLst/>
              <a:latin typeface="+mn-lt"/>
              <a:ea typeface="+mn-ea"/>
              <a:cs typeface="+mn-cs"/>
            </a:rPr>
            <a:t>Sum of Market Cap</a:t>
          </a:r>
          <a:r>
            <a:rPr lang="en-IN" sz="2000">
              <a:solidFill>
                <a:schemeClr val="accent6">
                  <a:lumMod val="50000"/>
                </a:schemeClr>
              </a:solidFill>
              <a:effectLst/>
            </a:rPr>
            <a:t> </a:t>
          </a:r>
          <a:endParaRPr lang="en-IN" sz="2000">
            <a:solidFill>
              <a:schemeClr val="accent6">
                <a:lumMod val="50000"/>
              </a:schemeClr>
            </a:solidFill>
          </a:endParaRPr>
        </a:p>
      </xdr:txBody>
    </xdr:sp>
    <xdr:clientData/>
  </xdr:twoCellAnchor>
  <xdr:twoCellAnchor editAs="oneCell">
    <xdr:from>
      <xdr:col>16</xdr:col>
      <xdr:colOff>0</xdr:colOff>
      <xdr:row>107</xdr:row>
      <xdr:rowOff>0</xdr:rowOff>
    </xdr:from>
    <xdr:to>
      <xdr:col>18</xdr:col>
      <xdr:colOff>543241</xdr:colOff>
      <xdr:row>108</xdr:row>
      <xdr:rowOff>7620</xdr:rowOff>
    </xdr:to>
    <xdr:pic>
      <xdr:nvPicPr>
        <xdr:cNvPr id="8" name="Picture 7">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a:xfrm>
          <a:off x="14645640" y="19568160"/>
          <a:ext cx="331724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180975</xdr:colOff>
      <xdr:row>120</xdr:row>
      <xdr:rowOff>85725</xdr:rowOff>
    </xdr:from>
    <xdr:to>
      <xdr:col>22</xdr:col>
      <xdr:colOff>485774</xdr:colOff>
      <xdr:row>128</xdr:row>
      <xdr:rowOff>161925</xdr:rowOff>
    </xdr:to>
    <xdr:sp macro="" textlink="">
      <xdr:nvSpPr>
        <xdr:cNvPr id="11" name="Rectangle 10">
          <a:extLst>
            <a:ext uri="{FF2B5EF4-FFF2-40B4-BE49-F238E27FC236}">
              <a16:creationId xmlns:a16="http://schemas.microsoft.com/office/drawing/2014/main" id="{00000000-0008-0000-0600-00000B000000}"/>
            </a:ext>
          </a:extLst>
        </xdr:cNvPr>
        <xdr:cNvSpPr/>
      </xdr:nvSpPr>
      <xdr:spPr>
        <a:xfrm>
          <a:off x="17722215" y="22031325"/>
          <a:ext cx="2773045" cy="1539240"/>
        </a:xfrm>
        <a:prstGeom prst="rect">
          <a:avLst/>
        </a:prstGeom>
        <a:solidFill>
          <a:srgbClr val="A5F3E0"/>
        </a:solidFill>
        <a:ln>
          <a:solidFill>
            <a:srgbClr val="92D050"/>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endParaRPr lang="en-IN" sz="1100" b="0" i="0" u="none" strike="noStrike">
            <a:solidFill>
              <a:schemeClr val="lt1"/>
            </a:solidFill>
            <a:effectLst/>
            <a:latin typeface="+mn-lt"/>
            <a:ea typeface="+mn-ea"/>
            <a:cs typeface="+mn-cs"/>
          </a:endParaRPr>
        </a:p>
        <a:p>
          <a:pPr algn="l"/>
          <a:r>
            <a:rPr lang="en-IN" sz="3200">
              <a:effectLst/>
            </a:rPr>
            <a:t> </a:t>
          </a:r>
          <a:r>
            <a:rPr lang="en-IN" sz="3200" b="0" i="0" u="none" strike="noStrike">
              <a:solidFill>
                <a:srgbClr val="7030A0"/>
              </a:solidFill>
              <a:effectLst/>
              <a:latin typeface="+mn-lt"/>
              <a:ea typeface="+mn-ea"/>
              <a:cs typeface="+mn-cs"/>
            </a:rPr>
            <a:t>75333.41845</a:t>
          </a:r>
          <a:r>
            <a:rPr lang="en-IN" sz="3200">
              <a:solidFill>
                <a:srgbClr val="7030A0"/>
              </a:solidFill>
              <a:effectLst/>
            </a:rPr>
            <a:t> </a:t>
          </a:r>
          <a:endParaRPr lang="en-IN" sz="3200">
            <a:solidFill>
              <a:srgbClr val="7030A0"/>
            </a:solidFill>
          </a:endParaRPr>
        </a:p>
      </xdr:txBody>
    </xdr:sp>
    <xdr:clientData/>
  </xdr:twoCellAnchor>
  <xdr:twoCellAnchor>
    <xdr:from>
      <xdr:col>18</xdr:col>
      <xdr:colOff>361949</xdr:colOff>
      <xdr:row>121</xdr:row>
      <xdr:rowOff>123825</xdr:rowOff>
    </xdr:from>
    <xdr:to>
      <xdr:col>22</xdr:col>
      <xdr:colOff>266699</xdr:colOff>
      <xdr:row>124</xdr:row>
      <xdr:rowOff>76200</xdr:rowOff>
    </xdr:to>
    <xdr:sp macro="" textlink="">
      <xdr:nvSpPr>
        <xdr:cNvPr id="12" name="Rectangle 11">
          <a:extLst>
            <a:ext uri="{FF2B5EF4-FFF2-40B4-BE49-F238E27FC236}">
              <a16:creationId xmlns:a16="http://schemas.microsoft.com/office/drawing/2014/main" id="{00000000-0008-0000-0600-00000C000000}"/>
            </a:ext>
          </a:extLst>
        </xdr:cNvPr>
        <xdr:cNvSpPr/>
      </xdr:nvSpPr>
      <xdr:spPr>
        <a:xfrm>
          <a:off x="17902555" y="22252305"/>
          <a:ext cx="2373630" cy="501015"/>
        </a:xfrm>
        <a:prstGeom prst="rect">
          <a:avLst/>
        </a:prstGeom>
        <a:solidFill>
          <a:schemeClr val="accent6">
            <a:lumMod val="20000"/>
            <a:lumOff val="80000"/>
          </a:schemeClr>
        </a:solidFill>
        <a:ln>
          <a:solidFill>
            <a:srgbClr val="FFFFFF"/>
          </a:solid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0" u="none" strike="noStrike">
              <a:solidFill>
                <a:schemeClr val="accent6">
                  <a:lumMod val="50000"/>
                </a:schemeClr>
              </a:solidFill>
              <a:effectLst/>
              <a:latin typeface="+mn-lt"/>
              <a:ea typeface="+mn-ea"/>
              <a:cs typeface="+mn-cs"/>
            </a:rPr>
            <a:t>Sum of</a:t>
          </a:r>
          <a:r>
            <a:rPr lang="en-IN" sz="2000" b="1" i="0" u="none" strike="noStrike" baseline="0">
              <a:solidFill>
                <a:schemeClr val="accent6">
                  <a:lumMod val="50000"/>
                </a:schemeClr>
              </a:solidFill>
              <a:effectLst/>
              <a:latin typeface="+mn-lt"/>
              <a:ea typeface="+mn-ea"/>
              <a:cs typeface="+mn-cs"/>
            </a:rPr>
            <a:t> Total price </a:t>
          </a:r>
          <a:r>
            <a:rPr lang="en-IN" sz="2000">
              <a:solidFill>
                <a:schemeClr val="accent6">
                  <a:lumMod val="50000"/>
                </a:schemeClr>
              </a:solidFill>
              <a:effectLst/>
            </a:rPr>
            <a:t> </a:t>
          </a:r>
          <a:endParaRPr lang="en-IN" sz="2000">
            <a:solidFill>
              <a:schemeClr val="accent6">
                <a:lumMod val="50000"/>
              </a:schemeClr>
            </a:solidFill>
          </a:endParaRPr>
        </a:p>
      </xdr:txBody>
    </xdr:sp>
    <xdr:clientData/>
  </xdr:twoCellAnchor>
  <xdr:twoCellAnchor>
    <xdr:from>
      <xdr:col>24</xdr:col>
      <xdr:colOff>571500</xdr:colOff>
      <xdr:row>109</xdr:row>
      <xdr:rowOff>123825</xdr:rowOff>
    </xdr:from>
    <xdr:to>
      <xdr:col>29</xdr:col>
      <xdr:colOff>266699</xdr:colOff>
      <xdr:row>118</xdr:row>
      <xdr:rowOff>19050</xdr:rowOff>
    </xdr:to>
    <xdr:sp macro="" textlink="">
      <xdr:nvSpPr>
        <xdr:cNvPr id="13" name="Rectangle 12">
          <a:extLst>
            <a:ext uri="{FF2B5EF4-FFF2-40B4-BE49-F238E27FC236}">
              <a16:creationId xmlns:a16="http://schemas.microsoft.com/office/drawing/2014/main" id="{00000000-0008-0000-0600-00000D000000}"/>
            </a:ext>
          </a:extLst>
        </xdr:cNvPr>
        <xdr:cNvSpPr/>
      </xdr:nvSpPr>
      <xdr:spPr>
        <a:xfrm>
          <a:off x="24232235" y="20057745"/>
          <a:ext cx="2780665" cy="1541145"/>
        </a:xfrm>
        <a:prstGeom prst="rect">
          <a:avLst/>
        </a:prstGeom>
        <a:solidFill>
          <a:srgbClr val="A5F3E0"/>
        </a:solidFill>
        <a:ln>
          <a:solidFill>
            <a:srgbClr val="92D050"/>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i="0" u="none" strike="noStrike">
            <a:solidFill>
              <a:srgbClr val="7030A0"/>
            </a:solidFill>
            <a:effectLst/>
            <a:latin typeface="+mn-lt"/>
            <a:ea typeface="+mn-ea"/>
            <a:cs typeface="+mn-cs"/>
          </a:endParaRPr>
        </a:p>
        <a:p>
          <a:pPr algn="l"/>
          <a:endParaRPr lang="en-IN" sz="1100" b="0" i="0" u="none" strike="noStrike">
            <a:solidFill>
              <a:srgbClr val="7030A0"/>
            </a:solidFill>
            <a:effectLst/>
            <a:latin typeface="+mn-lt"/>
            <a:ea typeface="+mn-ea"/>
            <a:cs typeface="+mn-cs"/>
          </a:endParaRPr>
        </a:p>
        <a:p>
          <a:pPr algn="l"/>
          <a:endParaRPr lang="en-IN" sz="1100" b="0" i="0" u="none" strike="noStrike">
            <a:solidFill>
              <a:srgbClr val="7030A0"/>
            </a:solidFill>
            <a:effectLst/>
            <a:latin typeface="+mn-lt"/>
            <a:ea typeface="+mn-ea"/>
            <a:cs typeface="+mn-cs"/>
          </a:endParaRPr>
        </a:p>
        <a:p>
          <a:pPr algn="l"/>
          <a:endParaRPr lang="en-IN" sz="1100" b="0" i="0" u="none" strike="noStrike">
            <a:solidFill>
              <a:srgbClr val="7030A0"/>
            </a:solidFill>
            <a:effectLst/>
            <a:latin typeface="+mn-lt"/>
            <a:ea typeface="+mn-ea"/>
            <a:cs typeface="+mn-cs"/>
          </a:endParaRPr>
        </a:p>
        <a:p>
          <a:pPr algn="l"/>
          <a:endParaRPr lang="en-IN" sz="1100" b="0" i="0" u="none" strike="noStrike">
            <a:solidFill>
              <a:srgbClr val="7030A0"/>
            </a:solidFill>
            <a:effectLst/>
            <a:latin typeface="+mn-lt"/>
            <a:ea typeface="+mn-ea"/>
            <a:cs typeface="+mn-cs"/>
          </a:endParaRPr>
        </a:p>
        <a:p>
          <a:pPr algn="l"/>
          <a:r>
            <a:rPr lang="en-IN" sz="3600">
              <a:solidFill>
                <a:srgbClr val="7030A0"/>
              </a:solidFill>
              <a:effectLst/>
            </a:rPr>
            <a:t> </a:t>
          </a:r>
          <a:r>
            <a:rPr lang="en-IN" sz="3600" b="0" i="0" u="none" strike="noStrike">
              <a:solidFill>
                <a:srgbClr val="7030A0"/>
              </a:solidFill>
              <a:effectLst/>
              <a:latin typeface="+mn-lt"/>
              <a:ea typeface="+mn-ea"/>
              <a:cs typeface="+mn-cs"/>
            </a:rPr>
            <a:t>5.92318E+15</a:t>
          </a:r>
          <a:r>
            <a:rPr lang="en-IN" sz="3600">
              <a:solidFill>
                <a:srgbClr val="7030A0"/>
              </a:solidFill>
              <a:effectLst/>
            </a:rPr>
            <a:t> </a:t>
          </a:r>
          <a:endParaRPr lang="en-IN" sz="3600">
            <a:solidFill>
              <a:srgbClr val="7030A0"/>
            </a:solidFill>
          </a:endParaRPr>
        </a:p>
      </xdr:txBody>
    </xdr:sp>
    <xdr:clientData/>
  </xdr:twoCellAnchor>
  <xdr:twoCellAnchor>
    <xdr:from>
      <xdr:col>25</xdr:col>
      <xdr:colOff>219074</xdr:colOff>
      <xdr:row>111</xdr:row>
      <xdr:rowOff>47625</xdr:rowOff>
    </xdr:from>
    <xdr:to>
      <xdr:col>29</xdr:col>
      <xdr:colOff>123824</xdr:colOff>
      <xdr:row>114</xdr:row>
      <xdr:rowOff>0</xdr:rowOff>
    </xdr:to>
    <xdr:sp macro="" textlink="">
      <xdr:nvSpPr>
        <xdr:cNvPr id="14" name="Rectangle 13">
          <a:extLst>
            <a:ext uri="{FF2B5EF4-FFF2-40B4-BE49-F238E27FC236}">
              <a16:creationId xmlns:a16="http://schemas.microsoft.com/office/drawing/2014/main" id="{00000000-0008-0000-0600-00000E000000}"/>
            </a:ext>
          </a:extLst>
        </xdr:cNvPr>
        <xdr:cNvSpPr/>
      </xdr:nvSpPr>
      <xdr:spPr>
        <a:xfrm>
          <a:off x="24496395" y="20347305"/>
          <a:ext cx="2373630" cy="501015"/>
        </a:xfrm>
        <a:prstGeom prst="rect">
          <a:avLst/>
        </a:prstGeom>
        <a:solidFill>
          <a:schemeClr val="accent6">
            <a:lumMod val="20000"/>
            <a:lumOff val="80000"/>
          </a:schemeClr>
        </a:solidFill>
        <a:ln>
          <a:solidFill>
            <a:srgbClr val="FFFFFF"/>
          </a:solid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i="0" u="none" strike="noStrike">
              <a:solidFill>
                <a:schemeClr val="accent6">
                  <a:lumMod val="50000"/>
                </a:schemeClr>
              </a:solidFill>
              <a:effectLst/>
              <a:latin typeface="+mn-lt"/>
              <a:ea typeface="+mn-ea"/>
              <a:cs typeface="+mn-cs"/>
            </a:rPr>
            <a:t>Sum of Circulating Supply</a:t>
          </a:r>
          <a:r>
            <a:rPr lang="en-IN" sz="1600">
              <a:solidFill>
                <a:schemeClr val="accent6">
                  <a:lumMod val="50000"/>
                </a:schemeClr>
              </a:solidFill>
              <a:effectLst/>
            </a:rPr>
            <a:t> </a:t>
          </a:r>
          <a:endParaRPr lang="en-IN" sz="1600">
            <a:solidFill>
              <a:schemeClr val="accent6">
                <a:lumMod val="50000"/>
              </a:schemeClr>
            </a:solidFill>
          </a:endParaRPr>
        </a:p>
      </xdr:txBody>
    </xdr:sp>
    <xdr:clientData/>
  </xdr:twoCellAnchor>
  <xdr:twoCellAnchor>
    <xdr:from>
      <xdr:col>25</xdr:col>
      <xdr:colOff>28575</xdr:colOff>
      <xdr:row>122</xdr:row>
      <xdr:rowOff>66675</xdr:rowOff>
    </xdr:from>
    <xdr:to>
      <xdr:col>29</xdr:col>
      <xdr:colOff>333374</xdr:colOff>
      <xdr:row>131</xdr:row>
      <xdr:rowOff>66676</xdr:rowOff>
    </xdr:to>
    <xdr:sp macro="" textlink="">
      <xdr:nvSpPr>
        <xdr:cNvPr id="15" name="Rectangle 14">
          <a:extLst>
            <a:ext uri="{FF2B5EF4-FFF2-40B4-BE49-F238E27FC236}">
              <a16:creationId xmlns:a16="http://schemas.microsoft.com/office/drawing/2014/main" id="{00000000-0008-0000-0600-00000F000000}"/>
            </a:ext>
          </a:extLst>
        </xdr:cNvPr>
        <xdr:cNvSpPr/>
      </xdr:nvSpPr>
      <xdr:spPr>
        <a:xfrm>
          <a:off x="24306530" y="22378035"/>
          <a:ext cx="2773045" cy="1645920"/>
        </a:xfrm>
        <a:prstGeom prst="rect">
          <a:avLst/>
        </a:prstGeom>
        <a:solidFill>
          <a:srgbClr val="A5F3E0"/>
        </a:solidFill>
        <a:ln>
          <a:solidFill>
            <a:srgbClr val="92D050"/>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0" i="0" u="none" strike="noStrike" baseline="0">
              <a:solidFill>
                <a:srgbClr val="7030A0"/>
              </a:solidFill>
              <a:effectLst/>
              <a:latin typeface="+mn-lt"/>
              <a:ea typeface="+mn-ea"/>
              <a:cs typeface="+mn-cs"/>
            </a:rPr>
            <a:t>    </a:t>
          </a:r>
        </a:p>
        <a:p>
          <a:pPr algn="l"/>
          <a:r>
            <a:rPr lang="en-IN" sz="3200" b="0" i="0" u="none" strike="noStrike" baseline="0">
              <a:solidFill>
                <a:srgbClr val="7030A0"/>
              </a:solidFill>
              <a:effectLst/>
              <a:latin typeface="+mn-lt"/>
              <a:ea typeface="+mn-ea"/>
              <a:cs typeface="+mn-cs"/>
            </a:rPr>
            <a:t>         </a:t>
          </a:r>
        </a:p>
        <a:p>
          <a:pPr algn="l"/>
          <a:r>
            <a:rPr lang="en-IN" sz="3200" b="0" i="0" u="none" strike="noStrike" baseline="0">
              <a:solidFill>
                <a:srgbClr val="7030A0"/>
              </a:solidFill>
              <a:effectLst/>
              <a:latin typeface="+mn-lt"/>
              <a:ea typeface="+mn-ea"/>
              <a:cs typeface="+mn-cs"/>
            </a:rPr>
            <a:t>        </a:t>
          </a:r>
          <a:r>
            <a:rPr lang="en-IN" sz="3200" b="0" i="0" u="none" strike="noStrike">
              <a:solidFill>
                <a:srgbClr val="7030A0"/>
              </a:solidFill>
              <a:effectLst/>
              <a:latin typeface="+mn-lt"/>
              <a:ea typeface="+mn-ea"/>
              <a:cs typeface="+mn-cs"/>
            </a:rPr>
            <a:t>Bitcoin</a:t>
          </a:r>
          <a:r>
            <a:rPr lang="en-IN" sz="3200">
              <a:solidFill>
                <a:srgbClr val="7030A0"/>
              </a:solidFill>
              <a:effectLst/>
            </a:rPr>
            <a:t> </a:t>
          </a:r>
          <a:endParaRPr lang="en-IN" sz="3200">
            <a:solidFill>
              <a:srgbClr val="7030A0"/>
            </a:solidFill>
          </a:endParaRPr>
        </a:p>
      </xdr:txBody>
    </xdr:sp>
    <xdr:clientData/>
  </xdr:twoCellAnchor>
  <xdr:twoCellAnchor>
    <xdr:from>
      <xdr:col>25</xdr:col>
      <xdr:colOff>247649</xdr:colOff>
      <xdr:row>124</xdr:row>
      <xdr:rowOff>28575</xdr:rowOff>
    </xdr:from>
    <xdr:to>
      <xdr:col>29</xdr:col>
      <xdr:colOff>152399</xdr:colOff>
      <xdr:row>126</xdr:row>
      <xdr:rowOff>161925</xdr:rowOff>
    </xdr:to>
    <xdr:sp macro="" textlink="">
      <xdr:nvSpPr>
        <xdr:cNvPr id="16" name="Rectangle 15">
          <a:extLst>
            <a:ext uri="{FF2B5EF4-FFF2-40B4-BE49-F238E27FC236}">
              <a16:creationId xmlns:a16="http://schemas.microsoft.com/office/drawing/2014/main" id="{00000000-0008-0000-0600-000010000000}"/>
            </a:ext>
          </a:extLst>
        </xdr:cNvPr>
        <xdr:cNvSpPr/>
      </xdr:nvSpPr>
      <xdr:spPr>
        <a:xfrm>
          <a:off x="24524970" y="22705695"/>
          <a:ext cx="2373630" cy="499110"/>
        </a:xfrm>
        <a:prstGeom prst="rect">
          <a:avLst/>
        </a:prstGeom>
        <a:solidFill>
          <a:schemeClr val="accent6">
            <a:lumMod val="20000"/>
            <a:lumOff val="80000"/>
          </a:schemeClr>
        </a:solidFill>
        <a:ln>
          <a:solidFill>
            <a:srgbClr val="FFFFFF"/>
          </a:solid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0" u="none" strike="noStrike">
              <a:solidFill>
                <a:schemeClr val="accent6">
                  <a:lumMod val="50000"/>
                </a:schemeClr>
              </a:solidFill>
              <a:effectLst/>
              <a:latin typeface="+mn-lt"/>
              <a:ea typeface="+mn-ea"/>
              <a:cs typeface="+mn-cs"/>
            </a:rPr>
            <a:t>Highest</a:t>
          </a:r>
          <a:r>
            <a:rPr lang="en-IN" sz="2000" b="1" i="0" u="none" strike="noStrike" baseline="0">
              <a:solidFill>
                <a:schemeClr val="accent6">
                  <a:lumMod val="50000"/>
                </a:schemeClr>
              </a:solidFill>
              <a:effectLst/>
              <a:latin typeface="+mn-lt"/>
              <a:ea typeface="+mn-ea"/>
              <a:cs typeface="+mn-cs"/>
            </a:rPr>
            <a:t> Price Coin</a:t>
          </a:r>
          <a:r>
            <a:rPr lang="en-IN" sz="2000">
              <a:solidFill>
                <a:schemeClr val="accent6">
                  <a:lumMod val="50000"/>
                </a:schemeClr>
              </a:solidFill>
              <a:effectLst/>
            </a:rPr>
            <a:t> </a:t>
          </a:r>
          <a:endParaRPr lang="en-IN" sz="2000">
            <a:solidFill>
              <a:schemeClr val="accent6">
                <a:lumMod val="50000"/>
              </a:schemeClr>
            </a:solidFill>
          </a:endParaRPr>
        </a:p>
      </xdr:txBody>
    </xdr:sp>
    <xdr:clientData/>
  </xdr:twoCellAnchor>
  <xdr:twoCellAnchor>
    <xdr:from>
      <xdr:col>15</xdr:col>
      <xdr:colOff>181429</xdr:colOff>
      <xdr:row>123</xdr:row>
      <xdr:rowOff>9525</xdr:rowOff>
    </xdr:from>
    <xdr:to>
      <xdr:col>17</xdr:col>
      <xdr:colOff>589643</xdr:colOff>
      <xdr:row>132</xdr:row>
      <xdr:rowOff>28575</xdr:rowOff>
    </xdr:to>
    <xdr:sp macro="" textlink="">
      <xdr:nvSpPr>
        <xdr:cNvPr id="17" name="Rectangle 16">
          <a:extLst>
            <a:ext uri="{FF2B5EF4-FFF2-40B4-BE49-F238E27FC236}">
              <a16:creationId xmlns:a16="http://schemas.microsoft.com/office/drawing/2014/main" id="{00000000-0008-0000-0600-000011000000}"/>
            </a:ext>
          </a:extLst>
        </xdr:cNvPr>
        <xdr:cNvSpPr/>
      </xdr:nvSpPr>
      <xdr:spPr>
        <a:xfrm>
          <a:off x="14209395" y="22503765"/>
          <a:ext cx="2732405" cy="1664970"/>
        </a:xfrm>
        <a:prstGeom prst="rect">
          <a:avLst/>
        </a:prstGeom>
        <a:solidFill>
          <a:srgbClr val="A5F3E0"/>
        </a:solidFill>
        <a:ln>
          <a:solidFill>
            <a:srgbClr val="92D050"/>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a:solidFill>
                <a:srgbClr val="7030A0"/>
              </a:solidFill>
              <a:effectLst/>
            </a:rPr>
            <a:t> </a:t>
          </a:r>
        </a:p>
        <a:p>
          <a:pPr algn="l"/>
          <a:r>
            <a:rPr lang="en-IN" sz="3200" b="0" i="0" u="none" strike="noStrike">
              <a:solidFill>
                <a:srgbClr val="7030A0"/>
              </a:solidFill>
              <a:effectLst/>
              <a:latin typeface="+mn-lt"/>
              <a:ea typeface="+mn-ea"/>
              <a:cs typeface="+mn-cs"/>
            </a:rPr>
            <a:t> </a:t>
          </a:r>
        </a:p>
        <a:p>
          <a:pPr algn="l"/>
          <a:r>
            <a:rPr lang="en-IN" sz="3200" b="0" i="0" u="none" strike="noStrike">
              <a:solidFill>
                <a:srgbClr val="7030A0"/>
              </a:solidFill>
              <a:effectLst/>
              <a:latin typeface="+mn-lt"/>
              <a:ea typeface="+mn-ea"/>
              <a:cs typeface="+mn-cs"/>
            </a:rPr>
            <a:t>      62905.02</a:t>
          </a:r>
          <a:r>
            <a:rPr lang="en-IN" sz="3200">
              <a:solidFill>
                <a:srgbClr val="7030A0"/>
              </a:solidFill>
              <a:effectLst/>
            </a:rPr>
            <a:t> </a:t>
          </a:r>
          <a:endParaRPr lang="en-IN" sz="3200">
            <a:solidFill>
              <a:srgbClr val="7030A0"/>
            </a:solidFill>
          </a:endParaRPr>
        </a:p>
      </xdr:txBody>
    </xdr:sp>
    <xdr:clientData/>
  </xdr:twoCellAnchor>
  <xdr:twoCellAnchor>
    <xdr:from>
      <xdr:col>15</xdr:col>
      <xdr:colOff>471714</xdr:colOff>
      <xdr:row>124</xdr:row>
      <xdr:rowOff>94796</xdr:rowOff>
    </xdr:from>
    <xdr:to>
      <xdr:col>17</xdr:col>
      <xdr:colOff>325029</xdr:colOff>
      <xdr:row>127</xdr:row>
      <xdr:rowOff>47171</xdr:rowOff>
    </xdr:to>
    <xdr:sp macro="" textlink="">
      <xdr:nvSpPr>
        <xdr:cNvPr id="18" name="Rectangle 17">
          <a:extLst>
            <a:ext uri="{FF2B5EF4-FFF2-40B4-BE49-F238E27FC236}">
              <a16:creationId xmlns:a16="http://schemas.microsoft.com/office/drawing/2014/main" id="{00000000-0008-0000-0600-000012000000}"/>
            </a:ext>
          </a:extLst>
        </xdr:cNvPr>
        <xdr:cNvSpPr/>
      </xdr:nvSpPr>
      <xdr:spPr>
        <a:xfrm>
          <a:off x="14499590" y="22771735"/>
          <a:ext cx="2177415" cy="501015"/>
        </a:xfrm>
        <a:prstGeom prst="rect">
          <a:avLst/>
        </a:prstGeom>
        <a:solidFill>
          <a:schemeClr val="accent6">
            <a:lumMod val="20000"/>
            <a:lumOff val="80000"/>
          </a:schemeClr>
        </a:solidFill>
        <a:ln>
          <a:solidFill>
            <a:srgbClr val="FFFFFF"/>
          </a:solid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i="0" u="none" strike="noStrike">
              <a:solidFill>
                <a:schemeClr val="accent6">
                  <a:lumMod val="50000"/>
                </a:schemeClr>
              </a:solidFill>
              <a:effectLst/>
              <a:latin typeface="+mn-lt"/>
              <a:ea typeface="+mn-ea"/>
              <a:cs typeface="+mn-cs"/>
            </a:rPr>
            <a:t>Highest</a:t>
          </a:r>
          <a:r>
            <a:rPr lang="en-IN" sz="2000" b="1" i="0" u="none" strike="noStrike" baseline="0">
              <a:solidFill>
                <a:schemeClr val="accent6">
                  <a:lumMod val="50000"/>
                </a:schemeClr>
              </a:solidFill>
              <a:effectLst/>
              <a:latin typeface="+mn-lt"/>
              <a:ea typeface="+mn-ea"/>
              <a:cs typeface="+mn-cs"/>
            </a:rPr>
            <a:t> Price</a:t>
          </a:r>
          <a:r>
            <a:rPr lang="en-IN" sz="2000">
              <a:solidFill>
                <a:schemeClr val="accent6">
                  <a:lumMod val="50000"/>
                </a:schemeClr>
              </a:solidFill>
              <a:effectLst/>
            </a:rPr>
            <a:t> </a:t>
          </a:r>
          <a:endParaRPr lang="en-IN" sz="2000">
            <a:solidFill>
              <a:schemeClr val="accent6">
                <a:lumMod val="50000"/>
              </a:schemeClr>
            </a:solidFill>
          </a:endParaRPr>
        </a:p>
      </xdr:txBody>
    </xdr:sp>
    <xdr:clientData/>
  </xdr:twoCellAnchor>
  <xdr:twoCellAnchor editAs="oneCell">
    <xdr:from>
      <xdr:col>15</xdr:col>
      <xdr:colOff>0</xdr:colOff>
      <xdr:row>115</xdr:row>
      <xdr:rowOff>0</xdr:rowOff>
    </xdr:from>
    <xdr:to>
      <xdr:col>16</xdr:col>
      <xdr:colOff>7618</xdr:colOff>
      <xdr:row>116</xdr:row>
      <xdr:rowOff>7620</xdr:rowOff>
    </xdr:to>
    <xdr:pic>
      <xdr:nvPicPr>
        <xdr:cNvPr id="19" name="Picture 18">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a:xfrm>
          <a:off x="14028420" y="21031200"/>
          <a:ext cx="62420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381000</xdr:colOff>
      <xdr:row>5</xdr:row>
      <xdr:rowOff>45721</xdr:rowOff>
    </xdr:from>
    <xdr:to>
      <xdr:col>8</xdr:col>
      <xdr:colOff>381000</xdr:colOff>
      <xdr:row>14</xdr:row>
      <xdr:rowOff>152401</xdr:rowOff>
    </xdr:to>
    <mc:AlternateContent xmlns:mc="http://schemas.openxmlformats.org/markup-compatibility/2006" xmlns:a14="http://schemas.microsoft.com/office/drawing/2010/main">
      <mc:Choice Requires="a14">
        <xdr:graphicFrame macro="">
          <xdr:nvGraphicFramePr>
            <xdr:cNvPr id="3" name="Price Range">
              <a:extLst>
                <a:ext uri="{FF2B5EF4-FFF2-40B4-BE49-F238E27FC236}">
                  <a16:creationId xmlns:a16="http://schemas.microsoft.com/office/drawing/2014/main" id="{49CE1C1C-7FEA-02CB-57F1-1A764A7B26FE}"/>
                </a:ext>
              </a:extLst>
            </xdr:cNvPr>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8260080" y="960121"/>
              <a:ext cx="1828800" cy="1752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NEHITH" refreshedDate="46273.548680208332" createdVersion="8" refreshedVersion="8" minRefreshableVersion="3" recordCount="300" xr:uid="{07D21405-8ADE-4951-8A29-6BE0FE93FBE4}">
  <cacheSource type="worksheet">
    <worksheetSource ref="A1:I301" sheet="Task5_datatable"/>
  </cacheSource>
  <cacheFields count="9">
    <cacheField name="Coin Name" numFmtId="0">
      <sharedItems count="300">
        <s v="CoinMarketCap 20 Index DTF"/>
        <s v="Bitcoin"/>
        <s v="Ethereum"/>
        <s v="Tether"/>
        <s v="BNB"/>
        <s v="XRP"/>
        <s v="USDC"/>
        <s v="Solana"/>
        <s v="TRON"/>
        <s v="Hyperliquid"/>
        <s v="Dogecoin"/>
        <s v="Zcash"/>
        <s v="Chainlink"/>
        <s v="UNUS SED LEO"/>
        <s v="Monero"/>
        <s v="Gnosis"/>
        <s v="Lido DAO"/>
        <s v="Pendle"/>
        <s v="Terra Classic"/>
        <s v="Pieverse"/>
        <s v="Jito"/>
        <s v="BitTorrent [New]"/>
        <s v="Bonk"/>
        <s v="Falcon Finance"/>
        <s v="AINFT"/>
        <s v="Plasma"/>
        <s v="Immutable"/>
        <s v="Conflux"/>
        <s v="FLOKI"/>
        <s v="Tezos"/>
        <s v="Rain"/>
        <s v="Decimal"/>
        <s v="Ondo US Dollar Yield"/>
        <s v="HTX"/>
        <s v="Bitway"/>
        <s v="USDGO"/>
        <s v="Falcon USD"/>
        <s v="c8ntinuum"/>
        <s v="Jupiter Perps LP"/>
        <s v="GHO"/>
        <s v="Beldex"/>
        <s v="Usual USD"/>
        <s v="USDai"/>
        <s v="Solstice USX"/>
        <s v="Unibase"/>
        <s v="Arrow Finance"/>
        <s v="Diem"/>
        <s v="ECOMI"/>
        <s v="Fidelity Digital Dollar"/>
        <s v="Wormhole"/>
        <s v="NEXPACE"/>
        <s v="BNB Attestation Service"/>
        <s v="Popcat (SOL)"/>
        <s v="would"/>
        <s v="Jimothy The Raccoon"/>
        <s v="Targon"/>
        <s v="Dohrnii"/>
        <s v="StandX DUSD"/>
        <s v="Venus BUSD"/>
        <s v="Qubic"/>
        <s v="Mask Network"/>
        <s v="Gravity"/>
        <s v="River"/>
        <s v="Audiera"/>
        <s v="Magma Finance"/>
        <s v="Locus Chain"/>
        <s v="Aztec"/>
        <s v="Verge"/>
        <s v="Keeta"/>
        <s v="ssv.network"/>
        <s v="Lombard"/>
        <s v="Frankencoin"/>
        <s v="ApeX Protocol"/>
        <s v="Threshold"/>
        <s v="Notcoin"/>
        <s v="templar"/>
        <s v="Vana"/>
        <s v="LUSD"/>
        <s v="World Mobile Token"/>
        <s v="Lista DAO"/>
        <s v="ZORA"/>
        <s v="iota"/>
        <s v="TerraClassicUSD"/>
        <s v="EthereumPoW"/>
        <s v="Waves"/>
        <s v="Fabric Protocol"/>
        <s v="Sahara AI"/>
        <s v="Anoma"/>
        <s v="Status"/>
        <s v="DEAPcoin"/>
        <s v="B3 (Base)"/>
        <s v="GMT"/>
        <s v="Catizen"/>
        <s v="Block Street"/>
        <s v="Isiklar Coin"/>
        <s v="Usual"/>
        <s v="Pundi X (New)"/>
        <s v="Stargate Finance"/>
        <s v="Bounce Token"/>
        <s v="saffron.finance"/>
        <s v="State Street SPDR S&amp;P 500 ETF Tokenized bStocks"/>
        <s v="Metis"/>
        <s v="WOO"/>
        <s v="AO"/>
        <s v="Ergo"/>
        <s v="MAX Exchange Token"/>
        <s v="Young"/>
        <s v="STBL"/>
        <s v="BitMart Token"/>
        <s v="Goldgr"/>
        <s v="Measurable Data Token"/>
        <s v="Enso"/>
        <s v="Cobak Token"/>
        <s v="Codatta"/>
        <s v="Tether Gold Tokens"/>
        <s v="Spell Token"/>
        <s v="Namecoin"/>
        <s v="Pocket Network"/>
        <s v="NaoX Protocol"/>
        <s v="Eesee"/>
        <s v="Corn"/>
        <s v="Mey Network"/>
        <s v="Pepecoin"/>
        <s v="AEON"/>
        <s v="Intel Tokenized Stock (Reality)"/>
        <s v="Infinex"/>
        <s v="Yooldo"/>
        <s v="SoFi Technologies Tokenized Stock (Ondo)"/>
        <s v="Boundless"/>
        <s v="Fluent"/>
        <s v="Solv Protocol"/>
        <s v="GYEN"/>
        <s v="ROGin AI"/>
        <s v="Firo"/>
        <s v="MovieBloc"/>
        <s v="DIAM"/>
        <s v="RAMP"/>
        <s v="Dolomite"/>
        <s v="Limitless"/>
        <s v="Billy (Bitcoin)"/>
        <s v="Creta World"/>
        <s v="Heima"/>
        <s v="SuperRare"/>
        <s v="AriaAI"/>
        <s v="MAGIC肘NTERNET筆ONEY (Bitcoin)"/>
        <s v="Squid"/>
        <s v="TG Casino"/>
        <s v="Act I : The AI Prophecy"/>
        <s v="Ambire Wallet"/>
        <s v="GUNZ"/>
        <s v="ANyONe Protocol"/>
        <s v="Pythia"/>
        <s v="Balancer"/>
        <s v="Paris Saint-Germain Fan Token"/>
        <s v="Meta tokenized stock (xStock)"/>
        <s v="Towns"/>
        <s v="Groestlcoin"/>
        <s v="Apple Tokenized Stock (Ondo)"/>
        <s v="Echelon Prime"/>
        <s v="Peercoin"/>
        <s v="ResearchCoin"/>
        <s v="Nebius Tokenized bStocks"/>
        <s v="Stader"/>
        <s v="ULTILAND"/>
        <s v="inSure DeFi"/>
        <s v="Bitgert"/>
        <s v="Mansory"/>
        <s v="WazirX"/>
        <s v="SUPRA"/>
        <s v="McDull"/>
        <s v="Edel"/>
        <s v="Avici"/>
        <s v="Elastos"/>
        <s v="Portal To Bitcoin"/>
        <s v="Micron Technology Inc tokenized stock (Backpack)"/>
        <s v="MARBLEX"/>
        <s v="ELYSIA"/>
        <s v="NAVI Protocol"/>
        <s v="PayAI Network"/>
        <s v="district0x"/>
        <s v="Pups (Bitcoin)"/>
        <s v="Partisia Blockchain"/>
        <s v="Juventus Fan Token"/>
        <s v="AMO Coin"/>
        <s v="S.S. Lazio Fan Token"/>
        <s v="FAR Labs"/>
        <s v="Manchester City Fan Token"/>
        <s v="RHEA Finance"/>
        <s v="Bytecoin"/>
        <s v="CyberLeek"/>
        <s v="Kryll"/>
        <s v="Lingo"/>
        <s v="PoP Planet"/>
        <s v="Direxion Semiconductor Bull 3X tokenized ETF (xStock)"/>
        <s v="Mitosis"/>
        <s v="Truth"/>
        <s v="Arsenal Fan Token"/>
        <s v="HOPR"/>
        <s v="???"/>
        <s v="Hivemapper"/>
        <s v="AMD Tokenised Stock (xStock)"/>
        <s v="VitaDAO"/>
        <s v="Yee Token"/>
        <s v="Wexo"/>
        <s v="PlatON"/>
        <s v="TrustSwap"/>
        <s v="MetFi"/>
        <s v="Vertcoin"/>
        <s v="Aragon"/>
        <s v="Bitrue Coin"/>
        <s v="League of Traders"/>
        <s v="Advanced Micro Devices Tokenized bStocks"/>
        <s v="Grin"/>
        <s v="iShares Core S&amp;P MidCap Tokenized ETF (Ondo)"/>
        <s v="Odos"/>
        <s v="Games for a Living"/>
        <s v="ZenChain"/>
        <s v="Vanar Chain"/>
        <s v="PeiPei (ETH)"/>
        <s v="Star Atlas DAO"/>
        <s v="Aleph Zero"/>
        <s v="Avalon Labs (AVL)"/>
        <s v="Cratos"/>
        <s v="Shido Network"/>
        <s v="Shark Cat"/>
        <s v="Pons"/>
        <s v="Novo Nordisk Tokenized Stock (Ondo)"/>
        <s v="Immunefi"/>
        <s v="Not Pixel"/>
        <s v="World of Dypians"/>
        <s v="Global X DRAM ETF Tokenized Stock (Reality)"/>
        <s v="Oracle tokenized stock (xStock)"/>
        <s v="Mythos"/>
        <s v="Validity"/>
        <s v="Aleph Cloud"/>
        <s v="Russell"/>
        <s v="Zeus Network"/>
        <s v="CEEK VR"/>
        <s v="OneFootball Credits"/>
        <s v="REI Network"/>
        <s v="Blockchain Foundation for Innovation &amp; Collaboration"/>
        <s v="WINR Protocol"/>
        <s v="ProShares UltraPro QQQ Tokenized bStocks"/>
        <s v="The Official 67 Coin"/>
        <s v="Tether EURt"/>
        <s v="ﾆternity"/>
        <s v="Nya"/>
        <s v="BioPassport Token"/>
        <s v="DAR Open Network"/>
        <s v="Verasity"/>
        <s v="Scamcoin"/>
        <s v="IREN Limited Tokenized bStocks"/>
        <s v="BitMine Immersion Technologies Tokenized Stock (Ondo)"/>
        <s v="XSwap"/>
        <s v="Nokia Tokenized bStocks"/>
        <s v="Ribbon Finance"/>
        <s v="Bitcoin Silver AI"/>
        <s v="Ctomorrow Platform"/>
        <s v="Nodle"/>
        <s v="Capricorn"/>
        <s v="NetMind Token"/>
        <s v="Apple Tokenized Stock (Robinhood)"/>
        <s v="Hoppy (hoppy.vip)"/>
        <s v="Torch of Liberty"/>
        <s v="Vader"/>
        <s v="GameFi.org"/>
        <s v="iMe Lab"/>
        <s v="OciCat"/>
        <s v="ArchLoot"/>
        <s v="SK Hynix Tokenized Stock (Ondo)"/>
        <s v="WELF"/>
        <s v="SLIMEX"/>
        <s v="Zyfai"/>
        <s v="AllUnity EUR"/>
        <s v="Invesco QQQ Tokenized ETF (Robinhood)"/>
        <s v="Costco Tokenized Stock (Ondo)"/>
        <s v="Free Joby"/>
        <s v="Dell Technologies Inc. tokenized stock (xStock)"/>
        <s v="Dejitaru Tsuka"/>
        <s v="TOKPIE"/>
        <s v="SHPING"/>
        <s v="RENEC"/>
        <s v="ScPrime"/>
        <s v="Chickencoin"/>
        <s v="RICE AI"/>
        <s v="RigoBlock"/>
        <s v="Skey Network"/>
        <s v="Cashaa"/>
        <s v="Nokia Tokenized Stock (Ondo)"/>
        <s v="AST SpaceMobile Tokenized bStocks"/>
        <s v="Morpheus.Network"/>
        <s v="Franklin US Large Cap Multifactor Index Tokenized ETF (Ondo)"/>
        <s v="Disney Tokenized Stock (Ondo)"/>
        <s v="Pandora"/>
        <s v="Shrapnel"/>
        <s v="Nexera"/>
        <s v="BitCore"/>
        <s v="W Coin"/>
        <s v="Trias Token (New)"/>
        <s v="Pwease"/>
      </sharedItems>
    </cacheField>
    <cacheField name="Symbol" numFmtId="0">
      <sharedItems containsMixedTypes="1" containsNumber="1" containsInteger="1" minValue="67" maxValue="67"/>
    </cacheField>
    <cacheField name="Price (USD)" numFmtId="0">
      <sharedItems containsMixedTypes="1" containsNumber="1" minValue="1.2689999999999999E-4" maxValue="80509.13"/>
    </cacheField>
    <cacheField name="1h Change (%)" numFmtId="0">
      <sharedItems containsSemiMixedTypes="0" containsString="0" containsNumber="1" minValue="0" maxValue="45.45"/>
    </cacheField>
    <cacheField name="24h Change (%" numFmtId="0">
      <sharedItems containsSemiMixedTypes="0" containsString="0" containsNumber="1" minValue="0" maxValue="150.69"/>
    </cacheField>
    <cacheField name="7d Change (%)" numFmtId="0">
      <sharedItems containsSemiMixedTypes="0" containsString="0" containsNumber="1" minValue="0" maxValue="25536.22"/>
    </cacheField>
    <cacheField name="7-Day Price" numFmtId="0">
      <sharedItems containsSemiMixedTypes="0" containsString="0" containsNumber="1" minValue="2.5485041932657405E-7" maxValue="3070.5236460717015"/>
    </cacheField>
    <cacheField name="24-Hour Price" numFmtId="0">
      <sharedItems containsMixedTypes="1" containsNumber="1" minValue="2.8551020408163266E-5" maxValue="4875.6947368421052"/>
    </cacheField>
    <cacheField name="Price Range" numFmtId="0">
      <sharedItems count="7">
        <s v="&gt;$50"/>
        <s v="$0.5-$5"/>
        <s v="$0.05-$0.5"/>
        <s v="$5-$50"/>
        <s v="$0-$0.05"/>
        <s v="Above $5" u="1"/>
        <s v="$0-$5"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NEHITH" refreshedDate="46273.548681481479" createdVersion="8" refreshedVersion="8" minRefreshableVersion="3" recordCount="300" xr:uid="{00000000-000A-0000-FFFF-FFFF00000000}">
  <cacheSource type="worksheet">
    <worksheetSource name="Table2"/>
  </cacheSource>
  <cacheFields count="10">
    <cacheField name="Coin Name" numFmtId="0">
      <sharedItems count="300">
        <s v="Adappter Token"/>
        <s v="Adshares"/>
        <s v="Advanced Micro Devices Tokenized bStocks"/>
        <s v="AINFT"/>
        <s v="AITECH Cloud Network"/>
        <s v="AIVille Governance Token"/>
        <s v="Aleph Zero"/>
        <s v="Alibaba Tokenized bStocks"/>
        <s v="Alibaba Tokenized Stock (Ondo)"/>
        <s v="Allora"/>
        <s v="Alltoscan"/>
        <s v="Amazon Tokenized bStocks"/>
        <s v="Ampleforth Governance Token"/>
        <s v="Anoma"/>
        <s v="Applied Optoelectronics Tokenized bStocks"/>
        <s v="aPriori"/>
        <s v="ARAI"/>
        <s v="Araracoin"/>
        <s v="Argentine Football Association Fan Token"/>
        <s v="AS Roma Fan Token"/>
        <s v="AST SpaceMobile Tokenized Stock (Ondo)"/>
        <s v="Asteroid Shiba"/>
        <s v="Aurora"/>
        <s v="AVA"/>
        <s v="AXT Tokenized bStocks"/>
        <s v="Baby Doge Coin"/>
        <s v="Balancer"/>
        <s v="Bancor"/>
        <s v="Beldex"/>
        <s v="Bellscoin"/>
        <s v="Billions Network"/>
        <s v="BioPassport Token"/>
        <s v="Bitcicoin"/>
        <s v="Bitcoin"/>
        <s v="Bitcoin Diamond"/>
        <s v="Bitcoin SV"/>
        <s v="BitDCA"/>
        <s v="Bitlight"/>
        <s v="BitTorrent [New]"/>
        <s v="Blast"/>
        <s v="Bless"/>
        <s v="Block Street"/>
        <s v="Blocksquare Token"/>
        <s v="Bloom Energy Tokenized bStocks"/>
        <s v="BNB"/>
        <s v="Boba Network"/>
        <s v="Bonk"/>
        <s v="Book of Ethereum"/>
        <s v="BORGY"/>
        <s v="Brett (Based)"/>
        <s v="Broadcom Tokenized Stock (Ondo)"/>
        <s v="Bytecoin"/>
        <s v="c8ntinuum"/>
        <s v="Cardano"/>
        <s v="CateCoin"/>
        <s v="CatSlap"/>
        <s v="Celo"/>
        <s v="CESS Network"/>
        <s v="Chamber"/>
        <s v="Chia"/>
        <s v="Clash of Lilliput"/>
        <s v="Coinbase Tokenized Stock (Reality)"/>
        <s v="CoinMarketCap 20 Index DTF"/>
        <s v="Conflux"/>
        <s v="Creditcoin"/>
        <s v="Cypherium"/>
        <s v="DACXI"/>
        <s v="Decentrawood"/>
        <s v="Decimal"/>
        <s v="Decred"/>
        <s v="DeepBrain Chain"/>
        <s v="DeepNode"/>
        <s v="Defactor"/>
        <s v="Djed"/>
        <s v="Dogecoin"/>
        <s v="Dolomite"/>
        <s v="Dora Factory"/>
        <s v="DOWGE"/>
        <s v="Drift"/>
        <s v="Ducky"/>
        <s v="Dusk"/>
        <s v="EarthMeta"/>
        <s v="Edel"/>
        <s v="Elastos"/>
        <s v="Ethereum"/>
        <s v="Eurite"/>
        <s v="Falcon USD"/>
        <s v="Fartboy"/>
        <s v="FC Barcelona Fan Token"/>
        <s v="Firo"/>
        <s v="Flying Tulip"/>
        <s v="Forest Protocol"/>
        <s v="Fulcrom Finance"/>
        <s v="FUNToken"/>
        <s v="GAIB"/>
        <s v="GALAXIA"/>
        <s v="Galeon"/>
        <s v="GameBuild"/>
        <s v="GameFi.org"/>
        <s v="GemHUB"/>
        <s v="Gemini Dollar"/>
        <s v="Gems"/>
        <s v="GHO"/>
        <s v="GMT"/>
        <s v="GOLDAO"/>
        <s v="GraniteShares 2X Long MRVL ETF Tokenized bStocks"/>
        <s v="Grove"/>
        <s v="Hachiko"/>
        <s v="Haedal Protocol"/>
        <s v="HashAI"/>
        <s v="Hegic"/>
        <s v="HI"/>
        <s v="Hims &amp; Hers Health Tokenized Stock (Ondo)"/>
        <s v="HODL"/>
        <s v="Hoge Finance"/>
        <s v="Hoppy (hoppy.vip)"/>
        <s v="HOPR"/>
        <s v="HTX"/>
        <s v="Humans.ai"/>
        <s v="Humidifi"/>
        <s v="HyperGPT"/>
        <s v="Hyperion"/>
        <s v="Hyperliquid"/>
        <s v="Illuvium"/>
        <s v="Immutable"/>
        <s v="Impossible Cloud Network"/>
        <s v="IMPT"/>
        <s v="Infinex"/>
        <s v="Intuition"/>
        <s v="IoTeX"/>
        <s v="Irys"/>
        <s v="iShares Gold Trust Tokenized ETF (Ondo)"/>
        <s v="iShares MSCI Emerging Markets Tokenized ETF (Ondo)"/>
        <s v="JasmyCoin"/>
        <s v="Jelly-My-Jelly"/>
        <s v="Jesus Coin"/>
        <s v="Jimothy The Raccoon"/>
        <s v="Jito"/>
        <s v="Jupiter Perps LP"/>
        <s v="KAITO"/>
        <s v="KernelDAO"/>
        <s v="KiboShib"/>
        <s v="Kusama"/>
        <s v="Layer3"/>
        <s v="LayerX"/>
        <s v="LayerZero"/>
        <s v="LIBRA"/>
        <s v="Lingo"/>
        <s v="Lit Protocol"/>
        <s v="Lockheed Tokenized Stock (Ondo)"/>
        <s v="MAGIC•INTERNET•MONEY (Bitcoin)"/>
        <s v="Magma Finance"/>
        <s v="Make Aliens Great Again"/>
        <s v="Mamo"/>
        <s v="Mango"/>
        <s v="Manta Network"/>
        <s v="MAP Protocol"/>
        <s v="Marina Protocol"/>
        <s v="Marvell Technology Tokenized Stock (Ondo)"/>
        <s v="Mastercard Tokenized Stock (Ondo)"/>
        <s v="MATH"/>
        <s v="Maverick Protocol"/>
        <s v="Meta Tokenized Stock (Reality)"/>
        <s v="Metadium"/>
        <s v="MetaMask USD"/>
        <s v="MIA"/>
        <s v="Micron Tokenized Stock (Reality)"/>
        <s v="Mog Coin"/>
        <s v="MonaCoin"/>
        <s v="Monad"/>
        <s v="Monero"/>
        <s v="Moonbeam"/>
        <s v="MyShell"/>
        <s v="Nano"/>
        <s v="NanoByte Token"/>
        <s v="Nebius Tokenized bStocks"/>
        <s v="NEM"/>
        <s v="Nexa (nexaagent.xyz)"/>
        <s v="Nietzschean Penguin"/>
        <s v="Ninja Squad Token"/>
        <s v="Nockchain"/>
        <s v="Not Pixel"/>
        <s v="Numbers Protocol"/>
        <s v="NuNet"/>
        <s v="NVIDIA Tokenized Stock (Ondo)"/>
        <s v="Odos"/>
        <s v="OG Fan Token"/>
        <s v="Ondo US Dollar Yield"/>
        <s v="Ontology Gas"/>
        <s v="OpenAI_x000a_Pre-IPO stock (Republic)"/>
        <s v="OpenGPU"/>
        <s v="OpenLedger"/>
        <s v="Orchid"/>
        <s v="Orochi Network"/>
        <s v="Paycoin"/>
        <s v="Peanut the Squirrel"/>
        <s v="PeiPei (ETH)"/>
        <s v="Pendle"/>
        <s v="Pepecoin"/>
        <s v="Perpetual Protocol"/>
        <s v="Pharos"/>
        <s v="PlatON"/>
        <s v="POOH"/>
        <s v="Portugal National Team Fan Token"/>
        <s v="ProShares UltraPro QQQ Tokenized bStocks"/>
        <s v="Purple Pepe"/>
        <s v="Pythia"/>
        <s v="Qualcomm Tokenized bStocks"/>
        <s v="RACA"/>
        <s v="Radiant"/>
        <s v="Radworks"/>
        <s v="Rain"/>
        <s v="Rarible"/>
        <s v="Ravencoin"/>
        <s v="Real Briefly"/>
        <s v="Ren"/>
        <s v="RENEC"/>
        <s v="Reserve AI Infrastructure Tokenized DTF"/>
        <s v="Reserve AI Photonics Tokenized DTF"/>
        <s v="RIZE"/>
        <s v="Rocket Lab Tokenized bStocks"/>
        <s v="RollX"/>
        <s v="Ronin"/>
        <s v="Roundhill Memory ETF Tokenized ETF (Ondo)"/>
        <s v="RSS3"/>
        <s v="SanDisk Tokenized Stock (Reality)"/>
        <s v="Sapien"/>
        <s v="Saros"/>
        <s v="SaucerSwap"/>
        <s v="Save"/>
        <s v="ScPrime"/>
        <s v="Semicon Bull 3X ETF Tokenized bStocks"/>
        <s v="ShareToken"/>
        <s v="Sharp"/>
        <s v="ShibaDoge"/>
        <s v="Siacoin"/>
        <s v="SideShift Token"/>
        <s v="SoFi Technologies Tokenized Stock (Ondo)"/>
        <s v="Solana"/>
        <s v="Solstice USX"/>
        <s v="Somnia"/>
        <s v="SpaceX tokenized stock (Backpack)"/>
        <s v="Sportbet.one Token"/>
        <s v="StablR Euro"/>
        <s v="Stacks"/>
        <s v="STBL"/>
        <s v="Steem"/>
        <s v="Strategy Tokenized bStocks"/>
        <s v="Streamflow"/>
        <s v="Suku"/>
        <s v="SymVerse (symverse.org)"/>
        <s v="TAC Protocol"/>
        <s v="Tectum"/>
        <s v="Tellor"/>
        <s v="Tenset"/>
        <s v="Tesla Tokenized bStocks"/>
        <s v="Tether"/>
        <s v="Tezos"/>
        <s v="The White Whale"/>
        <s v="Theta Fuel"/>
        <s v="Threshold"/>
        <s v="TokenPocket"/>
        <s v="Tottenham Hotspur Fan Token"/>
        <s v="toyow"/>
        <s v="Tradoor"/>
        <s v="Tradr 2X Long SNDK ETF Tokenized bStocks"/>
        <s v="Treehouse"/>
        <s v="TRON"/>
        <s v="TSMC Tokenized Stock (Reality)"/>
        <s v="Turbo"/>
        <s v="UNCX Network"/>
        <s v="Unibase"/>
        <s v="UNUS SED LEO"/>
        <s v="USDai"/>
        <s v="USDB"/>
        <s v="USDC"/>
        <s v="USDGO"/>
        <s v="USDK"/>
        <s v="Usual USD"/>
        <s v="Utrust"/>
        <s v="Vara Network"/>
        <s v="Velodrome Finance"/>
        <s v="Venus DAI"/>
        <s v="Vertical AI"/>
        <s v="Viction"/>
        <s v="VitaDAO"/>
        <s v="VOOI"/>
        <s v="WalletConnect Token"/>
        <s v="Wells Fargo Tokenized Stock (Ondo)"/>
        <s v="Wibx"/>
        <s v="Wiki Cat"/>
        <s v="WINkLink"/>
        <s v="World3"/>
        <s v="WYDE: End Hunger"/>
        <s v="XRP"/>
        <s v="XSGD"/>
        <s v="Xterio"/>
        <s v="Yei Finance"/>
        <s v="Zcash"/>
        <s v="ZIGChain"/>
      </sharedItems>
    </cacheField>
    <cacheField name="Symbol" numFmtId="0">
      <sharedItems count="299">
        <s v="ADP"/>
        <s v="ADS"/>
        <s v="AMDB"/>
        <s v="NFT"/>
        <s v="ACN"/>
        <s v="AIV"/>
        <s v="AZERO"/>
        <s v="BABAB"/>
        <s v="BABAon"/>
        <s v="ALLO"/>
        <s v="ATS"/>
        <s v="AMZNB"/>
        <s v="FORTH"/>
        <s v="XAN"/>
        <s v="AAOIB"/>
        <s v="APR"/>
        <s v="AA"/>
        <s v="ARARA"/>
        <s v="ARG"/>
        <s v="ASR"/>
        <s v="ASTSon"/>
        <s v="ASTEROID"/>
        <s v="AURORA"/>
        <s v="AVA"/>
        <s v="AXTIB"/>
        <s v="BabyDoge"/>
        <s v="BAL"/>
        <s v="BNT"/>
        <s v="BDX"/>
        <s v="BELLS"/>
        <s v="BILL"/>
        <s v="BIOT"/>
        <s v="BITCI"/>
        <s v="BTC"/>
        <s v="BCD"/>
        <s v="BSV"/>
        <s v="BDCA"/>
        <s v="LIGHT"/>
        <s v="BTT"/>
        <s v="BLAST"/>
        <s v="BLESS"/>
        <s v="BSB"/>
        <s v="BST"/>
        <s v="BEB"/>
        <s v="BNB"/>
        <s v="BOBA"/>
        <s v="BONK"/>
        <s v="BOOE"/>
        <s v="BORGY"/>
        <s v="BRETT"/>
        <s v="AVGOon"/>
        <s v="BCN"/>
        <s v="CTM"/>
        <s v="ADA"/>
        <s v="CATE"/>
        <s v="SLAP"/>
        <s v="CELO"/>
        <s v="CESS"/>
        <s v="DHT"/>
        <s v="XCH"/>
        <s v="COL"/>
        <s v="rCOIN"/>
        <s v="CMC20"/>
        <s v="CFX"/>
        <s v="CTC"/>
        <s v="CPH"/>
        <s v="DXI"/>
        <s v="DEOD"/>
        <s v="DEL"/>
        <s v="DCR"/>
        <s v="DBC"/>
        <s v="DN"/>
        <s v="REAL"/>
        <s v="DJED"/>
        <s v="DOGE"/>
        <s v="DOLO"/>
        <s v="DORA"/>
        <s v="DJI6930"/>
        <s v="DRIFT"/>
        <s v="DUCKY"/>
        <s v="DUSK"/>
        <s v="EMT"/>
        <s v="EDEL"/>
        <s v="ELA"/>
        <s v="ETH"/>
        <s v="EURI"/>
        <s v="USDf"/>
        <s v="FARTBOY"/>
        <s v="BAR"/>
        <s v="FIRO"/>
        <s v="FT"/>
        <s v="FOREST"/>
        <s v="FUL"/>
        <s v="FUN"/>
        <s v="GAIB"/>
        <s v="GXA"/>
        <s v="GALEON"/>
        <s v="GAME"/>
        <s v="GAFI"/>
        <s v="GHUB"/>
        <s v="GUSD"/>
        <s v="GEMS"/>
        <s v="GHO"/>
        <s v="GMT"/>
        <s v="GOLDAO"/>
        <s v="MVLLB"/>
        <s v="GROVE"/>
        <s v="$HACHI"/>
        <s v="HAEDAL"/>
        <s v="HASHAI"/>
        <s v="HEGIC"/>
        <s v="HI"/>
        <s v="HIMSon"/>
        <s v="HODL"/>
        <s v="HOGE"/>
        <s v="HOPPY"/>
        <s v="HOPR"/>
        <s v="HTX"/>
        <s v="HEART"/>
        <s v="WET"/>
        <s v="HGPT"/>
        <s v="RION"/>
        <s v="HYPE"/>
        <s v="ILV"/>
        <s v="IMX"/>
        <s v="ICNT"/>
        <s v="IMPT"/>
        <s v="INX"/>
        <s v="TRUST"/>
        <s v="IOTX"/>
        <s v="IRYS"/>
        <s v="IAUon"/>
        <s v="EEMon"/>
        <s v="JASMY"/>
        <s v="JELLYJELLY"/>
        <s v="JESUS"/>
        <s v="JIMOTHY"/>
        <s v="JTO"/>
        <s v="JLP"/>
        <s v="KAITO"/>
        <s v="KERNEL"/>
        <s v="KIBSHI"/>
        <s v="KSM"/>
        <s v="L3"/>
        <s v="LX"/>
        <s v="ZRO"/>
        <s v="LIBRA"/>
        <s v="LINGO"/>
        <s v="LITKEY"/>
        <s v="LMTon"/>
        <s v="MIM"/>
        <s v="MAGMA"/>
        <s v="MAGA"/>
        <s v="MAMO"/>
        <s v="MNGO"/>
        <s v="MANTA"/>
        <s v="MAPO"/>
        <s v="BAY"/>
        <s v="MRVLon"/>
        <s v="MAon"/>
        <s v="MATH"/>
        <s v="MAV"/>
        <s v="rMETA"/>
        <s v="META"/>
        <s v="mUSD"/>
        <s v="MIA"/>
        <s v="rMU"/>
        <s v="MOG"/>
        <s v="MONA"/>
        <s v="MON"/>
        <s v="XMR"/>
        <s v="GLMR"/>
        <s v="SHELL"/>
        <s v="XNO"/>
        <s v="NBT"/>
        <s v="NBISB"/>
        <s v="XEM"/>
        <s v="NXA"/>
        <s v="PENGUIN"/>
        <s v="NST"/>
        <s v="NOCK"/>
        <s v="PX"/>
        <s v="NUM"/>
        <s v="NTX"/>
        <s v="NVDAon"/>
        <s v="ODOS"/>
        <s v="OG"/>
        <s v="USDY"/>
        <s v="ONG"/>
        <s v="preOPAI"/>
        <s v="OGPU"/>
        <s v="OPEN"/>
        <s v="OXT"/>
        <s v="ON"/>
        <s v="PCI"/>
        <s v="PNUT"/>
        <s v="PEIPEI"/>
        <s v="PENDLE"/>
        <s v="PEP"/>
        <s v="PERP"/>
        <s v="PROS"/>
        <s v="LAT"/>
        <s v="POOH"/>
        <s v="POR"/>
        <s v="TQQQB"/>
        <s v="$PURPE"/>
        <s v="PYTHIA"/>
        <s v="QCOMB"/>
        <s v="RACA"/>
        <s v="RXD"/>
        <s v="RAD"/>
        <s v="RAIN"/>
        <s v="RARI"/>
        <s v="RVN"/>
        <s v="REN"/>
        <s v="RENEC"/>
        <s v="BUILDOUT"/>
        <s v="PHOTON"/>
        <s v="RIZE"/>
        <s v="RKLBB"/>
        <s v="ROLL"/>
        <s v="RON"/>
        <s v="DRAMon"/>
        <s v="RSS3"/>
        <s v="rSNDK"/>
        <s v="SAPIEN"/>
        <s v="SAROS"/>
        <s v="SAUCE"/>
        <s v="SAVE"/>
        <s v="SCP"/>
        <s v="SOXLB"/>
        <s v="SHR"/>
        <s v="SHARP"/>
        <s v="SHIBDOGE"/>
        <s v="SC"/>
        <s v="XAI"/>
        <s v="SOFIon"/>
        <s v="SOL"/>
        <s v="USX"/>
        <s v="SOMI"/>
        <s v="SPCX"/>
        <s v="SBET"/>
        <s v="EURR"/>
        <s v="STX"/>
        <s v="STBL"/>
        <s v="STEEM"/>
        <s v="MSTRB"/>
        <s v="STREAM"/>
        <s v="SUKU"/>
        <s v="SYMM"/>
        <s v="TAC"/>
        <s v="TET"/>
        <s v="TRB"/>
        <s v="10SET"/>
        <s v="TSLAB"/>
        <s v="USDT"/>
        <s v="XTZ"/>
        <s v="WHITEWHALE"/>
        <s v="TFUEL"/>
        <s v="T"/>
        <s v="TPT"/>
        <s v="SPURS"/>
        <s v="TTN"/>
        <s v="TRADOOR"/>
        <s v="SNXXB"/>
        <s v="TREE"/>
        <s v="TRX"/>
        <s v="rTSM"/>
        <s v="TURBO"/>
        <s v="UNCX"/>
        <s v="UB"/>
        <s v="LEO"/>
        <s v="USDAI"/>
        <s v="USDB"/>
        <s v="USDC"/>
        <s v="USDGO"/>
        <s v="USDK"/>
        <s v="USD0"/>
        <s v="UTK"/>
        <s v="VARA"/>
        <s v="VELO"/>
        <s v="vDAI"/>
        <s v="VERTAI"/>
        <s v="VIC"/>
        <s v="VITA"/>
        <s v="VOOI"/>
        <s v="WCT"/>
        <s v="WFCon"/>
        <s v="WBX"/>
        <s v="WKC"/>
        <s v="WIN"/>
        <s v="WAI"/>
        <s v="EAT"/>
        <s v="XRP"/>
        <s v="XSGD"/>
        <s v="XTER"/>
        <s v="CLO"/>
        <s v="ZEC"/>
        <s v="ZIG"/>
      </sharedItems>
    </cacheField>
    <cacheField name="Price (USD)" numFmtId="0">
      <sharedItems containsSemiMixedTypes="0" containsString="0" containsNumber="1" minValue="1.2469999999999999E-5" maxValue="62905.02" count="294">
        <n v="2.7020000000000001E-4"/>
        <n v="0.40110000000000001"/>
        <n v="479.08"/>
        <n v="6.2690999999999997E-2"/>
        <n v="5.2350000000000001E-3"/>
        <n v="1.5399999999999999E-3"/>
        <n v="9.5829999999999995E-3"/>
        <n v="121.88"/>
        <n v="123.11"/>
        <n v="0.27189999999999998"/>
        <n v="7.6429999999999998E-2"/>
        <n v="270.94"/>
        <n v="0.22889999999999999"/>
        <n v="1.112E-2"/>
        <n v="93.78"/>
        <n v="0.19450000000000001"/>
        <n v="2.8570000000000002E-2"/>
        <n v="4.371E-4"/>
        <n v="8.4830000000000003E-2"/>
        <n v="0.84689999999999999"/>
        <n v="58.92"/>
        <n v="6.758E-5"/>
        <n v="1.678E-2"/>
        <n v="7.3530000000000002E-3"/>
        <n v="59.16"/>
        <n v="9.3123999999999998E-2"/>
        <n v="0.10150000000000001"/>
        <n v="0.26240000000000002"/>
        <n v="8.2500000000000004E-2"/>
        <n v="4.1340000000000002E-2"/>
        <n v="2.3769999999999999E-2"/>
        <n v="1.817E-4"/>
        <n v="2.087E-4"/>
        <n v="62905.02"/>
        <n v="6.3210000000000002E-2"/>
        <n v="12.58"/>
        <n v="0.47439999999999999"/>
        <n v="0.13020000000000001"/>
        <n v="6.2614000000000003E-2"/>
        <n v="2.3809999999999999E-4"/>
        <n v="8.1779999999999995E-3"/>
        <n v="0.11799999999999999"/>
        <n v="1.406E-2"/>
        <n v="206.65"/>
        <n v="586.66999999999996"/>
        <n v="1.883E-2"/>
        <n v="5.2774000000000001E-2"/>
        <n v="2.7140000000000001E-2"/>
        <n v="2.5559999999999999E-5"/>
        <n v="3.8549999999999999E-3"/>
        <n v="389.13"/>
        <n v="2.3269999999999999E-5"/>
        <n v="0.1946"/>
        <n v="0.16869999999999999"/>
        <n v="7.7348E-2"/>
        <n v="2.0139999999999999E-4"/>
        <n v="6.2759999999999996E-2"/>
        <n v="1.2409999999999999E-3"/>
        <n v="2.3650000000000001E-2"/>
        <n v="1.42"/>
        <n v="0.1129"/>
        <n v="145.94"/>
        <n v="127.69"/>
        <n v="4.2750000000000003E-2"/>
        <n v="6.9989999999999997E-2"/>
        <n v="3.3140000000000001E-3"/>
        <n v="8.4909999999999998E-4"/>
        <n v="1.6049999999999998E-2"/>
        <n v="0.7339"/>
        <n v="13.16"/>
        <n v="1.6210000000000001E-4"/>
        <n v="3.884E-2"/>
        <n v="4.7910000000000001E-3"/>
        <n v="0.99980000000000002"/>
        <n v="6.9449999999999998E-2"/>
        <n v="2.0840000000000001E-2"/>
        <n v="2.98E-3"/>
        <n v="2.0470000000000002E-3"/>
        <n v="1.213E-2"/>
        <n v="6.2890000000000005E-4"/>
        <n v="5.6770000000000001E-2"/>
        <n v="1.7700000000000001E-3"/>
        <n v="7.1089999999999999E-3"/>
        <n v="0.24560000000000001"/>
        <n v="1861.07"/>
        <n v="1.1499999999999999"/>
        <n v="0.99519999999999997"/>
        <n v="9.1590000000000005E-3"/>
        <n v="0.26919999999999999"/>
        <n v="0.64429999999999998"/>
        <n v="9.937E-2"/>
        <n v="2.222E-2"/>
        <n v="9.4950000000000004E-4"/>
        <n v="4.9430000000000003E-3"/>
        <n v="1.6039999999999999E-2"/>
        <n v="6.1070000000000004E-4"/>
        <n v="5.1229999999999999E-3"/>
        <n v="7.9699999999999997E-4"/>
        <n v="6.9650000000000004E-2"/>
        <n v="2.5330000000000001E-3"/>
        <n v="0.99950000000000006"/>
        <n v="5.4860000000000004E-3"/>
        <n v="0.99829999999999997"/>
        <n v="6.6230000000000004E-3"/>
        <n v="3.2399999999999998E-3"/>
        <n v="20.239999999999998"/>
        <n v="9.6360000000000005E-3"/>
        <n v="8.1081E-2"/>
        <n v="1.4959999999999999E-2"/>
        <n v="1.2469999999999999E-5"/>
        <n v="1.357E-2"/>
        <n v="2.544E-5"/>
        <n v="27.67"/>
        <n v="9.7230000000000003E-5"/>
        <n v="5.2713999999999997E-2"/>
        <n v="5.2489000000000001E-2"/>
        <n v="1.2409999999999999E-2"/>
        <n v="5.1778999999999999E-2"/>
        <n v="2.541E-4"/>
        <n v="6.7729999999999999E-2"/>
        <n v="1.116E-3"/>
        <n v="0.1628"/>
        <n v="52.77"/>
        <n v="2.83"/>
        <n v="0.1062"/>
        <n v="0.11070000000000001"/>
        <n v="1.8370000000000001E-3"/>
        <n v="8.0309999999999999E-3"/>
        <n v="5.11E-2"/>
        <n v="2.1710000000000002E-3"/>
        <n v="1.5089999999999999E-2"/>
        <n v="75.760000000000005"/>
        <n v="64.97"/>
        <n v="4.3010000000000001E-3"/>
        <n v="5.7820000000000003E-2"/>
        <n v="7.1318000000000006E-2"/>
        <n v="9.1819999999999992E-3"/>
        <n v="0.50609999999999999"/>
        <n v="3.55"/>
        <n v="1.05"/>
        <n v="3.2039999999999999E-2"/>
        <n v="5.1614E-2"/>
        <n v="2.95"/>
        <n v="4.5970000000000004E-3"/>
        <n v="1.047E-4"/>
        <n v="0.7379"/>
        <n v="6.6740000000000002E-3"/>
        <n v="8.8850000000000005E-3"/>
        <n v="4.0109999999999998E-3"/>
        <n v="592.08000000000004"/>
        <n v="2.075E-4"/>
        <n v="0.29160000000000003"/>
        <n v="1.307E-3"/>
        <n v="9.4490000000000008E-3"/>
        <n v="2.5579999999999999E-2"/>
        <n v="5.8599999999999999E-2"/>
        <n v="9.1100000000000003E-4"/>
        <n v="1.6469999999999999E-2"/>
        <n v="187.9"/>
        <n v="575.01"/>
        <n v="2.248E-2"/>
        <n v="8.0409999999999995E-3"/>
        <n v="554.79999999999995"/>
        <n v="6.8960000000000002E-3"/>
        <n v="1"/>
        <n v="1.306E-2"/>
        <n v="819.57"/>
        <n v="7.9890000000000003E-2"/>
        <n v="6.5409999999999996E-2"/>
        <n v="2.07E-2"/>
        <n v="354.89"/>
        <n v="7.6010000000000001E-3"/>
        <n v="1.8020000000000001E-2"/>
        <n v="0.40310000000000001"/>
        <n v="9.1189999999999999E-4"/>
        <n v="189.95"/>
        <n v="4.797E-4"/>
        <n v="0.94079999999999997"/>
        <n v="1.047E-3"/>
        <n v="1.06"/>
        <n v="1.268E-2"/>
        <n v="1.3220000000000001E-2"/>
        <n v="2.2469999999999999E-3"/>
        <n v="2.075E-3"/>
        <n v="200.13"/>
        <n v="8.9829999999999999E-4"/>
        <n v="2.5"/>
        <n v="1.1399999999999999"/>
        <n v="4.1950000000000001E-2"/>
        <n v="697.68"/>
        <n v="4.4310000000000002E-2"/>
        <n v="0.1736"/>
        <n v="1.1860000000000001E-2"/>
        <n v="0.26400000000000001"/>
        <n v="3.5349999999999999E-2"/>
        <n v="3.8929999999999999E-2"/>
        <n v="8.6289000000000005E-2"/>
        <n v="1.44"/>
        <n v="6.8819999999999995E-5"/>
        <n v="1.9359999999999999E-2"/>
        <n v="0.42949999999999999"/>
        <n v="6.0490000000000001E-4"/>
        <n v="8.2533999999999996E-2"/>
        <n v="8.0360000000000001E-2"/>
        <n v="64.08"/>
        <n v="5.7838000000000001E-2"/>
        <n v="1.2070000000000001E-2"/>
        <n v="147.44"/>
        <n v="1.3859999999999999E-5"/>
        <n v="6.5989999999999997E-5"/>
        <n v="0.20369999999999999"/>
        <n v="1.2749999999999999E-2"/>
        <n v="8.0759999999999998E-2"/>
        <n v="3.5760000000000002E-3"/>
        <n v="1.9589999999999998E-3"/>
        <n v="3.323E-3"/>
        <n v="3.5459999999999998E-2"/>
        <n v="85.33"/>
        <n v="76.34"/>
        <n v="7.9100000000000004E-3"/>
        <n v="64.62"/>
        <n v="0.12959999999999999"/>
        <n v="5.0360000000000002E-2"/>
        <n v="50.02"/>
        <n v="4.5849999999999997E-3"/>
        <n v="1211.4100000000001"/>
        <n v="8.0439999999999998E-2"/>
        <n v="2.8400000000000002E-4"/>
        <n v="1.294E-2"/>
        <n v="0.1221"/>
        <n v="1.8259999999999998E-2"/>
        <n v="113.71"/>
        <n v="2.387E-4"/>
        <n v="7.4410000000000003E-4"/>
        <n v="1.6102100000000001E-2"/>
        <n v="5.0370000000000005E-4"/>
        <n v="6.0540000000000004E-3"/>
        <n v="16.260000000000002"/>
        <n v="72.87"/>
        <n v="8.4809999999999997E-2"/>
        <n v="108.07"/>
        <n v="6.8490000000000001E-3"/>
        <n v="0.60899999999999999"/>
        <n v="0.13880000000000001"/>
        <n v="2.2710000000000001E-2"/>
        <n v="3.662E-2"/>
        <n v="92.99"/>
        <n v="7.8100000000000001E-3"/>
        <n v="3.9560000000000003E-3"/>
        <n v="3.4360000000000002E-2"/>
        <n v="3.2139999999999998E-3"/>
        <n v="0.25609999999999999"/>
        <n v="13.52"/>
        <n v="9.2689999999999995E-3"/>
        <n v="310.04000000000002"/>
        <n v="0.999"/>
        <n v="0.20019999999999999"/>
        <n v="1.2780000000000001E-3"/>
        <n v="7.2519999999999998E-3"/>
        <n v="3.4810000000000002E-3"/>
        <n v="5.7889999999999999E-3"/>
        <n v="9.708E-2"/>
        <n v="6.6140000000000004E-2"/>
        <n v="0.51459999999999995"/>
        <n v="9.3000000000000007"/>
        <n v="3.5970000000000002E-2"/>
        <n v="0.32579999999999998"/>
        <n v="404.09"/>
        <n v="7.9080000000000003E-4"/>
        <n v="22.49"/>
        <n v="0.15809999999999999"/>
        <n v="9.75"/>
        <n v="0.99690000000000001"/>
        <n v="0.99929999999999997"/>
        <n v="7.9419999999999994E-3"/>
        <n v="4.2739999999999998E-4"/>
        <n v="1.7270000000000001E-2"/>
        <n v="2.6179999999999998E-2"/>
        <n v="1.6209999999999999E-2"/>
        <n v="3.4180000000000002E-2"/>
        <n v="0.22939999999999999"/>
        <n v="7.4700000000000001E-3"/>
        <n v="3.6360000000000003E-2"/>
        <n v="86.51"/>
        <n v="1.7149999999999999E-3"/>
        <n v="7.5296000000000002E-2"/>
        <n v="2.853E-5"/>
        <n v="9.7230000000000007E-3"/>
        <n v="1.9570000000000001E-4"/>
        <n v="0.77969999999999995"/>
        <n v="8.0689999999999998E-3"/>
        <n v="0.11890000000000001"/>
        <n v="455.74"/>
        <n v="4.002E-2"/>
      </sharedItems>
    </cacheField>
    <cacheField name="1h Change (%)" numFmtId="0">
      <sharedItems containsSemiMixedTypes="0" containsString="0" containsNumber="1" minValue="0" maxValue="16.46"/>
    </cacheField>
    <cacheField name="Market Cap" numFmtId="0">
      <sharedItems containsSemiMixedTypes="0" containsString="0" containsNumber="1" containsInteger="1" minValue="861080" maxValue="1260000000000"/>
    </cacheField>
    <cacheField name="Volume (24h)" numFmtId="0">
      <sharedItems containsSemiMixedTypes="0" containsString="0" containsNumber="1" minValue="0" maxValue="56830000000"/>
    </cacheField>
    <cacheField name="Circulating Supply" numFmtId="0">
      <sharedItems containsSemiMixedTypes="0" containsString="0" containsNumber="1" containsInteger="1" minValue="0" maxValue="990100000000000"/>
    </cacheField>
    <cacheField name="Doller Volume per Supply" numFmtId="0">
      <sharedItems containsSemiMixedTypes="0" containsString="0" containsNumber="1" minValue="0" maxValue="3658.7301587301586"/>
    </cacheField>
    <cacheField name="Rank " numFmtId="0">
      <sharedItems containsSemiMixedTypes="0" containsString="0" containsNumber="1" containsInteger="1" minValue="1" maxValue="300"/>
    </cacheField>
    <cacheField name="Price range" numFmtId="0">
      <sharedItems/>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NEHITH" refreshedDate="46273.548686111113" createdVersion="8" refreshedVersion="8" minRefreshableVersion="3" recordCount="300" xr:uid="{00000000-000A-0000-FFFF-FFFF01000000}">
  <cacheSource type="worksheet">
    <worksheetSource name="Sheet1"/>
  </cacheSource>
  <cacheFields count="15">
    <cacheField name="Coin Name" numFmtId="0">
      <sharedItems count="531">
        <s v="CoinMarketCap 20 Index DTF"/>
        <s v="Bitcoin"/>
        <s v="Ethereum"/>
        <s v="Tether"/>
        <s v="BNB"/>
        <s v="XRP"/>
        <s v="USDC"/>
        <s v="Solana"/>
        <s v="TRON"/>
        <s v="Hyperliquid"/>
        <s v="Dogecoin"/>
        <s v="Zcash"/>
        <s v="Chainlink"/>
        <s v="UNUS SED LEO"/>
        <s v="Monero"/>
        <s v="Gnosis"/>
        <s v="Lido DAO"/>
        <s v="Pendle"/>
        <s v="Terra Classic"/>
        <s v="Pieverse"/>
        <s v="Jito"/>
        <s v="BitTorrent [New]"/>
        <s v="Bonk"/>
        <s v="Falcon Finance"/>
        <s v="AINFT"/>
        <s v="Plasma"/>
        <s v="Immutable"/>
        <s v="Conflux"/>
        <s v="FLOKI"/>
        <s v="Tezos"/>
        <s v="Rain"/>
        <s v="Decimal"/>
        <s v="Ondo US Dollar Yield"/>
        <s v="HTX"/>
        <s v="Bitway"/>
        <s v="USDGO"/>
        <s v="Falcon USD"/>
        <s v="c8ntinuum"/>
        <s v="Jupiter Perps LP"/>
        <s v="GHO"/>
        <s v="Beldex"/>
        <s v="Usual USD"/>
        <s v="USDai"/>
        <s v="Solstice USX"/>
        <s v="Unibase"/>
        <s v="Pons"/>
        <s v="Diem"/>
        <s v="ECOMI"/>
        <s v="Fidelity Digital Dollar"/>
        <s v="Wormhole"/>
        <s v="NEXPACE"/>
        <s v="BNB Attestation Service"/>
        <s v="Popcat (SOL)"/>
        <s v="would"/>
        <s v="Capricorn"/>
        <s v="Targon"/>
        <s v="Dohrnii"/>
        <s v="StandX DUSD"/>
        <s v="Venus BUSD"/>
        <s v="Qubic"/>
        <s v="Mask Network"/>
        <s v="Gravity"/>
        <s v="River"/>
        <s v="Audiera"/>
        <s v="Magma Finance"/>
        <s v="Locus Chain"/>
        <s v="Aztec"/>
        <s v="Verge"/>
        <s v="Keeta"/>
        <s v="ssv.network"/>
        <s v="Lombard"/>
        <s v="Frankencoin"/>
        <s v="ApeX Protocol"/>
        <s v="Threshold"/>
        <s v="Notcoin"/>
        <s v="templar"/>
        <s v="Vana"/>
        <s v="LUSD"/>
        <s v="World Mobile Token"/>
        <s v="Lista DAO"/>
        <s v="ZORA"/>
        <s v="iota"/>
        <s v="TerraClassicUSD"/>
        <s v="EthereumPoW"/>
        <s v="Waves"/>
        <s v="Fabric Protocol"/>
        <s v="Sahara AI"/>
        <s v="Anoma"/>
        <s v="Status"/>
        <s v="DEAPcoin"/>
        <s v="B3 (Base)"/>
        <s v="GMT"/>
        <s v="Catizen"/>
        <s v="Block Street"/>
        <s v="Isiklar Coin"/>
        <s v="Usual"/>
        <s v="Pundi X (New)"/>
        <s v="Stargate Finance"/>
        <s v="Bounce Token"/>
        <s v="saffron.finance"/>
        <s v="State Street SPDR S&amp;P 500 ETF Tokenized bStocks"/>
        <s v="Metis"/>
        <s v="WOO"/>
        <s v="AO"/>
        <s v="Ergo"/>
        <s v="MAX Exchange Token"/>
        <s v="Young"/>
        <s v="STBL"/>
        <s v="BitMart Token"/>
        <s v="Goldgr"/>
        <s v="Jimothy The Raccoon"/>
        <s v="Enso"/>
        <s v="Cobak Token"/>
        <s v="Codatta"/>
        <s v="Tether Gold Tokens"/>
        <s v="Spell Token"/>
        <s v="Namecoin"/>
        <s v="Pocket Network"/>
        <s v="NaoX Protocol"/>
        <s v="Eesee"/>
        <s v="Corn"/>
        <s v="Mey Network"/>
        <s v="Pepecoin"/>
        <s v="AEON"/>
        <s v="Intel Tokenized Stock (Reality)"/>
        <s v="Infinex"/>
        <s v="Yooldo"/>
        <s v="SoFi Technologies Tokenized Stock (Ondo)"/>
        <s v="Boundless"/>
        <s v="Fluent"/>
        <s v="Solv Protocol"/>
        <s v="GYEN"/>
        <s v="ROGin AI"/>
        <s v="Firo"/>
        <s v="MovieBloc"/>
        <s v="DIAM"/>
        <s v="RAMP"/>
        <s v="Dolomite"/>
        <s v="Limitless"/>
        <s v="CyberLeek"/>
        <s v="Creta World"/>
        <s v="Heima"/>
        <s v="SuperRare"/>
        <s v="AriaAI"/>
        <s v="MAGIC肘NTERNET筆ONEY (Bitcoin)"/>
        <s v="Squid"/>
        <s v="TG Casino"/>
        <s v="Act I : The AI Prophecy"/>
        <s v="Ambire Wallet"/>
        <s v="GUNZ"/>
        <s v="ANyONe Protocol"/>
        <s v="Pythia"/>
        <s v="Balancer"/>
        <s v="Paris Saint-Germain Fan Token"/>
        <s v="Meta tokenized stock (xStock)"/>
        <s v="Towns"/>
        <s v="Groestlcoin"/>
        <s v="Apple Tokenized Stock (Ondo)"/>
        <s v="Echelon Prime"/>
        <s v="Peercoin"/>
        <s v="ResearchCoin"/>
        <s v="Nebius Tokenized bStocks"/>
        <s v="Stader"/>
        <s v="ULTILAND"/>
        <s v="inSure DeFi"/>
        <s v="Bitgert"/>
        <s v="Mansory"/>
        <s v="WazirX"/>
        <s v="SUPRA"/>
        <s v="McDull"/>
        <s v="Edel"/>
        <s v="Avici"/>
        <s v="Elastos"/>
        <s v="Portal To Bitcoin"/>
        <s v="Micron Technology Inc tokenized stock (Backpack)"/>
        <s v="MARBLEX"/>
        <s v="ELYSIA"/>
        <s v="NAVI Protocol"/>
        <s v="PayAI Network"/>
        <s v="district0x"/>
        <s v="Pups (Bitcoin)"/>
        <s v="Partisia Blockchain"/>
        <s v="Juventus Fan Token"/>
        <s v="AMO Coin"/>
        <s v="S.S. Lazio Fan Token"/>
        <s v="FAR Labs"/>
        <s v="Manchester City Fan Token"/>
        <s v="RHEA Finance"/>
        <s v="Bytecoin"/>
        <s v="Measurable Data Token"/>
        <s v="Kryll"/>
        <s v="Lingo"/>
        <s v="PoP Planet"/>
        <s v="Direxion Semiconductor Bull 3X tokenized ETF (xStock)"/>
        <s v="Mitosis"/>
        <s v="Truth"/>
        <s v="Arsenal Fan Token"/>
        <s v="HOPR"/>
        <s v="???"/>
        <s v="Hivemapper"/>
        <s v="AMD Tokenised Stock (xStock)"/>
        <s v="VitaDAO"/>
        <s v="Yee Token"/>
        <s v="Wexo"/>
        <s v="PlatON"/>
        <s v="TrustSwap"/>
        <s v="MetFi"/>
        <s v="Vertcoin"/>
        <s v="Aragon"/>
        <s v="Bitrue Coin"/>
        <s v="League of Traders"/>
        <s v="Advanced Micro Devices Tokenized bStocks"/>
        <s v="Grin"/>
        <s v="iShares Core S&amp;P MidCap Tokenized ETF (Ondo)"/>
        <s v="Odos"/>
        <s v="Games for a Living"/>
        <s v="ZenChain"/>
        <s v="Vanar Chain"/>
        <s v="PeiPei (ETH)"/>
        <s v="Star Atlas DAO"/>
        <s v="Arrow Finance"/>
        <s v="Avalon Labs (AVL)"/>
        <s v="Cratos"/>
        <s v="Shido Network"/>
        <s v="Billy (Bitcoin)"/>
        <s v="Aleph Zero"/>
        <s v="Novo Nordisk Tokenized Stock (Ondo)"/>
        <s v="Immunefi"/>
        <s v="Not Pixel"/>
        <s v="World of Dypians"/>
        <s v="Global X DRAM ETF Tokenized Stock (Reality)"/>
        <s v="Oracle tokenized stock (xStock)"/>
        <s v="Mythos"/>
        <s v="Validity"/>
        <s v="Aleph Cloud"/>
        <s v="Russell"/>
        <s v="Zeus Network"/>
        <s v="CEEK VR"/>
        <s v="OneFootball Credits"/>
        <s v="REI Network"/>
        <s v="Blockchain Foundation for Innovation &amp; Collaboration"/>
        <s v="WINR Protocol"/>
        <s v="ProShares UltraPro QQQ Tokenized bStocks"/>
        <s v="The Official 67 Coin"/>
        <s v="Tether EURt"/>
        <s v="ﾆternity"/>
        <s v="Nya"/>
        <s v="BioPassport Token"/>
        <s v="DAR Open Network"/>
        <s v="Verasity"/>
        <s v="Scamcoin"/>
        <s v="IREN Limited Tokenized bStocks"/>
        <s v="BitMine Immersion Technologies Tokenized Stock (Ondo)"/>
        <s v="XSwap"/>
        <s v="Nokia Tokenized bStocks"/>
        <s v="Ribbon Finance"/>
        <s v="Bitcoin Silver AI"/>
        <s v="Ctomorrow Platform"/>
        <s v="Nodle"/>
        <s v="Shark Cat"/>
        <s v="NetMind Token"/>
        <s v="Apple Tokenized Stock (Robinhood)"/>
        <s v="Hoppy (hoppy.vip)"/>
        <s v="Torch of Liberty"/>
        <s v="Vader"/>
        <s v="GameFi.org"/>
        <s v="iMe Lab"/>
        <s v="OciCat"/>
        <s v="ArchLoot"/>
        <s v="SK Hynix Tokenized Stock (Ondo)"/>
        <s v="WELF"/>
        <s v="SLIMEX"/>
        <s v="Zyfai"/>
        <s v="AllUnity EUR"/>
        <s v="Invesco QQQ Tokenized ETF (Robinhood)"/>
        <s v="Costco Tokenized Stock (Ondo)"/>
        <s v="Free Joby"/>
        <s v="Dell Technologies Inc. tokenized stock (xStock)"/>
        <s v="Dejitaru Tsuka"/>
        <s v="TOKPIE"/>
        <s v="SHPING"/>
        <s v="RENEC"/>
        <s v="ScPrime"/>
        <s v="Chickencoin"/>
        <s v="RICE AI"/>
        <s v="RigoBlock"/>
        <s v="Skey Network"/>
        <s v="Cashaa"/>
        <s v="Nokia Tokenized Stock (Ondo)"/>
        <s v="AST SpaceMobile Tokenized bStocks"/>
        <s v="Morpheus.Network"/>
        <s v="Franklin US Large Cap Multifactor Index Tokenized ETF (Ondo)"/>
        <s v="Disney Tokenized Stock (Ondo)"/>
        <s v="Pandora"/>
        <s v="Shrapnel"/>
        <s v="Nexera"/>
        <s v="BitCore"/>
        <s v="W Coin"/>
        <s v="Trias Token (New)"/>
        <s v="Pwease"/>
        <s v="Cardano" u="1"/>
        <s v="LayerZero" u="1"/>
        <s v="KAITO" u="1"/>
        <s v="Bitcoin SV" u="1"/>
        <s v="Stacks" u="1"/>
        <s v="Monad" u="1"/>
        <s v="Decred" u="1"/>
        <s v="JasmyCoin" u="1"/>
        <s v="Ducky" u="1"/>
        <s v="Ravencoin" u="1"/>
        <s v="Pharos" u="1"/>
        <s v="Jelly-My-Jelly" u="1"/>
        <s v="Billions Network" u="1"/>
        <s v="ZIGChain" u="1"/>
        <s v="Baby Doge Coin" u="1"/>
        <s v="Kusama" u="1"/>
        <s v="Allora" u="1"/>
        <s v="Turbo" u="1"/>
        <s v="aPriori" u="1"/>
        <s v="OpenLedger" u="1"/>
        <s v="Nano" u="1"/>
        <s v="Theta Fuel" u="1"/>
        <s v="FUNToken" u="1"/>
        <s v="NVIDIA Tokenized Stock (Ondo)" u="1"/>
        <s v="Peanut the Squirrel" u="1"/>
        <s v="Ronin" u="1"/>
        <s v="BitDCA" u="1"/>
        <s v="Irys" u="1"/>
        <s v="Mog Coin" u="1"/>
        <s v="Gemini Dollar" u="1"/>
        <s v="Brett (Based)" u="1"/>
        <s v="Creditcoin" u="1"/>
        <s v="Eurite" u="1"/>
        <s v="Orochi Network" u="1"/>
        <s v="Celo" u="1"/>
        <s v="Tellor" u="1"/>
        <s v="Paycoin" u="1"/>
        <s v="Asteroid Shiba" u="1"/>
        <s v="Nockchain" u="1"/>
        <s v="Mango" u="1"/>
        <s v="USDK" u="1"/>
        <s v="Hims &amp; Hers Health Tokenized Stock (Ondo)" u="1"/>
        <s v="Wiki Cat" u="1"/>
        <s v="WINkLink" u="1"/>
        <s v="Siacoin" u="1"/>
        <s v="Dusk" u="1"/>
        <s v="Impossible Cloud Network" u="1"/>
        <s v="Manta Network" u="1"/>
        <s v="Semicon Bull 3X ETF Tokenized bStocks" u="1"/>
        <s v="Bancor" u="1"/>
        <s v="Illuvium" u="1"/>
        <s v="Somnia" u="1"/>
        <s v="Micron Tokenized Stock (Reality)" u="1"/>
        <s v="Chia" u="1"/>
        <s v="IoTeX" u="1"/>
        <s v="MetaMask USD" u="1"/>
        <s v="SanDisk Tokenized Stock (Reality)" u="1"/>
        <s v="Steem" u="1"/>
        <s v="OpenAI_x000a_Pre-IPO stock (Republic)" u="1"/>
        <s v="Wibx" u="1"/>
        <s v="Sapien" u="1"/>
        <s v="RollX" u="1"/>
        <s v="TokenPocket" u="1"/>
        <s v="Ontology Gas" u="1"/>
        <s v="Bless" u="1"/>
        <s v="Fulcrom Finance" u="1"/>
        <s v="Araracoin" u="1"/>
        <s v="Blast" u="1"/>
        <s v="Velodrome Finance" u="1"/>
        <s v="WalletConnect Token" u="1"/>
        <s v="Marvell Technology Tokenized Stock (Ondo)" u="1"/>
        <s v="RIZE" u="1"/>
        <s v="Humidifi" u="1"/>
        <s v="TAC Protocol" u="1"/>
        <s v="Adshares" u="1"/>
        <s v="Yei Finance" u="1"/>
        <s v="GameBuild" u="1"/>
        <s v="Aurora" u="1"/>
        <s v="Radworks" u="1"/>
        <s v="Metadium" u="1"/>
        <s v="Strategy Tokenized bStocks" u="1"/>
        <s v="USDB" u="1"/>
        <s v="iShares Gold Trust Tokenized ETF (Ondo)" u="1"/>
        <s v="OG Fan Token" u="1"/>
        <s v="SaucerSwap" u="1"/>
        <s v="Orchid" u="1"/>
        <s v="Bitcoin Diamond" u="1"/>
        <s v="XSGD" u="1"/>
        <s v="Tesla Tokenized bStocks" u="1"/>
        <s v="Hegic" u="1"/>
        <s v="Maverick Protocol" u="1"/>
        <s v="Nexa (nexaagent.xyz)" u="1"/>
        <s v="AITECH Cloud Network" u="1"/>
        <s v="Boba Network" u="1"/>
        <s v="Clash of Lilliput" u="1"/>
        <s v="Decentrawood" u="1"/>
        <s v="Intuition" u="1"/>
        <s v="KernelDAO" u="1"/>
        <s v="Ninja Squad Token" u="1"/>
        <s v="Moonbeam" u="1"/>
        <s v="Fartboy" u="1"/>
        <s v="Drift" u="1"/>
        <s v="AS Roma Fan Token" u="1"/>
        <s v="Tradoor" u="1"/>
        <s v="Applied Optoelectronics Tokenized bStocks" u="1"/>
        <s v="MyShell" u="1"/>
        <s v="AVA" u="1"/>
        <s v="SpaceX tokenized stock (Backpack)" u="1"/>
        <s v="iShares MSCI Emerging Markets Tokenized ETF (Ondo)" u="1"/>
        <s v="StablR Euro" u="1"/>
        <s v="Haedal Protocol" u="1"/>
        <s v="Venus DAI" u="1"/>
        <s v="DACXI" u="1"/>
        <s v="FC Barcelona Fan Token" u="1"/>
        <s v="Grove" u="1"/>
        <s v="Layer3" u="1"/>
        <s v="Hyperion" u="1"/>
        <s v="RACA" u="1"/>
        <s v="Tradr 2X Long SNDK ETF Tokenized bStocks" u="1"/>
        <s v="MAP Protocol" u="1"/>
        <s v="SymVerse (symverse.org)" u="1"/>
        <s v="Mamo" u="1"/>
        <s v="Broadcom Tokenized Stock (Ondo)" u="1"/>
        <s v="Alltoscan" u="1"/>
        <s v="Treehouse" u="1"/>
        <s v="Bitlight" u="1"/>
        <s v="Utrust" u="1"/>
        <s v="Save" u="1"/>
        <s v="Viction" u="1"/>
        <s v="MAGIC•INTERNET•MONEY (Bitcoin)" u="1"/>
        <s v="Lockheed Tokenized Stock (Ondo)" u="1"/>
        <s v="NEM" u="1"/>
        <s v="MonaCoin" u="1"/>
        <s v="AIVille Governance Token" u="1"/>
        <s v="RSS3" u="1"/>
        <s v="Galeon" u="1"/>
        <s v="ARAI" u="1"/>
        <s v="CateCoin" u="1"/>
        <s v="Ampleforth Governance Token" u="1"/>
        <s v="Roundhill Memory ETF Tokenized ETF (Ondo)" u="1"/>
        <s v="AST SpaceMobile Tokenized Stock (Ondo)" u="1"/>
        <s v="Ren" u="1"/>
        <s v="World3" u="1"/>
        <s v="Marina Protocol" u="1"/>
        <s v="Djed" u="1"/>
        <s v="Alibaba Tokenized Stock (Ondo)" u="1"/>
        <s v="CESS Network" u="1"/>
        <s v="GAIB" u="1"/>
        <s v="Gems" u="1"/>
        <s v="Purple Pepe" u="1"/>
        <s v="Suku" u="1"/>
        <s v="IMPT" u="1"/>
        <s v="Book of Ethereum" u="1"/>
        <s v="Forest Protocol" u="1"/>
        <s v="Meta Tokenized Stock (Reality)" u="1"/>
        <s v="VOOI" u="1"/>
        <s v="MATH" u="1"/>
        <s v="GOLDAO" u="1"/>
        <s v="Vara Network" u="1"/>
        <s v="EarthMeta" u="1"/>
        <s v="Tectum" u="1"/>
        <s v="Bellscoin" u="1"/>
        <s v="DOWGE" u="1"/>
        <s v="Flying Tulip" u="1"/>
        <s v="TSMC Tokenized Stock (Reality)" u="1"/>
        <s v="AXT Tokenized bStocks" u="1"/>
        <s v="Numbers Protocol" u="1"/>
        <s v="Alibaba Tokenized bStocks" u="1"/>
        <s v="Qualcomm Tokenized bStocks" u="1"/>
        <s v="Streamflow" u="1"/>
        <s v="WYDE: End Hunger" u="1"/>
        <s v="LIBRA" u="1"/>
        <s v="Sharp" u="1"/>
        <s v="Jesus Coin" u="1"/>
        <s v="Humans.ai" u="1"/>
        <s v="BORGY" u="1"/>
        <s v="Vertical AI" u="1"/>
        <s v="KiboShib" u="1"/>
        <s v="Bitcicoin" u="1"/>
        <s v="Coinbase Tokenized Stock (Reality)" u="1"/>
        <s v="Dora Factory" u="1"/>
        <s v="toyow" u="1"/>
        <s v="Argentine Football Association Fan Token" u="1"/>
        <s v="Xterio" u="1"/>
        <s v="Reserve AI Infrastructure Tokenized DTF" u="1"/>
        <s v="MIA" u="1"/>
        <s v="HI" u="1"/>
        <s v="Reserve AI Photonics Tokenized DTF" u="1"/>
        <s v="Rarible" u="1"/>
        <s v="GALAXIA" u="1"/>
        <s v="Wells Fargo Tokenized Stock (Ondo)" u="1"/>
        <s v="Real Briefly" u="1"/>
        <s v="Tenset" u="1"/>
        <s v="Mastercard Tokenized Stock (Ondo)" u="1"/>
        <s v="Chamber" u="1"/>
        <s v="Defactor" u="1"/>
        <s v="Tottenham Hotspur Fan Token" u="1"/>
        <s v="Make Aliens Great Again" u="1"/>
        <s v="Perpetual Protocol" u="1"/>
        <s v="The White Whale" u="1"/>
        <s v="GemHUB" u="1"/>
        <s v="ShibaDoge" u="1"/>
        <s v="Cypherium" u="1"/>
        <s v="Adappter Token" u="1"/>
        <s v="Hoge Finance" u="1"/>
        <s v="POOH" u="1"/>
        <s v="Portugal National Team Fan Token" u="1"/>
        <s v="Saros" u="1"/>
        <s v="Hachiko" u="1"/>
        <s v="HashAI" u="1"/>
        <s v="HyperGPT" u="1"/>
        <s v="UNCX Network" u="1"/>
        <s v="Radiant" u="1"/>
        <s v="LayerX" u="1"/>
        <s v="Bloom Energy Tokenized bStocks" u="1"/>
        <s v="Nietzschean Penguin" u="1"/>
        <s v="NuNet" u="1"/>
        <s v="Lit Protocol" u="1"/>
        <s v="CatSlap" u="1"/>
        <s v="DeepBrain Chain" u="1"/>
        <s v="Rocket Lab Tokenized bStocks" u="1"/>
        <s v="DeepNode" u="1"/>
        <s v="SideShift Token" u="1"/>
        <s v="Amazon Tokenized bStocks" u="1"/>
        <s v="HODL" u="1"/>
        <s v="OpenGPU" u="1"/>
        <s v="GraniteShares 2X Long MRVL ETF Tokenized bStocks" u="1"/>
        <s v="Blocksquare Token" u="1"/>
        <s v="Sportbet.one Token" u="1"/>
        <s v="ShareToken" u="1"/>
        <s v="NanoByte Token" u="1"/>
      </sharedItems>
    </cacheField>
    <cacheField name="Symbol" numFmtId="0">
      <sharedItems containsMixedTypes="1" containsNumber="1" containsInteger="1" minValue="67" maxValue="67"/>
    </cacheField>
    <cacheField name="Price (USD)" numFmtId="0">
      <sharedItems containsMixedTypes="1" containsNumber="1" minValue="0" maxValue="80509.13" count="539">
        <n v="165.6"/>
        <n v="80509.13"/>
        <n v="2502.7199999999998"/>
        <n v="0.99960000000000004"/>
        <n v="713.29"/>
        <n v="1.5"/>
        <n v="0.99990000000000001"/>
        <n v="101.09"/>
        <n v="0.34449999999999997"/>
        <n v="80.900000000000006"/>
        <n v="9.2090000000000005E-2"/>
        <n v="848.04"/>
        <n v="11.76"/>
        <n v="9.35"/>
        <n v="445.16"/>
        <n v="124.1"/>
        <n v="0.37619999999999998"/>
        <n v="1.79"/>
        <s v="5.508e-05"/>
        <n v="1.02"/>
        <n v="0.57689999999999997"/>
        <n v="6.2956999999999999E-2"/>
        <n v="5.3266000000000001E-2"/>
        <n v="9.0190000000000006E-2"/>
        <n v="6.2762999999999999E-2"/>
        <n v="9.8059999999999994E-2"/>
        <n v="0.1331"/>
        <n v="5.0340000000000003E-2"/>
        <s v="2.758e-05"/>
        <n v="0.23350000000000001"/>
        <n v="1.468E-2"/>
        <n v="0.59330000000000005"/>
        <n v="1.1399999999999999"/>
        <n v="5.1766E-2"/>
        <n v="0.45639999999999997"/>
        <n v="1"/>
        <n v="0.99529999999999996"/>
        <n v="0.22070000000000001"/>
        <n v="4.41"/>
        <n v="0.99860000000000004"/>
        <n v="8.3150000000000002E-2"/>
        <n v="0.99870000000000003"/>
        <n v="0.12909999999999999"/>
        <n v="8.9980000000000004E-2"/>
        <n v="1638.11"/>
        <n v="2.2159999999999999E-4"/>
        <n v="0.99950000000000006"/>
        <n v="9.7219999999999997E-3"/>
        <n v="0.20619999999999999"/>
        <n v="2.4729999999999999E-2"/>
        <n v="6.2579999999999997E-2"/>
        <n v="6.1429999999999998E-2"/>
        <n v="0.2203"/>
        <n v="13.79"/>
        <n v="3.54"/>
        <n v="0.999"/>
        <n v="2.2349999999999998E-2"/>
        <n v="6.4241000000000006E-2"/>
        <n v="0.43259999999999998"/>
        <n v="3.9129999999999998E-3"/>
        <n v="2.19"/>
        <n v="0.12989999999999999"/>
        <n v="0.22650000000000001"/>
        <n v="7.718E-3"/>
        <n v="1.489E-2"/>
        <n v="2.594E-3"/>
        <n v="7.2410000000000002E-2"/>
        <n v="2.68"/>
        <n v="0.1208"/>
        <n v="1.24"/>
        <n v="0.28749999999999998"/>
        <n v="3.7659999999999998E-3"/>
        <n v="4.1990000000000001E-4"/>
        <n v="7.37"/>
        <n v="3.5490000000000001E-2"/>
        <n v="6.93E-2"/>
        <n v="6.8320000000000004E-3"/>
        <n v="7.61"/>
        <n v="5.4539999999999996E-3"/>
        <n v="0.27939999999999998"/>
        <n v="0.2215"/>
        <n v="1.3480000000000001E-2"/>
        <n v="8.3149999999999995E-3"/>
        <n v="1.184E-2"/>
        <n v="6.1570000000000001E-3"/>
        <n v="9.8820000000000006E-4"/>
        <n v="4.9919999999999999E-4"/>
        <n v="7.4009999999999996E-3"/>
        <n v="5.092E-2"/>
        <n v="9.6890000000000004E-2"/>
        <n v="0.22869999999999999"/>
        <n v="1.196E-2"/>
        <n v="8.8480000000000003E-2"/>
        <n v="0.1595"/>
        <n v="3.24"/>
        <n v="223.04"/>
        <n v="764.74"/>
        <n v="2.84"/>
        <n v="1.174E-2"/>
        <n v="2.99"/>
        <n v="0.26469999999999999"/>
        <n v="0.26550000000000001"/>
        <n v="0.64970000000000006"/>
        <n v="2.503E-2"/>
        <n v="5.4050000000000001E-2"/>
        <n v="148.4"/>
        <n v="1.7440000000000001E-2"/>
        <n v="0.84640000000000004"/>
        <n v="0.17349999999999999"/>
        <n v="6.9309999999999997E-3"/>
        <n v="4631.91"/>
        <s v="8.813e-05"/>
        <n v="1.1599999999999999"/>
        <n v="7.3509999999999999E-3"/>
        <n v="2.8680000000000001E-2"/>
        <n v="1.243E-2"/>
        <n v="2.5420000000000002E-2"/>
        <n v="4.6640000000000001E-2"/>
        <n v="1.2879999999999999E-4"/>
        <n v="5.6610000000000001E-2"/>
        <n v="89.53"/>
        <n v="6.62E-3"/>
        <n v="1.452E-2"/>
        <n v="18.420000000000002"/>
        <n v="4.1480000000000003E-2"/>
        <n v="6.5549999999999997E-2"/>
        <n v="2.7989999999999998E-3"/>
        <n v="6.2030000000000002E-3"/>
        <n v="0.1943"/>
        <n v="0.68469999999999998"/>
        <n v="6.5919999999999998E-4"/>
        <n v="5.0619999999999997E-3"/>
        <n v="2.214E-2"/>
        <n v="2.3949999999999999E-2"/>
        <n v="8.0329999999999999E-2"/>
        <n v="1.4409999999999999E-2"/>
        <n v="3.503E-3"/>
        <n v="0.12770000000000001"/>
        <n v="1.255E-2"/>
        <n v="2.869E-2"/>
        <n v="4.9010000000000004E-4"/>
        <n v="7.1730000000000002E-2"/>
        <n v="0.13439999999999999"/>
        <n v="1.0789999999999999E-2"/>
        <n v="1.4080000000000001E-2"/>
        <n v="3.2539999999999999E-3"/>
        <n v="8.7129999999999999E-2"/>
        <n v="8.5000000000000006E-3"/>
        <n v="0.121"/>
        <n v="0.50009999999999999"/>
        <n v="562.74"/>
        <n v="2.457E-3"/>
        <n v="9.1539999999999996E-2"/>
        <n v="310.51"/>
        <n v="0.2319"/>
        <n v="0.2727"/>
        <n v="6.3909999999999995E-2"/>
        <n v="216.99"/>
        <n v="0.1162"/>
        <n v="0.1085"/>
        <n v="3.0630000000000002E-4"/>
        <n v="7.1664000000000005E-2"/>
        <n v="7.26E-3"/>
        <n v="1.7069999999999998E-2"/>
        <n v="1.9330000000000001E-4"/>
        <n v="6.8585999999999994E-2"/>
        <n v="1.0410000000000001E-2"/>
        <n v="0.50060000000000004"/>
        <n v="0.27900000000000003"/>
        <n v="7.9390000000000005E-4"/>
        <n v="926.42"/>
        <n v="2.3040000000000001E-2"/>
        <n v="1.25E-3"/>
        <n v="7.7980000000000002E-3"/>
        <n v="6.3629999999999997E-3"/>
        <n v="6.3449999999999999E-3"/>
        <n v="5.4739999999999997E-3"/>
        <n v="1.044E-2"/>
        <n v="0.32829999999999998"/>
        <n v="2.4729999999999999E-4"/>
        <n v="0.39600000000000002"/>
        <n v="1.0790000000000001E-3"/>
        <n v="0.372"/>
        <n v="1.3429999999999999E-2"/>
        <s v="2.798e-05"/>
        <n v="7.5779999999999997E-3"/>
        <n v="0.1288"/>
        <n v="1.055E-2"/>
        <n v="3.6450000000000003E-2"/>
        <n v="116.08"/>
        <n v="2.809E-2"/>
        <n v="3.3399999999999999E-4"/>
        <n v="0.17150000000000001"/>
        <n v="1.1690000000000001E-2"/>
        <n v="3.9649999999999998E-3"/>
        <n v="6.4800000000000003E-4"/>
        <n v="462.24"/>
        <n v="0.27279999999999999"/>
        <n v="3.9370000000000004E-3"/>
        <n v="1.341E-2"/>
        <n v="5.6280000000000002E-4"/>
        <n v="3.9170000000000003E-2"/>
        <n v="1.1809999999999999E-2"/>
        <n v="5.237E-2"/>
        <n v="9.0090000000000003E-2"/>
        <n v="1.091E-2"/>
        <n v="6.411E-3"/>
        <n v="462.54"/>
        <n v="1.306E-2"/>
        <n v="77.069999999999993"/>
        <n v="8.3160000000000005E-4"/>
        <n v="7.2610000000000003E-4"/>
        <n v="5.5449999999999998E-4"/>
        <n v="8.0579999999999996E-4"/>
        <n v="8.7274000000000004E-2"/>
        <n v="1.038E-2"/>
        <n v="0.3377"/>
        <n v="1.866E-2"/>
        <s v="4.709e-05"/>
        <n v="1.2689999999999999E-4"/>
        <n v="3.0019999999999999E-3"/>
        <n v="9.1970000000000003E-3"/>
        <n v="48.05"/>
        <n v="2.3149999999999998E-3"/>
        <n v="1.239E-2"/>
        <n v="4.1139999999999996E-3"/>
        <n v="55.62"/>
        <n v="143.54"/>
        <n v="2.7899999999999999E-3"/>
        <n v="0.46960000000000002"/>
        <n v="9.6659999999999992E-3"/>
        <n v="2.4559999999999998E-3"/>
        <n v="2.5579999999999999E-3"/>
        <n v="2.9520000000000002E-3"/>
        <n v="8.9669999999999993E-3"/>
        <n v="2.49E-3"/>
        <n v="0.18490000000000001"/>
        <n v="2.7299999999999998E-3"/>
        <n v="70.16"/>
        <n v="1.931E-3"/>
        <n v="5.296E-2"/>
        <n v="4.9899999999999996E-3"/>
        <n v="7.5439999999999993E-2"/>
        <n v="2.174E-4"/>
        <n v="2.5660000000000001E-3"/>
        <s v="2.036e-05"/>
        <n v="1.89E-3"/>
        <n v="40.44"/>
        <n v="24.92"/>
        <n v="6.2940000000000001E-3"/>
        <n v="10.050000000000001"/>
        <n v="2.3480000000000001E-2"/>
        <n v="1111.68"/>
        <n v="9.5359999999999998E-4"/>
        <n v="2.6289999999999999E-4"/>
        <n v="1.5690000000000001E-3"/>
        <n v="4.6309999999999997E-2"/>
        <n v="309.61"/>
        <n v="5.3672999999999998E-2"/>
        <n v="1.5410000000000001E-3"/>
        <n v="1.539E-3"/>
        <n v="0.10249999999999999"/>
        <n v="2.0300000000000001E-3"/>
        <n v="8.4791000000000005E-2"/>
        <n v="1.624E-3"/>
        <n v="158.87"/>
        <n v="9.8760000000000001E-2"/>
        <n v="7.1909999999999997E-4"/>
        <n v="6.6930000000000002E-3"/>
        <n v="710.69"/>
        <n v="973.38"/>
        <n v="1.2329999999999999E-3"/>
        <n v="439.47"/>
        <n v="1.2290000000000001E-3"/>
        <n v="4.2610000000000002E-2"/>
        <n v="5.3339999999999995E-4"/>
        <n v="3.3980000000000003E-2"/>
        <n v="2.5229999999999999E-2"/>
        <n v="7.1887000000000006E-2"/>
        <n v="5.7289999999999997E-3"/>
        <n v="0.38800000000000001"/>
        <n v="1.8929999999999999E-3"/>
        <n v="1.044E-3"/>
        <n v="10.06"/>
        <n v="63.35"/>
        <n v="2.1530000000000001E-2"/>
        <n v="78.67"/>
        <n v="111.75"/>
        <n v="102.68"/>
        <n v="3.5349999999999997E-4"/>
        <n v="8.2010000000000004E-4"/>
        <n v="5.0970000000000001E-2"/>
        <n v="1.56E-4"/>
        <n v="0.2024"/>
        <n v="1.0089999999999999E-3"/>
        <n v="127.69" u="1"/>
        <n v="62905.02" u="1"/>
        <n v="1861.07" u="1"/>
        <n v="586.66999999999996" u="1"/>
        <n v="0.99980000000000002" u="1"/>
        <n v="1.06" u="1"/>
        <n v="72.87" u="1"/>
        <n v="0.32579999999999998" u="1"/>
        <n v="52.77" u="1"/>
        <n v="6.9400000000000003E-2" u="1"/>
        <n v="9.75" u="1"/>
        <n v="455.74" u="1"/>
        <n v="354.89" u="1"/>
        <n v="0.16869999999999999" u="1"/>
        <n v="0.7379" u="1"/>
        <n v="6.2700000000000006E-2" u="1"/>
        <n v="6.2600000000000003E-2" u="1"/>
        <n v="1.05" u="1"/>
        <n v="0.50609999999999999" u="1"/>
        <n v="12.58" u="1"/>
        <n v="0.13880000000000001" u="1"/>
        <n v="1.44" u="1"/>
        <n v="2.07E-2" u="1"/>
        <n v="5.28E-2" u="1"/>
        <n v="13.16" u="1"/>
        <n v="4.2799999999999998E-2" u="1"/>
        <n v="0.20019999999999999" u="1"/>
        <n v="4.3E-3" u="1"/>
        <n v="0.1062" u="1"/>
        <n v="1.2699999999999999E-2" u="1"/>
        <n v="0.7339" u="1"/>
        <n v="5.1799999999999999E-2" u="1"/>
        <n v="0.99519999999999997" u="1"/>
        <n v="0.1946" u="1"/>
        <n v="3.55" u="1"/>
        <n v="8.2500000000000004E-2" u="1"/>
        <n v="0.99829999999999997" u="1"/>
        <n v="0.99929999999999997" u="1"/>
        <n v="0.15809999999999999" u="1"/>
        <n v="5.9999999999999995E-4" u="1"/>
        <n v="3.5999999999999999E-3" u="1"/>
        <n v="0.42949999999999999" u="1"/>
        <n v="5.7799999999999997E-2" u="1"/>
        <n v="2.3800000000000002E-2" u="1"/>
        <n v="0.04" u="1"/>
        <n v="9.3100000000000002E-2" u="1"/>
        <n v="0.29160000000000003" u="1"/>
        <n v="2.95" u="1"/>
        <n v="0.27189999999999998" u="1"/>
        <n v="8.0000000000000004E-4" u="1"/>
        <n v="0.19450000000000001" u="1"/>
        <n v="0.1736" u="1"/>
        <n v="0.40310000000000001" u="1"/>
        <n v="7.3000000000000001E-3" u="1"/>
        <n v="4.8999999999999998E-3" u="1"/>
        <n v="200.13" u="1"/>
        <n v="3.8899999999999997E-2" u="1"/>
        <n v="5.04E-2" u="1"/>
        <n v="0.47439999999999999" u="1"/>
        <n v="3.5000000000000001E-3" u="1"/>
        <n v="1.5100000000000001E-2" u="1"/>
        <n v="7.9899999999999999E-2" u="1"/>
        <n v="3.8999999999999998E-3" u="1"/>
        <n v="7.0000000000000007E-2" u="1"/>
        <n v="1.1499999999999999" u="1"/>
        <n v="0.26400000000000001" u="1"/>
        <n v="6.2799999999999995E-2" u="1"/>
        <n v="13.52" u="1"/>
        <n v="3.5299999999999998E-2" u="1"/>
        <n v="1E-4" u="1"/>
        <n v="2.5600000000000001E-2" u="1"/>
        <n v="27.67" u="1"/>
        <n v="7.5300000000000006E-2" u="1"/>
        <n v="0" u="1"/>
        <n v="5.0000000000000001E-4" u="1"/>
        <n v="5.6800000000000003E-2" u="1"/>
        <n v="0.11070000000000001" u="1"/>
        <n v="5.8599999999999999E-2" u="1"/>
        <n v="113.71" u="1"/>
        <n v="0.11799999999999999" u="1"/>
        <n v="0.26240000000000002" u="1"/>
        <n v="1.11E-2" u="1"/>
        <n v="2.83" u="1"/>
        <n v="8.48E-2" u="1"/>
        <n v="6.6E-3" u="1"/>
        <n v="819.57" u="1"/>
        <n v="1.42" u="1"/>
        <n v="2.2000000000000001E-3" u="1"/>
        <n v="1211.4100000000001" u="1"/>
        <n v="3.6600000000000001E-2" u="1"/>
        <n v="697.68" u="1"/>
        <n v="1.6999999999999999E-3" u="1"/>
        <n v="8.0399999999999999E-2" u="1"/>
        <n v="0.12959999999999999" u="1"/>
        <n v="5.7999999999999996E-3" u="1"/>
        <n v="4.2000000000000003E-2" u="1"/>
        <n v="8.0000000000000002E-3" u="1"/>
        <n v="2.2700000000000001E-2" u="1"/>
        <n v="8.2000000000000007E-3" u="1"/>
        <n v="8.9999999999999998E-4" u="1"/>
        <n v="4.0000000000000002E-4" u="1"/>
        <n v="2.0000000000000001E-4" u="1"/>
        <n v="1.7299999999999999E-2" u="1"/>
        <n v="3.6400000000000002E-2" u="1"/>
        <n v="187.9" u="1"/>
        <n v="7.9000000000000008E-3" u="1"/>
        <n v="6.7699999999999996E-2" u="1"/>
        <n v="3.2000000000000002E-3" u="1"/>
        <n v="0.40110000000000001" u="1"/>
        <n v="0.11890000000000001" u="1"/>
        <n v="1.6799999999999999E-2" u="1"/>
        <n v="0.64429999999999998" u="1"/>
        <n v="16.260000000000002" u="1"/>
        <n v="1.21E-2" u="1"/>
        <n v="0.20369999999999999" u="1"/>
        <n v="6.8999999999999999E-3" u="1"/>
        <n v="92.99" u="1"/>
        <n v="0.99690000000000001" u="1"/>
        <n v="75.760000000000005" u="1"/>
        <n v="2.5" u="1"/>
        <n v="1.29E-2" u="1"/>
        <n v="1.1900000000000001E-2" u="1"/>
        <n v="6.3200000000000006E-2" u="1"/>
        <n v="0.77969999999999995" u="1"/>
        <n v="310.04000000000002" u="1"/>
        <n v="1.3599999999999999E-2" u="1"/>
        <n v="0.94079999999999997" u="1"/>
        <n v="5.1999999999999998E-3" u="1"/>
        <n v="1.8800000000000001E-2" u="1"/>
        <n v="0.1129" u="1"/>
        <n v="1.6E-2" u="1"/>
        <n v="189.95" u="1"/>
        <n v="2.0799999999999999E-2" u="1"/>
        <n v="5.11E-2" u="1"/>
        <n v="3.2000000000000001E-2" u="1"/>
        <n v="9.1999999999999998E-3" u="1"/>
        <n v="7.6E-3" u="1"/>
        <n v="0.84689999999999999" u="1"/>
        <n v="0.51459999999999995" u="1"/>
        <n v="93.78" u="1"/>
        <n v="1.7999999999999999E-2" u="1"/>
        <n v="7.4000000000000003E-3" u="1"/>
        <n v="108.07" u="1"/>
        <n v="64.97" u="1"/>
        <n v="0.60899999999999999" u="1"/>
        <n v="1.4999999999999999E-2" u="1"/>
        <n v="2.6200000000000001E-2" u="1"/>
        <n v="0.10150000000000001" u="1"/>
        <n v="0.26919999999999999" u="1"/>
        <n v="9.5999999999999992E-3" u="1"/>
        <n v="4.5999999999999999E-3" u="1"/>
        <n v="0.1628" u="1"/>
        <n v="9.3000000000000007" u="1"/>
        <n v="3.44E-2" u="1"/>
        <n v="0.24560000000000001" u="1"/>
        <n v="9.4000000000000004E-3" u="1"/>
        <n v="389.13" u="1"/>
        <n v="7.6399999999999996E-2" u="1"/>
        <n v="3.5999999999999997E-2" u="1"/>
        <n v="0.13020000000000001" u="1"/>
        <n v="0.1221" u="1"/>
        <n v="7.1000000000000004E-3" u="1"/>
        <n v="3.4200000000000001E-2" u="1"/>
        <n v="592.08000000000004" u="1"/>
        <n v="8.8999999999999999E-3" u="1"/>
        <n v="6.54E-2" u="1"/>
        <n v="1.5E-3" u="1"/>
        <n v="1.24E-2" u="1"/>
        <n v="5.1000000000000004E-3" u="1"/>
        <n v="2.86E-2" u="1"/>
        <n v="7.7299999999999994E-2" u="1"/>
        <n v="0.22889999999999999" u="1"/>
        <n v="0.22939999999999999" u="1"/>
        <n v="50.02" u="1"/>
        <n v="58.92" u="1"/>
        <n v="3.3E-3" u="1"/>
        <n v="9.7000000000000003E-3" u="1"/>
        <n v="1.6500000000000001E-2" u="1"/>
        <n v="123.11" u="1"/>
        <n v="1.1999999999999999E-3" u="1"/>
        <n v="5.4999999999999997E-3" u="1"/>
        <n v="479.08" u="1"/>
        <n v="8.6300000000000002E-2" u="1"/>
        <n v="4.0000000000000001E-3" u="1"/>
        <n v="1.8E-3" u="1"/>
        <n v="2.7099999999999999E-2" u="1"/>
        <n v="2.2200000000000001E-2" u="1"/>
        <n v="554.79999999999995" u="1"/>
        <n v="1.32E-2" u="1"/>
        <n v="7.4999999999999997E-3" u="1"/>
        <n v="2.2499999999999999E-2" u="1"/>
        <n v="0.25609999999999999" u="1"/>
        <n v="4.1300000000000003E-2" u="1"/>
        <n v="2E-3" u="1"/>
        <n v="9.9400000000000002E-2" u="1"/>
        <n v="404.09" u="1"/>
        <n v="59.16" u="1"/>
        <n v="64.08" u="1"/>
        <n v="121.88" u="1"/>
        <n v="147.44" u="1"/>
        <n v="7.7999999999999996E-3" u="1"/>
        <n v="6.7000000000000002E-3" u="1"/>
        <n v="6.9999999999999999E-4" u="1"/>
        <n v="7.1300000000000002E-2" u="1"/>
        <n v="2.9999999999999997E-4" u="1"/>
        <n v="1.6199999999999999E-2" u="1"/>
        <n v="5.16E-2" u="1"/>
        <n v="145.94" u="1"/>
        <n v="3.0000000000000001E-3" u="1"/>
        <n v="6.6100000000000006E-2" u="1"/>
        <n v="8.0999999999999996E-3" u="1"/>
        <n v="85.33" u="1"/>
        <n v="1.3100000000000001E-2" u="1"/>
        <n v="76.34" u="1"/>
        <n v="8.0799999999999997E-2" u="1"/>
        <n v="86.51" u="1"/>
        <n v="9.2999999999999992E-3" u="1"/>
        <n v="575.01" u="1"/>
        <n v="2.3699999999999999E-2" u="1"/>
        <n v="4.7999999999999996E-3" u="1"/>
        <n v="9.7100000000000006E-2" u="1"/>
        <n v="1.2999999999999999E-3" u="1"/>
        <n v="1.9400000000000001E-2" u="1"/>
        <n v="2.5000000000000001E-3" u="1"/>
        <n v="3.5499999999999997E-2" u="1"/>
        <n v="1.61E-2" u="1"/>
        <n v="5.2699999999999997E-2" u="1"/>
        <n v="8.1100000000000005E-2" u="1"/>
        <n v="1.1000000000000001E-3" u="1"/>
        <n v="22.49" u="1"/>
        <n v="206.65" u="1"/>
        <n v="5.2499999999999998E-2" u="1"/>
        <n v="1E-3" u="1"/>
        <n v="2.0999999999999999E-3" u="1"/>
        <n v="6.9699999999999998E-2" u="1"/>
        <n v="64.62" u="1"/>
        <n v="1.83E-2" u="1"/>
        <n v="3.8800000000000001E-2" u="1"/>
        <n v="6.1000000000000004E-3" u="1"/>
        <n v="270.94" u="1"/>
        <n v="4.4299999999999999E-2" u="1"/>
        <n v="20.239999999999998" u="1"/>
        <n v="1.41E-2" u="1"/>
        <n v="6.7999999999999996E-3" u="1"/>
      </sharedItems>
    </cacheField>
    <cacheField name="1h Change (%)" numFmtId="0">
      <sharedItems containsSemiMixedTypes="0" containsString="0" containsNumber="1" minValue="0" maxValue="45.45" count="183">
        <n v="7.0000000000000007E-2"/>
        <n v="0.18"/>
        <n v="0.12"/>
        <n v="0.01"/>
        <n v="0.5"/>
        <n v="0.97"/>
        <n v="0"/>
        <n v="0.62"/>
        <n v="0.03"/>
        <n v="0.26"/>
        <n v="0.72"/>
        <n v="0.64"/>
        <n v="0.17"/>
        <n v="0.06"/>
        <n v="1.21"/>
        <n v="0.45"/>
        <n v="1.66"/>
        <n v="1.63"/>
        <n v="1.37"/>
        <n v="1.85"/>
        <n v="0.08"/>
        <n v="1.98"/>
        <n v="1.69"/>
        <n v="0.23"/>
        <n v="0.91"/>
        <n v="1.1299999999999999"/>
        <n v="0.04"/>
        <n v="1.36"/>
        <n v="0.75"/>
        <n v="0.2"/>
        <n v="0.02"/>
        <n v="0.32"/>
        <n v="0.31"/>
        <n v="0.09"/>
        <n v="2.34"/>
        <n v="5.64"/>
        <n v="0.48"/>
        <n v="2.36"/>
        <n v="0.69"/>
        <n v="0.47"/>
        <n v="0.78"/>
        <n v="1.2"/>
        <n v="0.36"/>
        <n v="5.35"/>
        <n v="0.63"/>
        <n v="0.14000000000000001"/>
        <n v="0.38"/>
        <n v="0.21"/>
        <n v="1.88"/>
        <n v="0.84"/>
        <n v="0.34"/>
        <n v="1.33"/>
        <n v="1.19"/>
        <n v="1.3"/>
        <n v="0.28000000000000003"/>
        <n v="0.51"/>
        <n v="1.5"/>
        <n v="0.11"/>
        <n v="0.8"/>
        <n v="2.2799999999999998"/>
        <n v="0.7"/>
        <n v="1.22"/>
        <n v="0.37"/>
        <n v="1.46"/>
        <n v="1.07"/>
        <n v="0.1"/>
        <n v="0.93"/>
        <n v="0.05"/>
        <n v="1.44"/>
        <n v="0.35"/>
        <n v="0.61"/>
        <n v="0.13"/>
        <n v="0.39"/>
        <n v="0.77"/>
        <n v="1.18"/>
        <n v="0.19"/>
        <n v="30.91"/>
        <n v="0.46"/>
        <n v="0.15"/>
        <n v="0.24"/>
        <n v="0.28999999999999998"/>
        <n v="0.9"/>
        <n v="1.05"/>
        <n v="6.1"/>
        <n v="1.26"/>
        <n v="0.71"/>
        <n v="8.0399999999999991"/>
        <n v="3.23"/>
        <n v="0.55000000000000004"/>
        <n v="2.8"/>
        <n v="0.22"/>
        <n v="0.4"/>
        <n v="1.79"/>
        <n v="0.33"/>
        <n v="0.3"/>
        <n v="0.99"/>
        <n v="0.89"/>
        <n v="1.67"/>
        <n v="4.9800000000000004"/>
        <n v="1.0900000000000001"/>
        <n v="4.33"/>
        <n v="19.54"/>
        <n v="0.76"/>
        <n v="1.72"/>
        <n v="0.42"/>
        <n v="1.45"/>
        <n v="0.44"/>
        <n v="2.08"/>
        <n v="0.25"/>
        <n v="4.4000000000000004"/>
        <n v="0.73"/>
        <n v="1.42"/>
        <n v="1.56"/>
        <n v="45.45"/>
        <n v="3.55"/>
        <n v="9.58"/>
        <n v="5.71"/>
        <n v="1.89"/>
        <n v="2.91"/>
        <n v="3.52"/>
        <n v="5.14"/>
        <n v="1.41"/>
        <n v="1.38"/>
        <n v="1.86"/>
        <n v="0.27"/>
        <n v="5.65"/>
        <n v="3.46"/>
        <n v="2.68"/>
        <n v="0.16"/>
        <n v="1.34"/>
        <n v="0.43"/>
        <n v="0.49"/>
        <n v="0.92" u="1"/>
        <n v="0.41" u="1"/>
        <n v="0.57999999999999996" u="1"/>
        <n v="0.85" u="1"/>
        <n v="0.82" u="1"/>
        <n v="1.1399999999999999" u="1"/>
        <n v="0.59" u="1"/>
        <n v="1.03" u="1"/>
        <n v="1.96" u="1"/>
        <n v="0.66" u="1"/>
        <n v="0.81" u="1"/>
        <n v="1.01" u="1"/>
        <n v="4.53" u="1"/>
        <n v="2.62" u="1"/>
        <n v="0.83" u="1"/>
        <n v="0.53" u="1"/>
        <n v="1.04" u="1"/>
        <n v="4.3499999999999996" u="1"/>
        <n v="0.88" u="1"/>
        <n v="0.54" u="1"/>
        <n v="1.23" u="1"/>
        <n v="3.06" u="1"/>
        <n v="3.01" u="1"/>
        <n v="1.8" u="1"/>
        <n v="0.56999999999999995" u="1"/>
        <n v="1.53" u="1"/>
        <n v="1" u="1"/>
        <n v="5.57" u="1"/>
        <n v="1.17" u="1"/>
        <n v="0.87" u="1"/>
        <n v="3.85" u="1"/>
        <n v="0.98" u="1"/>
        <n v="2.42" u="1"/>
        <n v="0.52" u="1"/>
        <n v="1.25" u="1"/>
        <n v="2.37" u="1"/>
        <n v="1.75" u="1"/>
        <n v="0.67" u="1"/>
        <n v="1.29" u="1"/>
        <n v="1.92" u="1"/>
        <n v="2.2599999999999998" u="1"/>
        <n v="9.1999999999999993" u="1"/>
        <n v="5.66" u="1"/>
        <n v="1.1499999999999999" u="1"/>
        <n v="3.39" u="1"/>
        <n v="16.46" u="1"/>
        <n v="0.74" u="1"/>
        <n v="0.95" u="1"/>
        <n v="0.56000000000000005" u="1"/>
        <n v="2.02" u="1"/>
        <n v="4.4800000000000004" u="1"/>
      </sharedItems>
    </cacheField>
    <cacheField name="Market Cap" numFmtId="0">
      <sharedItems containsMixedTypes="1" containsNumber="1" containsInteger="1" minValue="1000000" maxValue="94970000000"/>
    </cacheField>
    <cacheField name="Volume (24h)" numFmtId="0">
      <sharedItems containsBlank="1" containsMixedTypes="1" containsNumber="1" minValue="0.78369999999999995" maxValue="60980000000"/>
    </cacheField>
    <cacheField name="Circulating Supply" numFmtId="0">
      <sharedItems containsMixedTypes="1" containsNumber="1" containsInteger="1" minValue="1260" maxValue="99420000000"/>
    </cacheField>
    <cacheField name="Doller Volume per Supply" numFmtId="0">
      <sharedItems containsSemiMixedTypes="0" containsString="0" containsNumber="1" minValue="0" maxValue="3658.7301587301586"/>
    </cacheField>
    <cacheField name="Rank " numFmtId="0">
      <sharedItems containsMixedTypes="1" containsNumber="1" containsInteger="1" minValue="1" maxValue="286"/>
    </cacheField>
    <cacheField name="Price range" numFmtId="0">
      <sharedItems/>
    </cacheField>
    <cacheField name="Price Category" numFmtId="0">
      <sharedItems/>
    </cacheField>
    <cacheField name="Previous 1h Price" numFmtId="0">
      <sharedItems containsSemiMixedTypes="0" containsString="0" containsNumber="1" minValue="2.0337628608530617E-5" maxValue="80364.473946895596"/>
    </cacheField>
    <cacheField name="Task4 Price Range" numFmtId="0">
      <sharedItems/>
    </cacheField>
    <cacheField name="24h Change (%)" numFmtId="0">
      <sharedItems containsSemiMixedTypes="0" containsString="0" containsNumber="1" minValue="0" maxValue="150.69"/>
    </cacheField>
    <cacheField name="7d Change (%)" numFmtId="0">
      <sharedItems containsSemiMixedTypes="0" containsString="0" containsNumber="1" minValue="0" maxValue="25536.22"/>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NEHITH" refreshedDate="46273.548871874998" createdVersion="8" refreshedVersion="8" minRefreshableVersion="3" recordCount="300" xr:uid="{84ECC609-F237-43B1-81F3-EB2866497429}">
  <cacheSource type="worksheet">
    <worksheetSource ref="A1:J301" sheet="Task5_datatable"/>
  </cacheSource>
  <cacheFields count="10">
    <cacheField name="Coin Name" numFmtId="0">
      <sharedItems count="300">
        <s v="CoinMarketCap 20 Index DTF"/>
        <s v="Bitcoin"/>
        <s v="Ethereum"/>
        <s v="Tether"/>
        <s v="BNB"/>
        <s v="XRP"/>
        <s v="USDC"/>
        <s v="Solana"/>
        <s v="TRON"/>
        <s v="Hyperliquid"/>
        <s v="Dogecoin"/>
        <s v="Zcash"/>
        <s v="Chainlink"/>
        <s v="UNUS SED LEO"/>
        <s v="Monero"/>
        <s v="Gnosis"/>
        <s v="Lido DAO"/>
        <s v="Pendle"/>
        <s v="Terra Classic"/>
        <s v="Pieverse"/>
        <s v="Jito"/>
        <s v="BitTorrent [New]"/>
        <s v="Bonk"/>
        <s v="Falcon Finance"/>
        <s v="AINFT"/>
        <s v="Plasma"/>
        <s v="Immutable"/>
        <s v="Conflux"/>
        <s v="FLOKI"/>
        <s v="Tezos"/>
        <s v="Rain"/>
        <s v="Decimal"/>
        <s v="Ondo US Dollar Yield"/>
        <s v="HTX"/>
        <s v="Bitway"/>
        <s v="USDGO"/>
        <s v="Falcon USD"/>
        <s v="c8ntinuum"/>
        <s v="Jupiter Perps LP"/>
        <s v="GHO"/>
        <s v="Beldex"/>
        <s v="Usual USD"/>
        <s v="USDai"/>
        <s v="Solstice USX"/>
        <s v="Unibase"/>
        <s v="Arrow Finance"/>
        <s v="Diem"/>
        <s v="ECOMI"/>
        <s v="Fidelity Digital Dollar"/>
        <s v="Wormhole"/>
        <s v="NEXPACE"/>
        <s v="BNB Attestation Service"/>
        <s v="Popcat (SOL)"/>
        <s v="would"/>
        <s v="Jimothy The Raccoon"/>
        <s v="Targon"/>
        <s v="Dohrnii"/>
        <s v="StandX DUSD"/>
        <s v="Venus BUSD"/>
        <s v="Qubic"/>
        <s v="Mask Network"/>
        <s v="Gravity"/>
        <s v="River"/>
        <s v="Audiera"/>
        <s v="Magma Finance"/>
        <s v="Locus Chain"/>
        <s v="Aztec"/>
        <s v="Verge"/>
        <s v="Keeta"/>
        <s v="ssv.network"/>
        <s v="Lombard"/>
        <s v="Frankencoin"/>
        <s v="ApeX Protocol"/>
        <s v="Threshold"/>
        <s v="Notcoin"/>
        <s v="templar"/>
        <s v="Vana"/>
        <s v="LUSD"/>
        <s v="World Mobile Token"/>
        <s v="Lista DAO"/>
        <s v="ZORA"/>
        <s v="iota"/>
        <s v="TerraClassicUSD"/>
        <s v="EthereumPoW"/>
        <s v="Waves"/>
        <s v="Fabric Protocol"/>
        <s v="Sahara AI"/>
        <s v="Anoma"/>
        <s v="Status"/>
        <s v="DEAPcoin"/>
        <s v="B3 (Base)"/>
        <s v="GMT"/>
        <s v="Catizen"/>
        <s v="Block Street"/>
        <s v="Isiklar Coin"/>
        <s v="Usual"/>
        <s v="Pundi X (New)"/>
        <s v="Stargate Finance"/>
        <s v="Bounce Token"/>
        <s v="saffron.finance"/>
        <s v="State Street SPDR S&amp;P 500 ETF Tokenized bStocks"/>
        <s v="Metis"/>
        <s v="WOO"/>
        <s v="AO"/>
        <s v="Ergo"/>
        <s v="MAX Exchange Token"/>
        <s v="Young"/>
        <s v="STBL"/>
        <s v="BitMart Token"/>
        <s v="Goldgr"/>
        <s v="Measurable Data Token"/>
        <s v="Enso"/>
        <s v="Cobak Token"/>
        <s v="Codatta"/>
        <s v="Tether Gold Tokens"/>
        <s v="Spell Token"/>
        <s v="Namecoin"/>
        <s v="Pocket Network"/>
        <s v="NaoX Protocol"/>
        <s v="Eesee"/>
        <s v="Corn"/>
        <s v="Mey Network"/>
        <s v="Pepecoin"/>
        <s v="AEON"/>
        <s v="Intel Tokenized Stock (Reality)"/>
        <s v="Infinex"/>
        <s v="Yooldo"/>
        <s v="SoFi Technologies Tokenized Stock (Ondo)"/>
        <s v="Boundless"/>
        <s v="Fluent"/>
        <s v="Solv Protocol"/>
        <s v="GYEN"/>
        <s v="ROGin AI"/>
        <s v="Firo"/>
        <s v="MovieBloc"/>
        <s v="DIAM"/>
        <s v="RAMP"/>
        <s v="Dolomite"/>
        <s v="Limitless"/>
        <s v="Billy (Bitcoin)"/>
        <s v="Creta World"/>
        <s v="Heima"/>
        <s v="SuperRare"/>
        <s v="AriaAI"/>
        <s v="MAGIC肘NTERNET筆ONEY (Bitcoin)"/>
        <s v="Squid"/>
        <s v="TG Casino"/>
        <s v="Act I : The AI Prophecy"/>
        <s v="Ambire Wallet"/>
        <s v="GUNZ"/>
        <s v="ANyONe Protocol"/>
        <s v="Pythia"/>
        <s v="Balancer"/>
        <s v="Paris Saint-Germain Fan Token"/>
        <s v="Meta tokenized stock (xStock)"/>
        <s v="Towns"/>
        <s v="Groestlcoin"/>
        <s v="Apple Tokenized Stock (Ondo)"/>
        <s v="Echelon Prime"/>
        <s v="Peercoin"/>
        <s v="ResearchCoin"/>
        <s v="Nebius Tokenized bStocks"/>
        <s v="Stader"/>
        <s v="ULTILAND"/>
        <s v="inSure DeFi"/>
        <s v="Bitgert"/>
        <s v="Mansory"/>
        <s v="WazirX"/>
        <s v="SUPRA"/>
        <s v="McDull"/>
        <s v="Edel"/>
        <s v="Avici"/>
        <s v="Elastos"/>
        <s v="Portal To Bitcoin"/>
        <s v="Micron Technology Inc tokenized stock (Backpack)"/>
        <s v="MARBLEX"/>
        <s v="ELYSIA"/>
        <s v="NAVI Protocol"/>
        <s v="PayAI Network"/>
        <s v="district0x"/>
        <s v="Pups (Bitcoin)"/>
        <s v="Partisia Blockchain"/>
        <s v="Juventus Fan Token"/>
        <s v="AMO Coin"/>
        <s v="S.S. Lazio Fan Token"/>
        <s v="FAR Labs"/>
        <s v="Manchester City Fan Token"/>
        <s v="RHEA Finance"/>
        <s v="Bytecoin"/>
        <s v="CyberLeek"/>
        <s v="Kryll"/>
        <s v="Lingo"/>
        <s v="PoP Planet"/>
        <s v="Direxion Semiconductor Bull 3X tokenized ETF (xStock)"/>
        <s v="Mitosis"/>
        <s v="Truth"/>
        <s v="Arsenal Fan Token"/>
        <s v="HOPR"/>
        <s v="???"/>
        <s v="Hivemapper"/>
        <s v="AMD Tokenised Stock (xStock)"/>
        <s v="VitaDAO"/>
        <s v="Yee Token"/>
        <s v="Wexo"/>
        <s v="PlatON"/>
        <s v="TrustSwap"/>
        <s v="MetFi"/>
        <s v="Vertcoin"/>
        <s v="Aragon"/>
        <s v="Bitrue Coin"/>
        <s v="League of Traders"/>
        <s v="Advanced Micro Devices Tokenized bStocks"/>
        <s v="Grin"/>
        <s v="iShares Core S&amp;P MidCap Tokenized ETF (Ondo)"/>
        <s v="Odos"/>
        <s v="Games for a Living"/>
        <s v="ZenChain"/>
        <s v="Vanar Chain"/>
        <s v="PeiPei (ETH)"/>
        <s v="Star Atlas DAO"/>
        <s v="Aleph Zero"/>
        <s v="Avalon Labs (AVL)"/>
        <s v="Cratos"/>
        <s v="Shido Network"/>
        <s v="Shark Cat"/>
        <s v="Pons"/>
        <s v="Novo Nordisk Tokenized Stock (Ondo)"/>
        <s v="Immunefi"/>
        <s v="Not Pixel"/>
        <s v="World of Dypians"/>
        <s v="Global X DRAM ETF Tokenized Stock (Reality)"/>
        <s v="Oracle tokenized stock (xStock)"/>
        <s v="Mythos"/>
        <s v="Validity"/>
        <s v="Aleph Cloud"/>
        <s v="Russell"/>
        <s v="Zeus Network"/>
        <s v="CEEK VR"/>
        <s v="OneFootball Credits"/>
        <s v="REI Network"/>
        <s v="Blockchain Foundation for Innovation &amp; Collaboration"/>
        <s v="WINR Protocol"/>
        <s v="ProShares UltraPro QQQ Tokenized bStocks"/>
        <s v="The Official 67 Coin"/>
        <s v="Tether EURt"/>
        <s v="ﾆternity"/>
        <s v="Nya"/>
        <s v="BioPassport Token"/>
        <s v="DAR Open Network"/>
        <s v="Verasity"/>
        <s v="Scamcoin"/>
        <s v="IREN Limited Tokenized bStocks"/>
        <s v="BitMine Immersion Technologies Tokenized Stock (Ondo)"/>
        <s v="XSwap"/>
        <s v="Nokia Tokenized bStocks"/>
        <s v="Ribbon Finance"/>
        <s v="Bitcoin Silver AI"/>
        <s v="Ctomorrow Platform"/>
        <s v="Nodle"/>
        <s v="Capricorn"/>
        <s v="NetMind Token"/>
        <s v="Apple Tokenized Stock (Robinhood)"/>
        <s v="Hoppy (hoppy.vip)"/>
        <s v="Torch of Liberty"/>
        <s v="Vader"/>
        <s v="GameFi.org"/>
        <s v="iMe Lab"/>
        <s v="OciCat"/>
        <s v="ArchLoot"/>
        <s v="SK Hynix Tokenized Stock (Ondo)"/>
        <s v="WELF"/>
        <s v="SLIMEX"/>
        <s v="Zyfai"/>
        <s v="AllUnity EUR"/>
        <s v="Invesco QQQ Tokenized ETF (Robinhood)"/>
        <s v="Costco Tokenized Stock (Ondo)"/>
        <s v="Free Joby"/>
        <s v="Dell Technologies Inc. tokenized stock (xStock)"/>
        <s v="Dejitaru Tsuka"/>
        <s v="TOKPIE"/>
        <s v="SHPING"/>
        <s v="RENEC"/>
        <s v="ScPrime"/>
        <s v="Chickencoin"/>
        <s v="RICE AI"/>
        <s v="RigoBlock"/>
        <s v="Skey Network"/>
        <s v="Cashaa"/>
        <s v="Nokia Tokenized Stock (Ondo)"/>
        <s v="AST SpaceMobile Tokenized bStocks"/>
        <s v="Morpheus.Network"/>
        <s v="Franklin US Large Cap Multifactor Index Tokenized ETF (Ondo)"/>
        <s v="Disney Tokenized Stock (Ondo)"/>
        <s v="Pandora"/>
        <s v="Shrapnel"/>
        <s v="Nexera"/>
        <s v="BitCore"/>
        <s v="W Coin"/>
        <s v="Trias Token (New)"/>
        <s v="Pwease"/>
      </sharedItems>
    </cacheField>
    <cacheField name="Symbol" numFmtId="0">
      <sharedItems containsMixedTypes="1" containsNumber="1" containsInteger="1" minValue="67" maxValue="67" count="300">
        <s v="CMC20"/>
        <s v="BTC"/>
        <s v="ETH"/>
        <s v="USDT"/>
        <s v="BNB"/>
        <s v="XRP"/>
        <s v="USDC"/>
        <s v="SOL"/>
        <s v="TRX"/>
        <s v="HYPE"/>
        <s v="DOGE"/>
        <s v="ZEC"/>
        <s v="LINK"/>
        <s v="LEO"/>
        <s v="XMR"/>
        <s v="GNO"/>
        <s v="LDO"/>
        <s v="PENDLE"/>
        <s v="LUNC"/>
        <s v="PIEVERSE"/>
        <s v="JTO"/>
        <s v="BTT"/>
        <s v="BONK"/>
        <s v="FF"/>
        <s v="NFT"/>
        <s v="XPL"/>
        <s v="IMX"/>
        <s v="CFX"/>
        <s v="FLOKI"/>
        <s v="XTZ"/>
        <s v="RAIN"/>
        <s v="DEL"/>
        <s v="USDY"/>
        <s v="HTX"/>
        <s v="BTW"/>
        <s v="USDGO"/>
        <s v="USDf"/>
        <s v="CTM"/>
        <s v="JLP"/>
        <s v="GHO"/>
        <s v="BDX"/>
        <s v="USD0"/>
        <s v="USDAI"/>
        <s v="USX"/>
        <s v="UB"/>
        <s v="ARROW"/>
        <s v="DIEM"/>
        <s v="OMI"/>
        <s v="FIDD"/>
        <s v="W"/>
        <s v="NXPC"/>
        <s v="BAS"/>
        <s v="POPCAT"/>
        <s v="WOULD"/>
        <s v="JIMOTHY"/>
        <s v="SN4"/>
        <s v="DHN"/>
        <s v="DUSD"/>
        <s v="vBUSD"/>
        <s v="QUBIC"/>
        <s v="MASK"/>
        <s v="G"/>
        <s v="RIVER"/>
        <s v="BEAT"/>
        <s v="MAGMA"/>
        <s v="LOCUS"/>
        <s v="AZTEC"/>
        <s v="XVG"/>
        <s v="KTA"/>
        <s v="SSV"/>
        <s v="BARD"/>
        <s v="ZCHF"/>
        <s v="APEX"/>
        <s v="T"/>
        <s v="NOT"/>
        <s v="SN3"/>
        <s v="VANA"/>
        <s v="LUSD"/>
        <s v="WMTX"/>
        <s v="LISTA"/>
        <s v="ZORA"/>
        <s v="SN9"/>
        <s v="USTC"/>
        <s v="ETHW"/>
        <s v="WAVES"/>
        <s v="ROBO"/>
        <s v="SAHARA"/>
        <s v="XAN"/>
        <s v="SNT"/>
        <s v="DEP"/>
        <s v="B3"/>
        <s v="GMT"/>
        <s v="CATI"/>
        <s v="BSB"/>
        <s v="ISIKC"/>
        <s v="USUAL"/>
        <s v="PUNDIX"/>
        <s v="STG"/>
        <s v="AUCTION"/>
        <s v="SFI"/>
        <s v="SPYB"/>
        <s v="METIS"/>
        <s v="WOO"/>
        <s v="AO"/>
        <s v="ERG"/>
        <s v="MAX"/>
        <s v="YNG"/>
        <s v="STBL"/>
        <s v="BMX"/>
        <s v="GOLDGR"/>
        <s v="MDT"/>
        <s v="ENSO"/>
        <s v="CBK"/>
        <s v="XNY"/>
        <s v="XAUT0"/>
        <s v="SPELL"/>
        <s v="NMC"/>
        <s v="POKT"/>
        <s v="NAORIS"/>
        <s v="ESE"/>
        <s v="CORN"/>
        <s v="MEY"/>
        <s v="PEP"/>
        <s v="AEON"/>
        <s v="rINTC"/>
        <s v="INX"/>
        <s v="ESPORTS"/>
        <s v="SOFIon"/>
        <s v="ZKC"/>
        <s v="BLEND"/>
        <s v="SOLV"/>
        <s v="GYEN"/>
        <s v="ROG"/>
        <s v="FIRO"/>
        <s v="MBL"/>
        <s v="DIAM"/>
        <s v="RAMP"/>
        <s v="DOLO"/>
        <s v="LMTS"/>
        <s v="BILLY"/>
        <s v="CRETA"/>
        <s v="HEI"/>
        <s v="RARE"/>
        <s v="ARIA"/>
        <s v="MIM"/>
        <s v="QUID"/>
        <s v="TGC"/>
        <s v="ACT"/>
        <s v="WALLET"/>
        <s v="GUN"/>
        <s v="ANYONE"/>
        <s v="PYTHIA"/>
        <s v="BAL"/>
        <s v="PSG"/>
        <s v="METAX"/>
        <s v="TOWNS"/>
        <s v="GRS"/>
        <s v="AAPLon"/>
        <s v="PRIME"/>
        <s v="PPC"/>
        <s v="RSC"/>
        <s v="NBISB"/>
        <s v="SD"/>
        <s v="ARTX"/>
        <s v="SURE"/>
        <s v="BRISE"/>
        <s v="MNSRY"/>
        <s v="WRX"/>
        <s v="SUPRA"/>
        <s v="MCDULL"/>
        <s v="EDEL"/>
        <s v="AVICI"/>
        <s v="ELA"/>
        <s v="PTB"/>
        <s v="MU"/>
        <s v="MBX"/>
        <s v="EL"/>
        <s v="NAVX"/>
        <s v="PAYAI"/>
        <s v="DNT"/>
        <s v="PUPS"/>
        <s v="MPC"/>
        <s v="JUV"/>
        <s v="AMO"/>
        <s v="LAZIO"/>
        <s v="FAR"/>
        <s v="CITY"/>
        <s v="RHEA"/>
        <s v="BCN"/>
        <s v="CYBERLEEK"/>
        <s v="KRL"/>
        <s v="LINGO"/>
        <s v="P"/>
        <s v="SOXLx"/>
        <s v="MITO"/>
        <s v="TRUU"/>
        <s v="AFC"/>
        <s v="HOPR"/>
        <s v="???"/>
        <s v="HONEY"/>
        <s v="AMDx"/>
        <s v="VITA"/>
        <s v="YEE"/>
        <s v="WEXO"/>
        <s v="LAT"/>
        <s v="SWAP"/>
        <s v="METFI"/>
        <s v="VTC"/>
        <s v="ANT"/>
        <s v="BTR"/>
        <s v="LOT"/>
        <s v="AMDB"/>
        <s v="GRIN"/>
        <s v="IJHon"/>
        <s v="ODOS"/>
        <s v="GFAL"/>
        <s v="ZTC"/>
        <s v="VANRY"/>
        <s v="PEIPEI"/>
        <s v="POLIS"/>
        <s v="AZERO"/>
        <s v="AVL"/>
        <s v="CRTS"/>
        <s v="SHIDO"/>
        <s v="SC"/>
        <s v="PONS"/>
        <s v="NVOon"/>
        <s v="IMU"/>
        <s v="PX"/>
        <s v="WOD"/>
        <s v="rDRAM"/>
        <s v="ORCLX"/>
        <s v="MYTH"/>
        <s v="VAL"/>
        <s v="ALEPH"/>
        <s v="RUSSELL"/>
        <s v="ZEUS"/>
        <s v="CEEK"/>
        <s v="OFC"/>
        <s v="REI"/>
        <s v="BFIC"/>
        <s v="WINR"/>
        <s v="TQQQB"/>
        <n v="67"/>
        <s v="EURt"/>
        <s v="AE"/>
        <s v="NYA"/>
        <s v="BIOT"/>
        <s v="D"/>
        <s v="VRA"/>
        <s v="SCAM"/>
        <s v="IRENB"/>
        <s v="BMNRon"/>
        <s v="XSWAP"/>
        <s v="NOKB"/>
        <s v="RBN"/>
        <s v="BSAI"/>
        <s v="CTP"/>
        <s v="NODL"/>
        <s v="APR"/>
        <s v="NMT"/>
        <s v="AAPL"/>
        <s v="HOPPY"/>
        <s v="LIBERTY"/>
        <s v="VADER"/>
        <s v="GAFI"/>
        <s v="LIME"/>
        <s v="OCICAT"/>
        <s v="AL"/>
        <s v="SKHYon"/>
        <s v="WELF"/>
        <s v="SLX"/>
        <s v="ZFI"/>
        <s v="EURAU"/>
        <s v="QQQ"/>
        <s v="COSTon"/>
        <s v="JOBY"/>
        <s v="DELLx"/>
        <s v="TSUKA"/>
        <s v="TKP"/>
        <s v="SHPING"/>
        <s v="RENEC"/>
        <s v="SCP"/>
        <s v="CHKN"/>
        <s v="RICE"/>
        <s v="GRG"/>
        <s v="SKEY"/>
        <s v="CAS"/>
        <s v="NOKon"/>
        <s v="ASTSB"/>
        <s v="MNW"/>
        <s v="FLQLon"/>
        <s v="DISon"/>
        <s v="PANDORA"/>
        <s v="SHRAP"/>
        <s v="NXRA"/>
        <s v="BTX"/>
        <s v="WCO"/>
        <s v="TRIAS"/>
        <s v="PWEASE"/>
      </sharedItems>
    </cacheField>
    <cacheField name="Price (USD)" numFmtId="0">
      <sharedItems containsMixedTypes="1" containsNumber="1" minValue="1.2689999999999999E-4" maxValue="80509.13"/>
    </cacheField>
    <cacheField name="1h Change (%)" numFmtId="0">
      <sharedItems containsSemiMixedTypes="0" containsString="0" containsNumber="1" minValue="0" maxValue="45.45"/>
    </cacheField>
    <cacheField name="24h Change (%" numFmtId="0">
      <sharedItems containsSemiMixedTypes="0" containsString="0" containsNumber="1" minValue="0" maxValue="150.69"/>
    </cacheField>
    <cacheField name="7d Change (%)" numFmtId="0">
      <sharedItems containsSemiMixedTypes="0" containsString="0" containsNumber="1" minValue="0" maxValue="25536.22"/>
    </cacheField>
    <cacheField name="7-Day Price" numFmtId="0">
      <sharedItems containsSemiMixedTypes="0" containsString="0" containsNumber="1" minValue="2.5485041932657405E-7" maxValue="3070.5236460717015"/>
    </cacheField>
    <cacheField name="24-Hour Price" numFmtId="0">
      <sharedItems containsMixedTypes="1" containsNumber="1" minValue="2.8551020408163266E-5" maxValue="4875.6947368421052"/>
    </cacheField>
    <cacheField name="Price Range" numFmtId="0">
      <sharedItems count="5">
        <s v="&gt;$50"/>
        <s v="$0.5-$5"/>
        <s v="$0.05-$0.5"/>
        <s v="$5-$50"/>
        <s v="$0-$0.05"/>
      </sharedItems>
    </cacheField>
    <cacheField name="Average Downfall (%)" numFmtId="0">
      <sharedItems containsSemiMixedTypes="0" containsString="0" containsNumber="1" minValue="0" maxValue="8524.6133333333328"/>
    </cacheField>
  </cacheFields>
  <extLst>
    <ext xmlns:x14="http://schemas.microsoft.com/office/spreadsheetml/2009/9/main" uri="{725AE2AE-9491-48be-B2B4-4EB974FC3084}">
      <x14:pivotCacheDefinition pivotCacheId="1117437980"/>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NEHITH" refreshedDate="46275.673780092591" createdVersion="8" refreshedVersion="8" minRefreshableVersion="3" recordCount="300" xr:uid="{3EECDF63-2478-474C-AEC0-676E31546538}">
  <cacheSource type="worksheet">
    <worksheetSource ref="A1:F301" sheet="Task4_Price_Change1"/>
  </cacheSource>
  <cacheFields count="6">
    <cacheField name="Coin Name" numFmtId="0">
      <sharedItems count="300">
        <s v="Act I : The AI Prophecy"/>
        <s v="Advanced Micro Devices Tokenized bStocks"/>
        <s v="AEON"/>
        <s v="Æternity"/>
        <s v="AINFT"/>
        <s v="Aleph Cloud"/>
        <s v="Aleph Zero"/>
        <s v="AllUnity EUR"/>
        <s v="Ambire Wallet"/>
        <s v="AMD Tokenised Stock (xStock)"/>
        <s v="AMO Coin"/>
        <s v="Anoma"/>
        <s v="ANyONe Protocol"/>
        <s v="AO"/>
        <s v="ApeX Protocol"/>
        <s v="Apple Tokenized Stock (Ondo)"/>
        <s v="Apple Tokenized Stock (Robinhood)"/>
        <s v="Aragon"/>
        <s v="ArchLoot"/>
        <s v="AriaAI"/>
        <s v="Arrow Finance"/>
        <s v="Arsenal Fan Token"/>
        <s v="AST SpaceMobile Tokenized bStocks"/>
        <s v="Audiera"/>
        <s v="Avalon Labs (AVL)"/>
        <s v="Avici"/>
        <s v="Aztec"/>
        <s v="B3 (Base)"/>
        <s v="Balancer"/>
        <s v="Beldex"/>
        <s v="Billy (Bitcoin)"/>
        <s v="BioPassport Token"/>
        <s v="Bitcoin"/>
        <s v="Bitcoin Silver AI"/>
        <s v="BitCore"/>
        <s v="Bitgert"/>
        <s v="BitMart Token"/>
        <s v="BitMine Immersion Technologies Tokenized Stock (Ondo)"/>
        <s v="Bitrue Coin"/>
        <s v="BitTorrent [New]"/>
        <s v="Bitway"/>
        <s v="Block Street"/>
        <s v="Blockchain Foundation for Innovation &amp; Collaboration"/>
        <s v="BNB"/>
        <s v="BNB Attestation Service"/>
        <s v="Bonk"/>
        <s v="Bounce Token"/>
        <s v="Boundless"/>
        <s v="Bytecoin"/>
        <s v="c8ntinuum"/>
        <s v="Capricorn"/>
        <s v="Cashaa"/>
        <s v="Catizen"/>
        <s v="CEEK VR"/>
        <s v="Chainlink"/>
        <s v="Chickencoin"/>
        <s v="Cobak Token"/>
        <s v="Codatta"/>
        <s v="CoinMarketCap 20 Index DTF"/>
        <s v="Conflux"/>
        <s v="Corn"/>
        <s v="Costco Tokenized Stock (Ondo)"/>
        <s v="Cratos"/>
        <s v="Creta World"/>
        <s v="Ctomorrow Platform"/>
        <s v="CyberLeek"/>
        <s v="DAR Open Network"/>
        <s v="DEAPcoin"/>
        <s v="Decimal"/>
        <s v="Dejitaru Tsuka"/>
        <s v="Dell Technologies Inc. tokenized stock (xStock)"/>
        <s v="DIAM"/>
        <s v="Diem"/>
        <s v="Direxion Semiconductor Bull 3X tokenized ETF (xStock)"/>
        <s v="Disney Tokenized Stock (Ondo)"/>
        <s v="district0x"/>
        <s v="Dogecoin"/>
        <s v="Dohrnii"/>
        <s v="Dolomite"/>
        <s v="Echelon Prime"/>
        <s v="ECOMI"/>
        <s v="Edel"/>
        <s v="Eesee"/>
        <s v="Elastos"/>
        <s v="ELYSIA"/>
        <s v="Enso"/>
        <s v="Ergo"/>
        <s v="Ethereum"/>
        <s v="EthereumPoW"/>
        <s v="Fabric Protocol"/>
        <s v="Falcon Finance"/>
        <s v="Falcon USD"/>
        <s v="FAR Labs"/>
        <s v="Fidelity Digital Dollar"/>
        <s v="Firo"/>
        <s v="FLOKI"/>
        <s v="Fluent"/>
        <s v="Frankencoin"/>
        <s v="Franklin US Large Cap Multifactor Index Tokenized ETF (Ondo)"/>
        <s v="Free Joby"/>
        <s v="GameFi.org"/>
        <s v="Games for a Living"/>
        <s v="GHO"/>
        <s v="Global X DRAM ETF Tokenized Stock (Reality)"/>
        <s v="GMT"/>
        <s v="Gnosis"/>
        <s v="Goldgr"/>
        <s v="Gravity"/>
        <s v="Grin"/>
        <s v="Groestlcoin"/>
        <s v="GUNZ"/>
        <s v="GYEN"/>
        <s v="Heima"/>
        <s v="Hivemapper"/>
        <s v="Hoppy (hoppy.vip)"/>
        <s v="HOPR"/>
        <s v="HTX"/>
        <s v="Hyperliquid"/>
        <s v="iMe Lab"/>
        <s v="Immunefi"/>
        <s v="Immutable"/>
        <s v="Infinex"/>
        <s v="inSure DeFi"/>
        <s v="Intel Tokenized Stock (Reality)"/>
        <s v="Invesco QQQ Tokenized ETF (Robinhood)"/>
        <s v="iota"/>
        <s v="IREN Limited Tokenized bStocks"/>
        <s v="iShares Core S&amp;P MidCap Tokenized ETF (Ondo)"/>
        <s v="Isiklar Coin"/>
        <s v="Jimothy The Raccoon"/>
        <s v="Jito"/>
        <s v="Jupiter Perps LP"/>
        <s v="Juventus Fan Token"/>
        <s v="Keeta"/>
        <s v="Kryll"/>
        <s v="League of Traders"/>
        <s v="Lido DAO"/>
        <s v="Limitless"/>
        <s v="Lingo"/>
        <s v="Lista DAO"/>
        <s v="Locus Chain"/>
        <s v="Lombard"/>
        <s v="LUSD"/>
        <s v="MAGIC•INTERNET•MONEY (Bitcoin)"/>
        <s v="Magma Finance"/>
        <s v="Manchester City Fan Token"/>
        <s v="Mansory"/>
        <s v="MARBLEX"/>
        <s v="Mask Network"/>
        <s v="MAX Exchange Token"/>
        <s v="McDull"/>
        <s v="Measurable Data Token"/>
        <s v="Meta tokenized stock (xStock)"/>
        <s v="MetFi"/>
        <s v="Metis"/>
        <s v="Mey Network"/>
        <s v="Micron Technology Inc tokenized stock (Backpack)"/>
        <s v="Mitosis"/>
        <s v="Monero"/>
        <s v="Morpheus.Network"/>
        <s v="MovieBloc"/>
        <s v="Mythos"/>
        <s v="Namecoin"/>
        <s v="NaoX Protocol"/>
        <s v="NAVI Protocol"/>
        <s v="Nebius Tokenized bStocks"/>
        <s v="NetMind Token"/>
        <s v="Nexera"/>
        <s v="NEXPACE"/>
        <s v="Nodle"/>
        <s v="Nokia Tokenized bStocks"/>
        <s v="Nokia Tokenized Stock (Ondo)"/>
        <s v="Not Pixel"/>
        <s v="Notcoin"/>
        <s v="Novo Nordisk Tokenized Stock (Ondo)"/>
        <s v="Nya"/>
        <s v="OciCat"/>
        <s v="Odos"/>
        <s v="Ondo US Dollar Yield"/>
        <s v="OneFootball Credits"/>
        <s v="Oracle tokenized stock (xStock)"/>
        <s v="Pandora"/>
        <s v="Paris Saint-Germain Fan Token"/>
        <s v="Partisia Blockchain"/>
        <s v="PayAI Network"/>
        <s v="Peercoin"/>
        <s v="PeiPei (ETH)"/>
        <s v="Pendle"/>
        <s v="Pepecoin"/>
        <s v="Pieverse"/>
        <s v="Plasma"/>
        <s v="PlatON"/>
        <s v="Pocket Network"/>
        <s v="Pons"/>
        <s v="PoP Planet"/>
        <s v="Popcat (SOL)"/>
        <s v="Portal To Bitcoin"/>
        <s v="ProShares UltraPro QQQ Tokenized bStocks"/>
        <s v="Pundi X (New)"/>
        <s v="Pups (Bitcoin)"/>
        <s v="Pwease"/>
        <s v="Pythia"/>
        <s v="Qubic"/>
        <s v="Rain"/>
        <s v="RAMP"/>
        <s v="REI Network"/>
        <s v="RENEC"/>
        <s v="ResearchCoin"/>
        <s v="RHEA Finance"/>
        <s v="Ribbon Finance"/>
        <s v="RICE AI"/>
        <s v="RigoBlock"/>
        <s v="River"/>
        <s v="ROGin AI"/>
        <s v="Russell"/>
        <s v="S.S. Lazio Fan Token"/>
        <s v="saffron.finance"/>
        <s v="Sahara AI"/>
        <s v="Scamcoin"/>
        <s v="ScPrime"/>
        <s v="Shark Cat"/>
        <s v="Shido Network"/>
        <s v="SHPING"/>
        <s v="Shrapnel"/>
        <s v="SK Hynix Tokenized Stock (Ondo)"/>
        <s v="Skey Network"/>
        <s v="SLIMEX"/>
        <s v="SoFi Technologies Tokenized Stock (Ondo)"/>
        <s v="Solana"/>
        <s v="Solstice USX"/>
        <s v="Solv Protocol"/>
        <s v="Spell Token"/>
        <s v="Squid"/>
        <s v="ssv.network"/>
        <s v="Stader"/>
        <s v="StandX DUSD"/>
        <s v="Star Atlas DAO"/>
        <s v="Stargate Finance"/>
        <s v="State Street SPDR S&amp;P 500 ETF Tokenized bStocks"/>
        <s v="Status"/>
        <s v="STBL"/>
        <s v="SuperRare"/>
        <s v="SUPRA"/>
        <s v="Targon"/>
        <s v="Terra Classic"/>
        <s v="TerraClassicUSD"/>
        <s v="Tether"/>
        <s v="Tether EURt"/>
        <s v="Tether Gold Tokens"/>
        <s v="Tezos"/>
        <s v="TG Casino"/>
        <s v="The Official 67 Coin"/>
        <s v="Threshold"/>
        <s v="TOKPIE"/>
        <s v="Torch of Liberty"/>
        <s v="Towns"/>
        <s v="Trias Token (New)"/>
        <s v="TRON"/>
        <s v="TrustSwap"/>
        <s v="Truth"/>
        <s v="ULTILAND"/>
        <s v="Unibase"/>
        <s v="UNUS SED LEO"/>
        <s v="USDai"/>
        <s v="USDC"/>
        <s v="USDGO"/>
        <s v="Usual"/>
        <s v="Usual USD"/>
        <s v="Vader"/>
        <s v="Validity"/>
        <s v="Vana"/>
        <s v="Vanar Chain"/>
        <s v="Venus BUSD"/>
        <s v="Verasity"/>
        <s v="Verge"/>
        <s v="Vertcoin"/>
        <s v="VitaDAO"/>
        <s v="W Coin"/>
        <s v="Waves"/>
        <s v="WazirX"/>
        <s v="WELF"/>
        <s v="Wexo"/>
        <s v="WINR Protocol"/>
        <s v="WOO"/>
        <s v="World Mobile Token"/>
        <s v="World of Dypians"/>
        <s v="Wormhole"/>
        <s v="would"/>
        <s v="XRP"/>
        <s v="XSwap"/>
        <s v="Yee Token"/>
        <s v="Yooldo"/>
        <s v="Young"/>
        <s v="Zcash"/>
        <s v="ZenChain"/>
        <s v="Zeus Network"/>
        <s v="ZORA"/>
        <s v="Zyfai"/>
        <s v="τemplar"/>
        <s v="错版马"/>
      </sharedItems>
    </cacheField>
    <cacheField name="Symbol" numFmtId="0">
      <sharedItems containsMixedTypes="1" containsNumber="1" containsInteger="1" minValue="67" maxValue="67"/>
    </cacheField>
    <cacheField name="Current Price" numFmtId="0">
      <sharedItems containsMixedTypes="1" containsNumber="1" minValue="1.2689999999999999E-4" maxValue="80509.13"/>
    </cacheField>
    <cacheField name="1h Change (%)" numFmtId="0">
      <sharedItems containsSemiMixedTypes="0" containsString="0" containsNumber="1" minValue="0" maxValue="45.45"/>
    </cacheField>
    <cacheField name="Previous 1h Price" numFmtId="0">
      <sharedItems containsSemiMixedTypes="0" containsString="0" containsNumber="1" minValue="2.0337628608530617E-5" maxValue="80364.473946895596"/>
    </cacheField>
    <cacheField name="Price Range" numFmtId="0">
      <sharedItems count="2">
        <s v="Up to $10"/>
        <s v="$10 and abov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x v="0"/>
    <s v="CMC20"/>
    <n v="165.6"/>
    <n v="7.0000000000000007E-2"/>
    <n v="3.78"/>
    <n v="27.04"/>
    <n v="5.9058487874465051"/>
    <s v="N/A"/>
    <x v="0"/>
  </r>
  <r>
    <x v="1"/>
    <s v="BTC"/>
    <n v="80509.13"/>
    <n v="0.18"/>
    <n v="3.94"/>
    <n v="25.22"/>
    <n v="3070.5236460717015"/>
    <s v="N/A"/>
    <x v="0"/>
  </r>
  <r>
    <x v="2"/>
    <s v="ETH"/>
    <n v="2502.7199999999998"/>
    <n v="0.12"/>
    <n v="2.04"/>
    <n v="31.57"/>
    <n v="76.841264967761731"/>
    <s v="N/A"/>
    <x v="0"/>
  </r>
  <r>
    <x v="3"/>
    <s v="USDT"/>
    <n v="0.99960000000000004"/>
    <n v="0.01"/>
    <n v="0.05"/>
    <n v="0.06"/>
    <n v="0.94301886792452827"/>
    <n v="1.0522105263157895"/>
    <x v="1"/>
  </r>
  <r>
    <x v="4"/>
    <s v="BNB"/>
    <n v="713.29"/>
    <n v="0.5"/>
    <n v="2.08"/>
    <n v="18.03"/>
    <n v="37.482396216500256"/>
    <s v="N/A"/>
    <x v="0"/>
  </r>
  <r>
    <x v="5"/>
    <s v="XRP"/>
    <n v="1.5"/>
    <n v="0.97"/>
    <n v="2.21"/>
    <n v="50.9"/>
    <n v="2.8901734104046242E-2"/>
    <s v="N/A"/>
    <x v="1"/>
  </r>
  <r>
    <x v="6"/>
    <s v="USDC"/>
    <n v="0.99990000000000001"/>
    <n v="0"/>
    <n v="0.01"/>
    <n v="0.01"/>
    <n v="0.99"/>
    <n v="1.01"/>
    <x v="1"/>
  </r>
  <r>
    <x v="7"/>
    <s v="SOL"/>
    <n v="101.09"/>
    <n v="0.62"/>
    <n v="7.48"/>
    <n v="33.18"/>
    <n v="2.9575775307197194"/>
    <s v="N/A"/>
    <x v="0"/>
  </r>
  <r>
    <x v="8"/>
    <s v="TRX"/>
    <n v="0.34449999999999997"/>
    <n v="0.03"/>
    <n v="7.0000000000000007E-2"/>
    <n v="3.74"/>
    <n v="7.2679324894514757E-2"/>
    <n v="0.37043010752688171"/>
    <x v="2"/>
  </r>
  <r>
    <x v="9"/>
    <s v="HYPE"/>
    <n v="80.900000000000006"/>
    <n v="0.26"/>
    <n v="1.93"/>
    <n v="34.770000000000003"/>
    <n v="2.2616717920044729"/>
    <s v="N/A"/>
    <x v="0"/>
  </r>
  <r>
    <x v="10"/>
    <s v="DOGE"/>
    <n v="9.2090000000000005E-2"/>
    <n v="0.72"/>
    <n v="0.76"/>
    <n v="31.61"/>
    <n v="2.8239803741183689E-3"/>
    <n v="0.38370833333333337"/>
    <x v="2"/>
  </r>
  <r>
    <x v="11"/>
    <s v="ZEC"/>
    <n v="848.04"/>
    <n v="0.64"/>
    <n v="1.26"/>
    <n v="65.95"/>
    <n v="12.666766243465272"/>
    <s v="N/A"/>
    <x v="0"/>
  </r>
  <r>
    <x v="12"/>
    <s v="LINK"/>
    <n v="11.76"/>
    <n v="0.17"/>
    <n v="2.39"/>
    <n v="23.96"/>
    <n v="0.47115384615384615"/>
    <s v="N/A"/>
    <x v="3"/>
  </r>
  <r>
    <x v="13"/>
    <s v="LEO"/>
    <n v="9.35"/>
    <n v="0.06"/>
    <n v="0.48"/>
    <n v="0.75"/>
    <n v="5.3428571428571425"/>
    <n v="17.98076923076923"/>
    <x v="3"/>
  </r>
  <r>
    <x v="14"/>
    <s v="XMR"/>
    <n v="445.16"/>
    <n v="1.21"/>
    <n v="6.81"/>
    <n v="5.89"/>
    <n v="64.60957910014514"/>
    <s v="N/A"/>
    <x v="0"/>
  </r>
  <r>
    <x v="15"/>
    <s v="GNO"/>
    <n v="124.1"/>
    <n v="0.45"/>
    <n v="0.61"/>
    <n v="19.47"/>
    <n v="6.0625305324865657"/>
    <n v="318.20512820512818"/>
    <x v="0"/>
  </r>
  <r>
    <x v="16"/>
    <s v="LDO"/>
    <n v="0.37619999999999998"/>
    <n v="1.66"/>
    <n v="2.27"/>
    <n v="24.21"/>
    <n v="1.4922649742165806E-2"/>
    <s v="N/A"/>
    <x v="2"/>
  </r>
  <r>
    <x v="17"/>
    <s v="PENDLE"/>
    <n v="1.79"/>
    <n v="1.63"/>
    <n v="0.94"/>
    <n v="32.85"/>
    <n v="5.2880354505169869E-2"/>
    <n v="29.833333333333307"/>
    <x v="1"/>
  </r>
  <r>
    <x v="18"/>
    <s v="LUNC"/>
    <s v="5.508e-05"/>
    <n v="1.37"/>
    <n v="1.8"/>
    <n v="17.899999999999999"/>
    <n v="2.9142857142857146E-6"/>
    <s v="N/A"/>
    <x v="0"/>
  </r>
  <r>
    <x v="19"/>
    <s v="PIEVERSE"/>
    <n v="1.02"/>
    <n v="0.26"/>
    <n v="7.39"/>
    <n v="11.36"/>
    <n v="8.2524271844660199E-2"/>
    <s v="N/A"/>
    <x v="1"/>
  </r>
  <r>
    <x v="20"/>
    <s v="JTO"/>
    <n v="0.57689999999999997"/>
    <n v="1.85"/>
    <n v="0.57999999999999996"/>
    <n v="0.8"/>
    <n v="0.32049999999999995"/>
    <n v="1.3735714285714284"/>
    <x v="1"/>
  </r>
  <r>
    <x v="21"/>
    <s v="BTT"/>
    <n v="6.2956999999999999E-2"/>
    <n v="0.08"/>
    <n v="0.2"/>
    <n v="13.97"/>
    <n v="4.2055444221776881E-3"/>
    <n v="7.8696249999999995E-2"/>
    <x v="2"/>
  </r>
  <r>
    <x v="22"/>
    <s v="BONK"/>
    <n v="5.3266000000000001E-2"/>
    <n v="1.98"/>
    <n v="3.18"/>
    <n v="42.35"/>
    <n v="1.2287427912341406E-3"/>
    <s v="N/A"/>
    <x v="2"/>
  </r>
  <r>
    <x v="23"/>
    <s v="FF"/>
    <n v="9.0190000000000006E-2"/>
    <n v="1.69"/>
    <n v="0.56000000000000005"/>
    <n v="39.86"/>
    <n v="2.2072931962799805E-3"/>
    <n v="0.20497727272727276"/>
    <x v="2"/>
  </r>
  <r>
    <x v="24"/>
    <s v="NFT"/>
    <n v="6.2762999999999999E-2"/>
    <n v="0.23"/>
    <n v="1.23"/>
    <n v="1.1000000000000001"/>
    <n v="2.9887142857142855E-2"/>
    <s v="N/A"/>
    <x v="2"/>
  </r>
  <r>
    <x v="25"/>
    <s v="XPL"/>
    <n v="9.8059999999999994E-2"/>
    <n v="0.91"/>
    <n v="1.63"/>
    <n v="28.9"/>
    <n v="3.2795986622073578E-3"/>
    <s v="N/A"/>
    <x v="2"/>
  </r>
  <r>
    <x v="26"/>
    <s v="IMX"/>
    <n v="0.1331"/>
    <n v="1.1299999999999999"/>
    <n v="5.04"/>
    <n v="31.4"/>
    <n v="4.1080246913580247E-3"/>
    <s v="N/A"/>
    <x v="2"/>
  </r>
  <r>
    <x v="27"/>
    <s v="CFX"/>
    <n v="5.0340000000000003E-2"/>
    <n v="0.04"/>
    <n v="4.6100000000000003"/>
    <n v="20.5"/>
    <n v="2.3413953488372096E-3"/>
    <s v="N/A"/>
    <x v="2"/>
  </r>
  <r>
    <x v="28"/>
    <s v="FLOKI"/>
    <s v="2.758e-05"/>
    <n v="1.36"/>
    <n v="2.85"/>
    <n v="37.950000000000003"/>
    <n v="7.0808729139922971E-7"/>
    <s v="N/A"/>
    <x v="0"/>
  </r>
  <r>
    <x v="29"/>
    <s v="XTZ"/>
    <n v="0.23350000000000001"/>
    <n v="0.75"/>
    <n v="2.0499999999999998"/>
    <n v="14.42"/>
    <n v="1.5142671854734113E-2"/>
    <s v="N/A"/>
    <x v="2"/>
  </r>
  <r>
    <x v="30"/>
    <s v="RAIN"/>
    <n v="1.468E-2"/>
    <n v="0.2"/>
    <n v="5.33"/>
    <n v="12.27"/>
    <n v="1.1062547098718916E-3"/>
    <s v="N/A"/>
    <x v="4"/>
  </r>
  <r>
    <x v="31"/>
    <s v="DEL"/>
    <n v="0.59330000000000005"/>
    <n v="0.12"/>
    <n v="0.38"/>
    <n v="1.9"/>
    <n v="0.20458620689655174"/>
    <n v="0.95693548387096783"/>
    <x v="1"/>
  </r>
  <r>
    <x v="32"/>
    <s v="USDY"/>
    <n v="1.1399999999999999"/>
    <n v="0.02"/>
    <n v="0.03"/>
    <n v="0.19"/>
    <n v="0.95798319327731085"/>
    <n v="1.1752577319587627"/>
    <x v="1"/>
  </r>
  <r>
    <x v="33"/>
    <s v="HTX"/>
    <n v="5.1766E-2"/>
    <n v="0.03"/>
    <n v="0.61"/>
    <n v="0.28000000000000003"/>
    <n v="4.0442187499999997E-2"/>
    <n v="0.13273333333333331"/>
    <x v="2"/>
  </r>
  <r>
    <x v="34"/>
    <s v="BTW"/>
    <n v="0.45639999999999997"/>
    <n v="0.32"/>
    <n v="7.03"/>
    <n v="28.73"/>
    <n v="1.5351496804574503E-2"/>
    <s v="N/A"/>
    <x v="2"/>
  </r>
  <r>
    <x v="35"/>
    <s v="USDGO"/>
    <n v="1"/>
    <n v="0"/>
    <n v="0.02"/>
    <n v="0"/>
    <n v="1"/>
    <n v="1.0204081632653061"/>
    <x v="1"/>
  </r>
  <r>
    <x v="36"/>
    <s v="USDf"/>
    <n v="0.99529999999999996"/>
    <n v="0.08"/>
    <n v="0.05"/>
    <n v="0.04"/>
    <n v="0.95701923076923068"/>
    <n v="1.0476842105263158"/>
    <x v="1"/>
  </r>
  <r>
    <x v="37"/>
    <s v="CTM"/>
    <n v="0.22070000000000001"/>
    <n v="0.62"/>
    <n v="2.0699999999999998"/>
    <n v="11.45"/>
    <n v="1.7726907630522089E-2"/>
    <s v="N/A"/>
    <x v="2"/>
  </r>
  <r>
    <x v="38"/>
    <s v="JLP"/>
    <n v="4.41"/>
    <n v="0.31"/>
    <n v="4.22"/>
    <n v="20.96"/>
    <n v="0.20081967213114754"/>
    <s v="N/A"/>
    <x v="1"/>
  </r>
  <r>
    <x v="39"/>
    <s v="GHO"/>
    <n v="0.99860000000000004"/>
    <n v="0.02"/>
    <n v="0.04"/>
    <n v="0.01"/>
    <n v="0.9887128712871287"/>
    <n v="1.0402083333333334"/>
    <x v="1"/>
  </r>
  <r>
    <x v="40"/>
    <s v="BDX"/>
    <n v="8.3150000000000002E-2"/>
    <n v="0.09"/>
    <n v="0.7"/>
    <n v="0.18"/>
    <n v="7.0466101694915254E-2"/>
    <n v="0.27716666666666662"/>
    <x v="2"/>
  </r>
  <r>
    <x v="41"/>
    <s v="USD0"/>
    <n v="0.99870000000000003"/>
    <n v="0.01"/>
    <n v="0.01"/>
    <n v="0"/>
    <n v="0.99870000000000003"/>
    <n v="1.0087878787878788"/>
    <x v="1"/>
  </r>
  <r>
    <x v="42"/>
    <s v="USDAI"/>
    <n v="0.99990000000000001"/>
    <n v="0.01"/>
    <n v="0.01"/>
    <n v="0.01"/>
    <n v="0.99"/>
    <n v="1.01"/>
    <x v="1"/>
  </r>
  <r>
    <x v="43"/>
    <s v="USX"/>
    <n v="1"/>
    <n v="0.01"/>
    <n v="0.01"/>
    <n v="0.06"/>
    <n v="0.94339622641509424"/>
    <n v="1.0101010101010102"/>
    <x v="1"/>
  </r>
  <r>
    <x v="44"/>
    <s v="UB"/>
    <n v="0.12909999999999999"/>
    <n v="2.34"/>
    <n v="9.14"/>
    <n v="14.11"/>
    <n v="8.5440105890138979E-3"/>
    <s v="N/A"/>
    <x v="2"/>
  </r>
  <r>
    <x v="45"/>
    <s v="ARROW"/>
    <n v="0.3377"/>
    <n v="45.45"/>
    <n v="23.83"/>
    <n v="93.08"/>
    <n v="3.5894982993197279E-3"/>
    <s v="N/A"/>
    <x v="2"/>
  </r>
  <r>
    <x v="46"/>
    <s v="DIEM"/>
    <n v="1638.11"/>
    <n v="0.48"/>
    <n v="1.02"/>
    <n v="6.35"/>
    <n v="222.8721088435374"/>
    <s v="N/A"/>
    <x v="0"/>
  </r>
  <r>
    <x v="47"/>
    <s v="OMI"/>
    <n v="2.2159999999999999E-4"/>
    <n v="2.36"/>
    <n v="6.3"/>
    <n v="15.51"/>
    <n v="1.3422168382798305E-5"/>
    <s v="N/A"/>
    <x v="4"/>
  </r>
  <r>
    <x v="48"/>
    <s v="FIDD"/>
    <n v="0.99950000000000006"/>
    <n v="0"/>
    <n v="0.01"/>
    <n v="0.03"/>
    <n v="0.9703883495145631"/>
    <n v="1.0095959595959596"/>
    <x v="1"/>
  </r>
  <r>
    <x v="49"/>
    <s v="W"/>
    <n v="9.7219999999999997E-3"/>
    <n v="0.69"/>
    <n v="2.72"/>
    <n v="19.010000000000002"/>
    <n v="4.8585707146426779E-4"/>
    <s v="N/A"/>
    <x v="4"/>
  </r>
  <r>
    <x v="50"/>
    <s v="NXPC"/>
    <n v="0.20619999999999999"/>
    <n v="0.47"/>
    <n v="0.3"/>
    <n v="0.9"/>
    <n v="0.10852631578947369"/>
    <n v="0.2945714285714286"/>
    <x v="2"/>
  </r>
  <r>
    <x v="51"/>
    <s v="BAS"/>
    <n v="2.4729999999999999E-2"/>
    <n v="0.78"/>
    <n v="4.4400000000000004"/>
    <n v="3.96"/>
    <n v="4.9858870967741933E-3"/>
    <s v="N/A"/>
    <x v="4"/>
  </r>
  <r>
    <x v="52"/>
    <s v="POPCAT"/>
    <n v="6.2579999999999997E-2"/>
    <n v="1.2"/>
    <n v="11.24"/>
    <n v="51.31"/>
    <n v="1.196329573695278E-3"/>
    <s v="N/A"/>
    <x v="2"/>
  </r>
  <r>
    <x v="53"/>
    <s v="WOULD"/>
    <n v="6.1429999999999998E-2"/>
    <n v="0.36"/>
    <n v="1.38"/>
    <n v="9.56"/>
    <n v="5.8172348484848485E-3"/>
    <s v="N/A"/>
    <x v="2"/>
  </r>
  <r>
    <x v="54"/>
    <s v="JIMOTHY"/>
    <n v="1.7440000000000001E-2"/>
    <n v="30.91"/>
    <n v="95.95"/>
    <n v="168.45"/>
    <n v="1.0292121569784598E-4"/>
    <s v="N/A"/>
    <x v="4"/>
  </r>
  <r>
    <x v="55"/>
    <s v="SN4"/>
    <n v="13.79"/>
    <n v="0.63"/>
    <n v="1.34"/>
    <n v="28.86"/>
    <n v="0.46182183523107834"/>
    <s v="N/A"/>
    <x v="3"/>
  </r>
  <r>
    <x v="56"/>
    <s v="DHN"/>
    <n v="3.54"/>
    <n v="0.14000000000000001"/>
    <n v="1.31"/>
    <n v="1.64"/>
    <n v="1.3409090909090911"/>
    <s v="N/A"/>
    <x v="1"/>
  </r>
  <r>
    <x v="57"/>
    <s v="DUSD"/>
    <n v="0.999"/>
    <n v="0.01"/>
    <n v="0.01"/>
    <n v="0.09"/>
    <n v="0.91651376146788988"/>
    <n v="1.009090909090909"/>
    <x v="1"/>
  </r>
  <r>
    <x v="58"/>
    <s v="vBUSD"/>
    <n v="2.2349999999999998E-2"/>
    <n v="0.03"/>
    <n v="0.01"/>
    <n v="0.23"/>
    <n v="1.8170731707317072E-2"/>
    <n v="2.2575757575757575E-2"/>
    <x v="4"/>
  </r>
  <r>
    <x v="59"/>
    <s v="QUBIC"/>
    <n v="6.4241000000000006E-2"/>
    <n v="0.38"/>
    <n v="0.6"/>
    <n v="2.99"/>
    <n v="1.6100501253132834E-2"/>
    <n v="0.16060250000000001"/>
    <x v="2"/>
  </r>
  <r>
    <x v="60"/>
    <s v="MASK"/>
    <n v="0.43259999999999998"/>
    <n v="0.21"/>
    <n v="3"/>
    <n v="24.32"/>
    <n v="1.7085308056872039E-2"/>
    <s v="N/A"/>
    <x v="2"/>
  </r>
  <r>
    <x v="61"/>
    <s v="G"/>
    <n v="3.9129999999999998E-3"/>
    <n v="0.5"/>
    <n v="2.09"/>
    <n v="0.64"/>
    <n v="2.3859756097560974E-3"/>
    <s v="N/A"/>
    <x v="4"/>
  </r>
  <r>
    <x v="62"/>
    <s v="RIVER"/>
    <n v="2.19"/>
    <n v="0.36"/>
    <n v="3.51"/>
    <n v="15.38"/>
    <n v="0.13369963369963367"/>
    <s v="N/A"/>
    <x v="1"/>
  </r>
  <r>
    <x v="63"/>
    <s v="BEAT"/>
    <n v="0.12989999999999999"/>
    <n v="1.88"/>
    <n v="2.2799999999999998"/>
    <n v="50.32"/>
    <n v="2.531176929072486E-3"/>
    <s v="N/A"/>
    <x v="2"/>
  </r>
  <r>
    <x v="64"/>
    <s v="MAGMA"/>
    <n v="0.22650000000000001"/>
    <n v="0.91"/>
    <n v="1.75"/>
    <n v="40.950000000000003"/>
    <n v="5.3992848629320616E-3"/>
    <s v="N/A"/>
    <x v="2"/>
  </r>
  <r>
    <x v="65"/>
    <s v="LOCUS"/>
    <n v="7.718E-3"/>
    <n v="0.75"/>
    <n v="3.48"/>
    <n v="54.87"/>
    <n v="1.3814211562555935E-4"/>
    <s v="N/A"/>
    <x v="4"/>
  </r>
  <r>
    <x v="66"/>
    <s v="AZTEC"/>
    <n v="1.489E-2"/>
    <n v="7.0000000000000007E-2"/>
    <n v="6.67"/>
    <n v="28.37"/>
    <n v="5.0697991147429346E-4"/>
    <s v="N/A"/>
    <x v="4"/>
  </r>
  <r>
    <x v="67"/>
    <s v="XVG"/>
    <n v="2.594E-3"/>
    <n v="0.84"/>
    <n v="1.58"/>
    <n v="31.06"/>
    <n v="8.0910792264504052E-5"/>
    <s v="N/A"/>
    <x v="4"/>
  </r>
  <r>
    <x v="68"/>
    <s v="KTA"/>
    <n v="7.2410000000000002E-2"/>
    <n v="0.34"/>
    <n v="6.77"/>
    <n v="21.99"/>
    <n v="3.1496302740321881E-3"/>
    <s v="N/A"/>
    <x v="2"/>
  </r>
  <r>
    <x v="69"/>
    <s v="SSV"/>
    <n v="2.68"/>
    <n v="1.33"/>
    <n v="3.59"/>
    <n v="23.97"/>
    <n v="0.10732879455346417"/>
    <s v="N/A"/>
    <x v="1"/>
  </r>
  <r>
    <x v="70"/>
    <s v="BARD"/>
    <n v="0.1208"/>
    <n v="1.19"/>
    <n v="1.82"/>
    <n v="17.420000000000002"/>
    <n v="6.5580890336590656E-3"/>
    <s v="N/A"/>
    <x v="2"/>
  </r>
  <r>
    <x v="71"/>
    <s v="ZCHF"/>
    <n v="1.24"/>
    <n v="0.02"/>
    <n v="0.23"/>
    <n v="0.87"/>
    <n v="0.66310160427807485"/>
    <n v="1.6103896103896103"/>
    <x v="1"/>
  </r>
  <r>
    <x v="72"/>
    <s v="APEX"/>
    <n v="0.28749999999999998"/>
    <n v="1.3"/>
    <n v="3.25"/>
    <n v="54.56"/>
    <n v="5.1745860331173501E-3"/>
    <s v="N/A"/>
    <x v="2"/>
  </r>
  <r>
    <x v="73"/>
    <s v="T"/>
    <n v="3.7659999999999998E-3"/>
    <n v="0.28000000000000003"/>
    <n v="1.35"/>
    <n v="17.11"/>
    <n v="2.0795140806184427E-4"/>
    <s v="N/A"/>
    <x v="4"/>
  </r>
  <r>
    <x v="74"/>
    <s v="NOT"/>
    <n v="4.1990000000000001E-4"/>
    <n v="0.51"/>
    <n v="0.85"/>
    <n v="12.02"/>
    <n v="3.2250384024577577E-5"/>
    <n v="2.7993333333333329E-3"/>
    <x v="4"/>
  </r>
  <r>
    <x v="75"/>
    <s v="SN3"/>
    <n v="7.37"/>
    <n v="1.5"/>
    <n v="13.34"/>
    <n v="30.68"/>
    <n v="0.2326388888888889"/>
    <s v="N/A"/>
    <x v="3"/>
  </r>
  <r>
    <x v="76"/>
    <s v="VANA"/>
    <n v="1.02"/>
    <n v="0.5"/>
    <n v="2.92"/>
    <n v="21.14"/>
    <n v="4.6070460704607047E-2"/>
    <s v="N/A"/>
    <x v="1"/>
  </r>
  <r>
    <x v="77"/>
    <s v="LUSD"/>
    <n v="0.99960000000000004"/>
    <n v="0.01"/>
    <n v="0.02"/>
    <n v="0.06"/>
    <n v="0.94301886792452827"/>
    <n v="1.02"/>
    <x v="1"/>
  </r>
  <r>
    <x v="78"/>
    <s v="WMTX"/>
    <n v="3.5490000000000001E-2"/>
    <n v="0.11"/>
    <n v="2.4500000000000002"/>
    <n v="17.87"/>
    <n v="1.8807631160572336E-3"/>
    <s v="N/A"/>
    <x v="4"/>
  </r>
  <r>
    <x v="79"/>
    <s v="LISTA"/>
    <n v="6.93E-2"/>
    <n v="0.8"/>
    <n v="1.38"/>
    <n v="16.78"/>
    <n v="3.8976377952755904E-3"/>
    <s v="N/A"/>
    <x v="2"/>
  </r>
  <r>
    <x v="80"/>
    <s v="ZORA"/>
    <n v="6.8320000000000004E-3"/>
    <n v="2.2799999999999998"/>
    <n v="1.22"/>
    <n v="42.3"/>
    <n v="1.5778290993071595E-4"/>
    <s v="N/A"/>
    <x v="4"/>
  </r>
  <r>
    <x v="81"/>
    <s v="SN9"/>
    <n v="7.61"/>
    <n v="0.7"/>
    <n v="2.98"/>
    <n v="20.56"/>
    <n v="0.35296846011131727"/>
    <s v="N/A"/>
    <x v="3"/>
  </r>
  <r>
    <x v="82"/>
    <s v="USTC"/>
    <n v="5.4539999999999996E-3"/>
    <n v="1.22"/>
    <n v="2.86"/>
    <n v="15.22"/>
    <n v="3.3625154130702837E-4"/>
    <s v="N/A"/>
    <x v="4"/>
  </r>
  <r>
    <x v="83"/>
    <s v="ETHW"/>
    <n v="0.27939999999999998"/>
    <n v="0.37"/>
    <n v="2.2400000000000002"/>
    <n v="17.78"/>
    <n v="1.4877529286474971E-2"/>
    <s v="N/A"/>
    <x v="2"/>
  </r>
  <r>
    <x v="84"/>
    <s v="WAVES"/>
    <n v="0.2215"/>
    <n v="7.0000000000000007E-2"/>
    <n v="0.89"/>
    <n v="19.059999999999999"/>
    <n v="1.1041874376869393E-2"/>
    <n v="2.0136363636363641"/>
    <x v="2"/>
  </r>
  <r>
    <x v="85"/>
    <s v="ROBO"/>
    <n v="1.3480000000000001E-2"/>
    <n v="1.3"/>
    <n v="0.72"/>
    <n v="1.05"/>
    <n v="6.5756097560975618E-3"/>
    <n v="4.814285714285714E-2"/>
    <x v="4"/>
  </r>
  <r>
    <x v="86"/>
    <s v="SAHARA"/>
    <n v="8.3149999999999995E-3"/>
    <n v="0.8"/>
    <n v="1.34"/>
    <n v="14.74"/>
    <n v="5.2827191867852602E-4"/>
    <s v="N/A"/>
    <x v="4"/>
  </r>
  <r>
    <x v="87"/>
    <s v="XAN"/>
    <n v="1.184E-2"/>
    <n v="1.46"/>
    <n v="4.1900000000000004"/>
    <n v="12.25"/>
    <n v="8.9358490566037731E-4"/>
    <s v="N/A"/>
    <x v="4"/>
  </r>
  <r>
    <x v="88"/>
    <s v="SNT"/>
    <n v="6.1570000000000001E-3"/>
    <n v="0.38"/>
    <n v="1.77"/>
    <n v="23.03"/>
    <n v="2.5622138992925512E-4"/>
    <s v="N/A"/>
    <x v="4"/>
  </r>
  <r>
    <x v="89"/>
    <s v="DEP"/>
    <n v="9.8820000000000006E-4"/>
    <n v="0"/>
    <n v="0.96"/>
    <n v="0.22"/>
    <n v="8.1000000000000006E-4"/>
    <n v="2.470499999999998E-2"/>
    <x v="4"/>
  </r>
  <r>
    <x v="90"/>
    <s v="B3"/>
    <n v="4.9919999999999999E-4"/>
    <n v="1.2"/>
    <n v="3.25"/>
    <n v="19.47"/>
    <n v="2.4386907669760625E-5"/>
    <s v="N/A"/>
    <x v="4"/>
  </r>
  <r>
    <x v="91"/>
    <s v="GMT"/>
    <n v="7.4009999999999996E-3"/>
    <n v="1.07"/>
    <n v="1.69"/>
    <n v="24.98"/>
    <n v="2.8487297921478058E-4"/>
    <s v="N/A"/>
    <x v="4"/>
  </r>
  <r>
    <x v="92"/>
    <s v="CATI"/>
    <n v="5.092E-2"/>
    <n v="0.1"/>
    <n v="2.2000000000000002"/>
    <n v="5.97"/>
    <n v="7.3055954088952655E-3"/>
    <s v="N/A"/>
    <x v="2"/>
  </r>
  <r>
    <x v="93"/>
    <s v="BSB"/>
    <n v="9.6890000000000004E-2"/>
    <n v="0.93"/>
    <n v="2.5499999999999998"/>
    <n v="17.71"/>
    <n v="5.178514163548904E-3"/>
    <s v="N/A"/>
    <x v="2"/>
  </r>
  <r>
    <x v="94"/>
    <s v="ISIKC"/>
    <n v="0.22869999999999999"/>
    <n v="0.05"/>
    <n v="0.09"/>
    <n v="0.06"/>
    <n v="0.21575471698113205"/>
    <n v="0.25131868131868129"/>
    <x v="2"/>
  </r>
  <r>
    <x v="95"/>
    <s v="USUAL"/>
    <n v="1.196E-2"/>
    <n v="1.44"/>
    <n v="1.96"/>
    <n v="37.79"/>
    <n v="3.0832688837329207E-4"/>
    <s v="N/A"/>
    <x v="4"/>
  </r>
  <r>
    <x v="96"/>
    <s v="PUNDIX"/>
    <n v="8.8480000000000003E-2"/>
    <n v="0.35"/>
    <n v="2.39"/>
    <n v="21.71"/>
    <n v="3.8960810215763982E-3"/>
    <s v="N/A"/>
    <x v="2"/>
  </r>
  <r>
    <x v="97"/>
    <s v="STG"/>
    <n v="0.1595"/>
    <n v="0.37"/>
    <n v="1.21"/>
    <n v="12.9"/>
    <n v="1.1474820143884892E-2"/>
    <s v="N/A"/>
    <x v="2"/>
  </r>
  <r>
    <x v="98"/>
    <s v="AUCTION"/>
    <n v="3.24"/>
    <n v="0.61"/>
    <n v="2.35"/>
    <n v="18.47"/>
    <n v="0.16640986132511559"/>
    <s v="N/A"/>
    <x v="1"/>
  </r>
  <r>
    <x v="99"/>
    <s v="SFI"/>
    <n v="223.04"/>
    <n v="0.13"/>
    <n v="17.260000000000002"/>
    <n v="8.2200000000000006"/>
    <n v="24.190889370932751"/>
    <s v="N/A"/>
    <x v="0"/>
  </r>
  <r>
    <x v="100"/>
    <s v="SPYB"/>
    <n v="764.74"/>
    <n v="0.06"/>
    <n v="7.0000000000000007E-2"/>
    <n v="0.61"/>
    <n v="474.99378881987582"/>
    <n v="822.30107526881727"/>
    <x v="0"/>
  </r>
  <r>
    <x v="101"/>
    <s v="METIS"/>
    <n v="2.84"/>
    <n v="0.34"/>
    <n v="4.0199999999999996"/>
    <n v="23.48"/>
    <n v="0.11601307189542483"/>
    <s v="N/A"/>
    <x v="1"/>
  </r>
  <r>
    <x v="102"/>
    <s v="WOO"/>
    <n v="1.174E-2"/>
    <n v="0.7"/>
    <n v="0.06"/>
    <n v="13.29"/>
    <n v="8.2155353393981818E-4"/>
    <n v="1.2489361702127661E-2"/>
    <x v="4"/>
  </r>
  <r>
    <x v="103"/>
    <s v="AO"/>
    <n v="2.99"/>
    <n v="0.39"/>
    <n v="18.940000000000001"/>
    <n v="57.24"/>
    <n v="5.1339285714285719E-2"/>
    <s v="N/A"/>
    <x v="1"/>
  </r>
  <r>
    <x v="104"/>
    <s v="ERG"/>
    <n v="0.26469999999999999"/>
    <n v="0.77"/>
    <n v="1.6"/>
    <n v="30.89"/>
    <n v="8.3004076513013472E-3"/>
    <s v="N/A"/>
    <x v="2"/>
  </r>
  <r>
    <x v="105"/>
    <s v="MAX"/>
    <n v="0.26550000000000001"/>
    <n v="0.02"/>
    <n v="2.69"/>
    <n v="4.9000000000000004"/>
    <n v="4.4999999999999998E-2"/>
    <s v="N/A"/>
    <x v="2"/>
  </r>
  <r>
    <x v="106"/>
    <s v="YNG"/>
    <n v="0.64970000000000006"/>
    <n v="0"/>
    <n v="0.05"/>
    <n v="3.28"/>
    <n v="0.15179906542056079"/>
    <n v="0.68389473684210533"/>
    <x v="1"/>
  </r>
  <r>
    <x v="107"/>
    <s v="STBL"/>
    <n v="2.503E-2"/>
    <n v="1.18"/>
    <n v="3.38"/>
    <n v="1.89"/>
    <n v="8.6608996539792402E-3"/>
    <s v="N/A"/>
    <x v="4"/>
  </r>
  <r>
    <x v="108"/>
    <s v="BMX"/>
    <n v="5.4050000000000001E-2"/>
    <n v="0.19"/>
    <n v="4.78"/>
    <n v="11.81"/>
    <n v="4.2193598750975801E-3"/>
    <s v="N/A"/>
    <x v="2"/>
  </r>
  <r>
    <x v="109"/>
    <s v="GOLDGR"/>
    <n v="148.4"/>
    <n v="0"/>
    <n v="0.22"/>
    <n v="5.6"/>
    <n v="22.484848484848488"/>
    <n v="190.25641025641025"/>
    <x v="0"/>
  </r>
  <r>
    <x v="110"/>
    <s v="MDT"/>
    <n v="7.5779999999999997E-3"/>
    <n v="19.54"/>
    <n v="150.69"/>
    <n v="176"/>
    <n v="4.2813559322033897E-5"/>
    <s v="N/A"/>
    <x v="4"/>
  </r>
  <r>
    <x v="111"/>
    <s v="ENSO"/>
    <n v="0.84640000000000004"/>
    <n v="0.93"/>
    <n v="1.02"/>
    <n v="4.9000000000000004"/>
    <n v="0.14345762711864407"/>
    <s v="N/A"/>
    <x v="1"/>
  </r>
  <r>
    <x v="112"/>
    <s v="CBK"/>
    <n v="0.17349999999999999"/>
    <n v="0.05"/>
    <n v="0.24"/>
    <n v="11.96"/>
    <n v="1.3387345679012343E-2"/>
    <n v="0.22828947368421051"/>
    <x v="2"/>
  </r>
  <r>
    <x v="113"/>
    <s v="XNY"/>
    <n v="6.9309999999999997E-3"/>
    <n v="0.97"/>
    <n v="3.1"/>
    <n v="3.5"/>
    <n v="1.5402222222222221E-3"/>
    <s v="N/A"/>
    <x v="4"/>
  </r>
  <r>
    <x v="114"/>
    <s v="XAUT0"/>
    <n v="4631.91"/>
    <n v="0.14000000000000001"/>
    <n v="0.05"/>
    <n v="5.91"/>
    <n v="670.31982633863959"/>
    <n v="4875.6947368421052"/>
    <x v="0"/>
  </r>
  <r>
    <x v="115"/>
    <s v="SPELL"/>
    <s v="8.813e-05"/>
    <n v="0.38"/>
    <n v="5.46"/>
    <n v="15.91"/>
    <n v="5.21170904790065E-6"/>
    <s v="N/A"/>
    <x v="0"/>
  </r>
  <r>
    <x v="116"/>
    <s v="NMC"/>
    <n v="1.1599999999999999"/>
    <n v="0.21"/>
    <n v="3.82"/>
    <n v="23.7"/>
    <n v="4.6963562753036432E-2"/>
    <s v="N/A"/>
    <x v="1"/>
  </r>
  <r>
    <x v="117"/>
    <s v="POKT"/>
    <n v="7.3509999999999999E-3"/>
    <n v="0.17"/>
    <n v="2.0699999999999998"/>
    <n v="6.91"/>
    <n v="9.2932996207332487E-4"/>
    <s v="N/A"/>
    <x v="4"/>
  </r>
  <r>
    <x v="118"/>
    <s v="NAORIS"/>
    <n v="2.8680000000000001E-2"/>
    <n v="0.13"/>
    <n v="5.22"/>
    <n v="5.98"/>
    <n v="4.1088825214899713E-3"/>
    <s v="N/A"/>
    <x v="4"/>
  </r>
  <r>
    <x v="119"/>
    <s v="ESE"/>
    <n v="1.243E-2"/>
    <n v="0.46"/>
    <n v="1.42"/>
    <n v="4.1399999999999997"/>
    <n v="2.4182879377431907E-3"/>
    <s v="N/A"/>
    <x v="4"/>
  </r>
  <r>
    <x v="120"/>
    <s v="CORN"/>
    <n v="2.5420000000000002E-2"/>
    <n v="0.15"/>
    <n v="0.09"/>
    <n v="0.12"/>
    <n v="2.2696428571428572E-2"/>
    <n v="2.7934065934065933E-2"/>
    <x v="4"/>
  </r>
  <r>
    <x v="121"/>
    <s v="MEY"/>
    <n v="4.6640000000000001E-2"/>
    <n v="0.05"/>
    <n v="0.76"/>
    <n v="3.98"/>
    <n v="9.3654618473895581E-3"/>
    <n v="0.19433333333333336"/>
    <x v="4"/>
  </r>
  <r>
    <x v="122"/>
    <s v="PEP"/>
    <n v="1.2879999999999999E-4"/>
    <n v="0.05"/>
    <n v="2.04"/>
    <n v="49.23"/>
    <n v="2.5642046585705751E-6"/>
    <s v="N/A"/>
    <x v="4"/>
  </r>
  <r>
    <x v="123"/>
    <s v="AEON"/>
    <n v="5.6610000000000001E-2"/>
    <n v="0.31"/>
    <n v="6.19"/>
    <n v="37.61"/>
    <n v="1.4662004662004662E-3"/>
    <s v="N/A"/>
    <x v="2"/>
  </r>
  <r>
    <x v="124"/>
    <s v="rINTC"/>
    <n v="89.53"/>
    <n v="0.75"/>
    <n v="1.64"/>
    <n v="11.7"/>
    <n v="7.0496062992125985"/>
    <s v="N/A"/>
    <x v="0"/>
  </r>
  <r>
    <x v="125"/>
    <s v="INX"/>
    <n v="6.62E-3"/>
    <n v="0.24"/>
    <n v="2.3199999999999998"/>
    <n v="18.97"/>
    <n v="3.3149724586880322E-4"/>
    <s v="N/A"/>
    <x v="4"/>
  </r>
  <r>
    <x v="126"/>
    <s v="ESPORTS"/>
    <n v="1.452E-2"/>
    <n v="0.15"/>
    <n v="1.02"/>
    <n v="1.79"/>
    <n v="5.2043010752688169E-3"/>
    <s v="N/A"/>
    <x v="4"/>
  </r>
  <r>
    <x v="127"/>
    <s v="SOFIon"/>
    <n v="18.420000000000002"/>
    <n v="0.28999999999999998"/>
    <n v="2.2000000000000002"/>
    <n v="1.46"/>
    <n v="7.4878048780487809"/>
    <s v="N/A"/>
    <x v="3"/>
  </r>
  <r>
    <x v="128"/>
    <s v="ZKC"/>
    <n v="4.1480000000000003E-2"/>
    <n v="0.61"/>
    <n v="1.34"/>
    <n v="13.29"/>
    <n v="2.9027291812456267E-3"/>
    <s v="N/A"/>
    <x v="4"/>
  </r>
  <r>
    <x v="129"/>
    <s v="BLEND"/>
    <n v="6.5549999999999997E-2"/>
    <n v="0.31"/>
    <n v="2.54"/>
    <n v="11.13"/>
    <n v="5.4039571310799664E-3"/>
    <s v="N/A"/>
    <x v="2"/>
  </r>
  <r>
    <x v="130"/>
    <s v="SOLV"/>
    <n v="2.7989999999999998E-3"/>
    <n v="7.0000000000000007E-2"/>
    <n v="10.61"/>
    <n v="22.96"/>
    <n v="1.1681969949916526E-4"/>
    <s v="N/A"/>
    <x v="4"/>
  </r>
  <r>
    <x v="131"/>
    <s v="GYEN"/>
    <n v="6.2030000000000002E-3"/>
    <n v="0.18"/>
    <n v="1.1200000000000001"/>
    <n v="1.46"/>
    <n v="2.5215447154471548E-3"/>
    <s v="N/A"/>
    <x v="4"/>
  </r>
  <r>
    <x v="132"/>
    <s v="ROG"/>
    <n v="0.1943"/>
    <n v="0.02"/>
    <n v="0.44"/>
    <n v="5.86"/>
    <n v="2.8323615160349851E-2"/>
    <n v="0.34696428571428567"/>
    <x v="2"/>
  </r>
  <r>
    <x v="133"/>
    <s v="FIRO"/>
    <n v="0.68469999999999998"/>
    <n v="0.06"/>
    <n v="2.42"/>
    <n v="10.63"/>
    <n v="5.8873602751504724E-2"/>
    <s v="N/A"/>
    <x v="1"/>
  </r>
  <r>
    <x v="134"/>
    <s v="MBL"/>
    <n v="6.5919999999999998E-4"/>
    <n v="0.9"/>
    <n v="0.79"/>
    <n v="16.87"/>
    <n v="3.6888640179071067E-5"/>
    <n v="3.1390476190476194E-3"/>
    <x v="4"/>
  </r>
  <r>
    <x v="135"/>
    <s v="DIAM"/>
    <n v="5.0619999999999997E-3"/>
    <n v="0.01"/>
    <n v="0.31"/>
    <n v="1.53"/>
    <n v="2.000790513833992E-3"/>
    <n v="7.3362318840579713E-3"/>
    <x v="4"/>
  </r>
  <r>
    <x v="136"/>
    <s v="RAMP"/>
    <n v="2.214E-2"/>
    <n v="0"/>
    <n v="3.37"/>
    <n v="26.96"/>
    <n v="7.9184549356223178E-4"/>
    <s v="N/A"/>
    <x v="4"/>
  </r>
  <r>
    <x v="137"/>
    <s v="DOLO"/>
    <n v="2.3949999999999999E-2"/>
    <n v="0.45"/>
    <n v="0.61"/>
    <n v="3.45"/>
    <n v="5.3820224719101119E-3"/>
    <n v="6.1410256410256409E-2"/>
    <x v="4"/>
  </r>
  <r>
    <x v="138"/>
    <s v="LMTS"/>
    <n v="8.0329999999999999E-2"/>
    <n v="1.05"/>
    <n v="9.24"/>
    <n v="30.81"/>
    <n v="2.5253065073876139E-3"/>
    <s v="N/A"/>
    <x v="2"/>
  </r>
  <r>
    <x v="139"/>
    <s v="BILLY"/>
    <n v="3.0019999999999999E-3"/>
    <n v="9.58"/>
    <n v="111.97"/>
    <n v="179.93"/>
    <n v="1.659205217487426E-5"/>
    <s v="N/A"/>
    <x v="4"/>
  </r>
  <r>
    <x v="140"/>
    <s v="CRETA"/>
    <n v="3.503E-3"/>
    <n v="1.26"/>
    <n v="5.84"/>
    <n v="145.86000000000001"/>
    <n v="2.3852648781152114E-5"/>
    <s v="N/A"/>
    <x v="4"/>
  </r>
  <r>
    <x v="141"/>
    <s v="HEI"/>
    <n v="0.12770000000000001"/>
    <n v="0.64"/>
    <n v="2.33"/>
    <n v="0.12"/>
    <n v="0.11401785714285714"/>
    <s v="N/A"/>
    <x v="2"/>
  </r>
  <r>
    <x v="142"/>
    <s v="RARE"/>
    <n v="1.255E-2"/>
    <n v="0.71"/>
    <n v="3.14"/>
    <n v="3.26"/>
    <n v="2.9460093896713619E-3"/>
    <s v="N/A"/>
    <x v="4"/>
  </r>
  <r>
    <x v="143"/>
    <s v="ARIA"/>
    <n v="2.869E-2"/>
    <n v="0.37"/>
    <n v="0.08"/>
    <n v="9.0399999999999991"/>
    <n v="2.8575697211155383E-3"/>
    <n v="3.1184782608695651E-2"/>
    <x v="4"/>
  </r>
  <r>
    <x v="144"/>
    <s v="MIM"/>
    <n v="4.9010000000000004E-4"/>
    <n v="8.0399999999999991"/>
    <n v="35.24"/>
    <n v="123.75"/>
    <n v="3.9286573146292592E-6"/>
    <s v="N/A"/>
    <x v="4"/>
  </r>
  <r>
    <x v="145"/>
    <s v="QUID"/>
    <n v="7.1730000000000002E-2"/>
    <n v="0.77"/>
    <n v="2.19"/>
    <n v="12.68"/>
    <n v="5.2434210526315795E-3"/>
    <s v="N/A"/>
    <x v="2"/>
  </r>
  <r>
    <x v="146"/>
    <s v="TGC"/>
    <n v="0.13439999999999999"/>
    <n v="0.46"/>
    <n v="1.97"/>
    <n v="4.4800000000000004"/>
    <n v="2.452554744525547E-2"/>
    <s v="N/A"/>
    <x v="2"/>
  </r>
  <r>
    <x v="147"/>
    <s v="ACT"/>
    <n v="1.0789999999999999E-2"/>
    <n v="1.21"/>
    <n v="0.41"/>
    <n v="7.74"/>
    <n v="1.2345537757437069E-3"/>
    <n v="1.8288135593220334E-2"/>
    <x v="4"/>
  </r>
  <r>
    <x v="148"/>
    <s v="WALLET"/>
    <n v="1.4080000000000001E-2"/>
    <n v="3.23"/>
    <n v="13.52"/>
    <n v="12.62"/>
    <n v="1.0337738619676947E-3"/>
    <s v="N/A"/>
    <x v="4"/>
  </r>
  <r>
    <x v="149"/>
    <s v="GUN"/>
    <n v="3.2539999999999999E-3"/>
    <n v="0.55000000000000004"/>
    <n v="3.89"/>
    <n v="9.7799999999999994"/>
    <n v="3.0185528756957331E-4"/>
    <s v="N/A"/>
    <x v="4"/>
  </r>
  <r>
    <x v="150"/>
    <s v="ANYONE"/>
    <n v="8.7129999999999999E-2"/>
    <n v="0.28000000000000003"/>
    <n v="2.78"/>
    <n v="72.92"/>
    <n v="1.17870670995671E-3"/>
    <s v="N/A"/>
    <x v="2"/>
  </r>
  <r>
    <x v="151"/>
    <s v="PYTHIA"/>
    <n v="8.5000000000000006E-3"/>
    <n v="2.8"/>
    <n v="0.08"/>
    <n v="2.4900000000000002"/>
    <n v="2.4355300859598855E-3"/>
    <n v="9.2391304347826091E-3"/>
    <x v="4"/>
  </r>
  <r>
    <x v="152"/>
    <s v="BAL"/>
    <n v="0.121"/>
    <n v="0.06"/>
    <n v="0.81"/>
    <n v="14.93"/>
    <n v="7.5957313245448837E-3"/>
    <n v="0.6368421052631581"/>
    <x v="2"/>
  </r>
  <r>
    <x v="153"/>
    <s v="PSG"/>
    <n v="0.50009999999999999"/>
    <n v="0.15"/>
    <n v="0.81"/>
    <n v="8.59"/>
    <n v="5.2148070907194997E-2"/>
    <n v="2.6321052631578956"/>
    <x v="1"/>
  </r>
  <r>
    <x v="154"/>
    <s v="METAX"/>
    <n v="562.74"/>
    <n v="0.04"/>
    <n v="2.02"/>
    <n v="0.67"/>
    <n v="336.97005988023955"/>
    <s v="N/A"/>
    <x v="0"/>
  </r>
  <r>
    <x v="155"/>
    <s v="TOWNS"/>
    <n v="2.457E-3"/>
    <n v="0.64"/>
    <n v="0.82"/>
    <n v="9.6"/>
    <n v="2.3179245283018869E-4"/>
    <n v="1.3649999999999995E-2"/>
    <x v="4"/>
  </r>
  <r>
    <x v="156"/>
    <s v="GRS"/>
    <n v="9.1539999999999996E-2"/>
    <n v="0"/>
    <n v="0"/>
    <n v="0"/>
    <n v="9.1539999999999996E-2"/>
    <n v="9.1539999999999996E-2"/>
    <x v="2"/>
  </r>
  <r>
    <x v="157"/>
    <s v="AAPLon"/>
    <n v="310.51"/>
    <n v="0.1"/>
    <n v="0.02"/>
    <n v="1.28"/>
    <n v="136.18859649122805"/>
    <n v="316.84693877551018"/>
    <x v="0"/>
  </r>
  <r>
    <x v="158"/>
    <s v="PRIME"/>
    <n v="0.2319"/>
    <n v="0.5"/>
    <n v="0.21"/>
    <n v="0.17"/>
    <n v="0.1982051282051282"/>
    <n v="0.29354430379746832"/>
    <x v="2"/>
  </r>
  <r>
    <x v="159"/>
    <s v="PPC"/>
    <n v="0.2727"/>
    <n v="0.14000000000000001"/>
    <n v="0.41"/>
    <n v="22.09"/>
    <n v="1.1810307492420961E-2"/>
    <n v="0.4622033898305084"/>
    <x v="2"/>
  </r>
  <r>
    <x v="160"/>
    <s v="RSC"/>
    <n v="6.3909999999999995E-2"/>
    <n v="0.03"/>
    <n v="0.13"/>
    <n v="8.32"/>
    <n v="6.8572961373390548E-3"/>
    <n v="7.3459770114942521E-2"/>
    <x v="2"/>
  </r>
  <r>
    <x v="161"/>
    <s v="NBISB"/>
    <n v="216.99"/>
    <n v="0.22"/>
    <n v="2.96"/>
    <n v="18.64"/>
    <n v="11.048370672097759"/>
    <s v="N/A"/>
    <x v="0"/>
  </r>
  <r>
    <x v="162"/>
    <s v="SD"/>
    <n v="0.1162"/>
    <n v="0.13"/>
    <n v="4.1900000000000004"/>
    <n v="24.31"/>
    <n v="4.5910707230343737E-3"/>
    <s v="N/A"/>
    <x v="2"/>
  </r>
  <r>
    <x v="163"/>
    <s v="ARTX"/>
    <n v="0.1085"/>
    <n v="0.4"/>
    <n v="5.03"/>
    <n v="37.49"/>
    <n v="2.8189140036373084E-3"/>
    <s v="N/A"/>
    <x v="2"/>
  </r>
  <r>
    <x v="164"/>
    <s v="SURE"/>
    <n v="3.0630000000000002E-4"/>
    <n v="1.79"/>
    <n v="1.94"/>
    <n v="60.78"/>
    <n v="4.9579151829070899E-6"/>
    <s v="N/A"/>
    <x v="4"/>
  </r>
  <r>
    <x v="165"/>
    <s v="BRISE"/>
    <n v="7.1664000000000005E-2"/>
    <n v="0.11"/>
    <n v="3.1"/>
    <n v="22.36"/>
    <n v="3.0678082191780824E-3"/>
    <s v="N/A"/>
    <x v="2"/>
  </r>
  <r>
    <x v="166"/>
    <s v="MNSRY"/>
    <n v="7.26E-3"/>
    <n v="0.33"/>
    <n v="2.35"/>
    <n v="8.6999999999999993"/>
    <n v="7.4845360824742275E-4"/>
    <s v="N/A"/>
    <x v="4"/>
  </r>
  <r>
    <x v="167"/>
    <s v="WRX"/>
    <n v="1.7069999999999998E-2"/>
    <n v="0.3"/>
    <n v="1.52"/>
    <n v="23.06"/>
    <n v="7.0947630922693259E-4"/>
    <s v="N/A"/>
    <x v="4"/>
  </r>
  <r>
    <x v="168"/>
    <s v="SUPRA"/>
    <n v="1.9330000000000001E-4"/>
    <n v="0.13"/>
    <n v="3.45"/>
    <n v="6.16"/>
    <n v="2.6997206703910616E-5"/>
    <s v="N/A"/>
    <x v="4"/>
  </r>
  <r>
    <x v="169"/>
    <s v="MCDULL"/>
    <n v="6.8585999999999994E-2"/>
    <n v="0"/>
    <n v="3.16"/>
    <n v="27.78"/>
    <n v="2.3831132731063237E-3"/>
    <s v="N/A"/>
    <x v="2"/>
  </r>
  <r>
    <x v="170"/>
    <s v="EDEL"/>
    <n v="1.0410000000000001E-2"/>
    <n v="0.99"/>
    <n v="19.920000000000002"/>
    <n v="35.950000000000003"/>
    <n v="2.8173207036535859E-4"/>
    <s v="N/A"/>
    <x v="4"/>
  </r>
  <r>
    <x v="171"/>
    <s v="AVICI"/>
    <n v="0.50060000000000004"/>
    <n v="0.89"/>
    <n v="0.31"/>
    <n v="15.52"/>
    <n v="3.0302663438256661E-2"/>
    <n v="0.72550724637681174"/>
    <x v="1"/>
  </r>
  <r>
    <x v="172"/>
    <s v="ELA"/>
    <n v="0.27900000000000003"/>
    <n v="0.03"/>
    <n v="1.38"/>
    <n v="9.3000000000000007"/>
    <n v="2.7087378640776701E-2"/>
    <s v="N/A"/>
    <x v="2"/>
  </r>
  <r>
    <x v="173"/>
    <s v="PTB"/>
    <n v="7.9390000000000005E-4"/>
    <n v="1.67"/>
    <n v="8.4"/>
    <n v="6.62"/>
    <n v="1.0418635170603675E-4"/>
    <s v="N/A"/>
    <x v="4"/>
  </r>
  <r>
    <x v="174"/>
    <s v="MU"/>
    <n v="926.42"/>
    <n v="0.37"/>
    <n v="1"/>
    <n v="5.63"/>
    <n v="139.73152337858221"/>
    <s v="N/A"/>
    <x v="0"/>
  </r>
  <r>
    <x v="175"/>
    <s v="MBX"/>
    <n v="2.3040000000000001E-2"/>
    <n v="0.09"/>
    <n v="0.43"/>
    <n v="12.37"/>
    <n v="1.723261032161556E-3"/>
    <n v="4.0421052631578948E-2"/>
    <x v="4"/>
  </r>
  <r>
    <x v="176"/>
    <s v="EL"/>
    <n v="1.25E-3"/>
    <n v="4.9800000000000004"/>
    <n v="5.72"/>
    <n v="19.489999999999998"/>
    <n v="6.1005368472425582E-5"/>
    <s v="N/A"/>
    <x v="4"/>
  </r>
  <r>
    <x v="177"/>
    <s v="NAVX"/>
    <n v="7.7980000000000002E-3"/>
    <n v="1.0900000000000001"/>
    <n v="1.35"/>
    <n v="12"/>
    <n v="5.9984615384615382E-4"/>
    <s v="N/A"/>
    <x v="4"/>
  </r>
  <r>
    <x v="178"/>
    <s v="PAYAI"/>
    <n v="6.3629999999999997E-3"/>
    <n v="0.61"/>
    <n v="11.74"/>
    <n v="63.34"/>
    <n v="9.8896487410631017E-5"/>
    <s v="N/A"/>
    <x v="4"/>
  </r>
  <r>
    <x v="179"/>
    <s v="DNT"/>
    <n v="6.3449999999999999E-3"/>
    <n v="7.0000000000000007E-2"/>
    <n v="13.24"/>
    <n v="24.42"/>
    <n v="2.4960660896931549E-4"/>
    <s v="N/A"/>
    <x v="4"/>
  </r>
  <r>
    <x v="180"/>
    <s v="PUPS"/>
    <n v="5.4739999999999997E-3"/>
    <n v="4.33"/>
    <n v="57.04"/>
    <n v="163.86"/>
    <n v="3.3203930607788421E-5"/>
    <s v="N/A"/>
    <x v="4"/>
  </r>
  <r>
    <x v="181"/>
    <s v="MPC"/>
    <n v="1.044E-2"/>
    <n v="0.35"/>
    <n v="0.3"/>
    <n v="4.76"/>
    <n v="1.8125000000000001E-3"/>
    <n v="1.4914285714285715E-2"/>
    <x v="4"/>
  </r>
  <r>
    <x v="182"/>
    <s v="JUV"/>
    <n v="0.32829999999999998"/>
    <n v="0.02"/>
    <n v="1.6"/>
    <n v="12.07"/>
    <n v="2.51185921958684E-2"/>
    <s v="N/A"/>
    <x v="2"/>
  </r>
  <r>
    <x v="183"/>
    <s v="AMO"/>
    <n v="2.4729999999999999E-4"/>
    <n v="0.22"/>
    <n v="3.72"/>
    <n v="19.149999999999999"/>
    <n v="1.2272952853598015E-5"/>
    <s v="N/A"/>
    <x v="4"/>
  </r>
  <r>
    <x v="184"/>
    <s v="LAZIO"/>
    <n v="0.39600000000000002"/>
    <n v="0.1"/>
    <n v="2.46"/>
    <n v="17.47"/>
    <n v="2.1440173253925287E-2"/>
    <s v="N/A"/>
    <x v="2"/>
  </r>
  <r>
    <x v="185"/>
    <s v="FAR"/>
    <n v="1.0790000000000001E-3"/>
    <n v="0.01"/>
    <n v="0.32"/>
    <n v="13.64"/>
    <n v="7.3702185792349733E-5"/>
    <n v="1.5867647058823533E-3"/>
    <x v="4"/>
  </r>
  <r>
    <x v="186"/>
    <s v="CITY"/>
    <n v="0.372"/>
    <n v="0.08"/>
    <n v="0.4"/>
    <n v="8.48"/>
    <n v="3.9240506329113925E-2"/>
    <n v="0.62"/>
    <x v="2"/>
  </r>
  <r>
    <x v="187"/>
    <s v="RHEA"/>
    <n v="1.3429999999999999E-2"/>
    <n v="0.22"/>
    <n v="2.68"/>
    <n v="19.059999999999999"/>
    <n v="6.6949152542372886E-4"/>
    <s v="N/A"/>
    <x v="4"/>
  </r>
  <r>
    <x v="188"/>
    <s v="BCN"/>
    <s v="2.798e-05"/>
    <n v="0.01"/>
    <n v="0.02"/>
    <n v="0.06"/>
    <n v="2.6396226415094338E-5"/>
    <n v="2.8551020408163266E-5"/>
    <x v="0"/>
  </r>
  <r>
    <x v="189"/>
    <s v="CYBERLEEK"/>
    <n v="1.4409999999999999E-2"/>
    <n v="6.1"/>
    <n v="31.52"/>
    <n v="25536.22"/>
    <n v="5.6427441984679609E-7"/>
    <s v="N/A"/>
    <x v="4"/>
  </r>
  <r>
    <x v="190"/>
    <s v="KRL"/>
    <n v="0.1288"/>
    <n v="0"/>
    <n v="1.63"/>
    <n v="5.25"/>
    <n v="2.0608000000000001E-2"/>
    <s v="N/A"/>
    <x v="2"/>
  </r>
  <r>
    <x v="191"/>
    <s v="LINGO"/>
    <n v="1.055E-2"/>
    <n v="0.06"/>
    <n v="0.98"/>
    <n v="24.77"/>
    <n v="4.0939076445479242E-4"/>
    <n v="0.52749999999999952"/>
    <x v="4"/>
  </r>
  <r>
    <x v="192"/>
    <s v="P"/>
    <n v="3.6450000000000003E-2"/>
    <n v="0.06"/>
    <n v="5.8"/>
    <n v="19.93"/>
    <n v="1.7415193502150026E-3"/>
    <s v="N/A"/>
    <x v="4"/>
  </r>
  <r>
    <x v="193"/>
    <s v="SOXLx"/>
    <n v="116.08"/>
    <n v="0.76"/>
    <n v="1.68"/>
    <n v="20.34"/>
    <n v="5.4395501405810682"/>
    <s v="N/A"/>
    <x v="0"/>
  </r>
  <r>
    <x v="194"/>
    <s v="MITO"/>
    <n v="2.809E-2"/>
    <n v="0.51"/>
    <n v="0.46"/>
    <n v="10.35"/>
    <n v="2.4748898678414099E-3"/>
    <n v="5.2018518518518513E-2"/>
    <x v="4"/>
  </r>
  <r>
    <x v="195"/>
    <s v="TRUU"/>
    <n v="3.3399999999999999E-4"/>
    <n v="1.72"/>
    <n v="4.3600000000000003"/>
    <n v="17.79"/>
    <n v="1.7775412453432677E-5"/>
    <s v="N/A"/>
    <x v="4"/>
  </r>
  <r>
    <x v="196"/>
    <s v="AFC"/>
    <n v="0.17150000000000001"/>
    <n v="0.13"/>
    <n v="0.13"/>
    <n v="4.21"/>
    <n v="3.2917466410748566E-2"/>
    <n v="0.19712643678160921"/>
    <x v="2"/>
  </r>
  <r>
    <x v="197"/>
    <s v="HOPR"/>
    <n v="1.1690000000000001E-2"/>
    <n v="0"/>
    <n v="4.29"/>
    <n v="7.06"/>
    <n v="1.4503722084367248E-3"/>
    <s v="N/A"/>
    <x v="4"/>
  </r>
  <r>
    <x v="198"/>
    <s v="???"/>
    <n v="3.9649999999999998E-3"/>
    <n v="0.42"/>
    <n v="3.8"/>
    <n v="0.61"/>
    <n v="2.4627329192546585E-3"/>
    <s v="N/A"/>
    <x v="4"/>
  </r>
  <r>
    <x v="199"/>
    <s v="HONEY"/>
    <n v="6.4800000000000003E-4"/>
    <n v="1.45"/>
    <n v="3.77"/>
    <n v="15.26"/>
    <n v="3.9852398523985246E-5"/>
    <s v="N/A"/>
    <x v="4"/>
  </r>
  <r>
    <x v="200"/>
    <s v="AMDx"/>
    <n v="462.24"/>
    <n v="0.18"/>
    <n v="0.33"/>
    <n v="7.55"/>
    <n v="54.06315789473684"/>
    <n v="689.91044776119406"/>
    <x v="0"/>
  </r>
  <r>
    <x v="201"/>
    <s v="VITA"/>
    <n v="0.27279999999999999"/>
    <n v="0.7"/>
    <n v="3.78"/>
    <n v="46.46"/>
    <n v="5.7479983143699951E-3"/>
    <s v="N/A"/>
    <x v="2"/>
  </r>
  <r>
    <x v="202"/>
    <s v="YEE"/>
    <n v="3.9370000000000004E-3"/>
    <n v="0.44"/>
    <n v="3.71"/>
    <n v="44.81"/>
    <n v="8.5941934075529363E-5"/>
    <s v="N/A"/>
    <x v="4"/>
  </r>
  <r>
    <x v="203"/>
    <s v="WEXO"/>
    <n v="1.341E-2"/>
    <n v="2.08"/>
    <n v="0.01"/>
    <n v="3.67"/>
    <n v="2.8715203426124196E-3"/>
    <n v="1.3545454545454546E-2"/>
    <x v="4"/>
  </r>
  <r>
    <x v="204"/>
    <s v="LAT"/>
    <n v="5.6280000000000002E-4"/>
    <n v="0.19"/>
    <n v="5.44"/>
    <n v="9.39"/>
    <n v="5.4167468719923001E-5"/>
    <s v="N/A"/>
    <x v="4"/>
  </r>
  <r>
    <x v="205"/>
    <s v="SWAP"/>
    <n v="3.9170000000000003E-2"/>
    <n v="0.21"/>
    <n v="0.81"/>
    <n v="20.39"/>
    <n v="1.8312295465170642E-3"/>
    <n v="0.20615789473684218"/>
    <x v="4"/>
  </r>
  <r>
    <x v="206"/>
    <s v="METFI"/>
    <n v="1.1809999999999999E-2"/>
    <n v="0.05"/>
    <n v="0.72"/>
    <n v="16.39"/>
    <n v="6.7912593444508331E-4"/>
    <n v="4.2178571428571419E-2"/>
    <x v="4"/>
  </r>
  <r>
    <x v="207"/>
    <s v="VTC"/>
    <n v="5.237E-2"/>
    <n v="0.09"/>
    <n v="3.36"/>
    <n v="23.22"/>
    <n v="2.1622625928984312E-3"/>
    <s v="N/A"/>
    <x v="2"/>
  </r>
  <r>
    <x v="208"/>
    <s v="ANT"/>
    <n v="9.0090000000000003E-2"/>
    <n v="0"/>
    <n v="14.21"/>
    <n v="2.5"/>
    <n v="2.5740000000000002E-2"/>
    <s v="N/A"/>
    <x v="2"/>
  </r>
  <r>
    <x v="209"/>
    <s v="BTR"/>
    <n v="1.091E-2"/>
    <n v="0.45"/>
    <n v="4.47"/>
    <n v="18.149999999999999"/>
    <n v="5.6971279373368153E-4"/>
    <s v="N/A"/>
    <x v="4"/>
  </r>
  <r>
    <x v="210"/>
    <s v="LOT"/>
    <n v="6.411E-3"/>
    <n v="0.25"/>
    <n v="2.37"/>
    <n v="14.08"/>
    <n v="4.2513262599469499E-4"/>
    <s v="N/A"/>
    <x v="4"/>
  </r>
  <r>
    <x v="211"/>
    <s v="AMDB"/>
    <n v="462.54"/>
    <n v="0.21"/>
    <n v="0.2"/>
    <n v="7.4"/>
    <n v="55.064285714285717"/>
    <n v="578.17499999999995"/>
    <x v="0"/>
  </r>
  <r>
    <x v="212"/>
    <s v="GRIN"/>
    <n v="1.306E-2"/>
    <n v="4.4000000000000004"/>
    <n v="4.5199999999999996"/>
    <n v="0.52"/>
    <n v="8.5921052631578957E-3"/>
    <s v="N/A"/>
    <x v="4"/>
  </r>
  <r>
    <x v="213"/>
    <s v="IJHon"/>
    <n v="77.069999999999993"/>
    <n v="0.01"/>
    <n v="1.22"/>
    <n v="2.08"/>
    <n v="25.02272727272727"/>
    <s v="N/A"/>
    <x v="0"/>
  </r>
  <r>
    <x v="214"/>
    <s v="ODOS"/>
    <n v="8.3160000000000005E-4"/>
    <n v="0.73"/>
    <n v="2.2000000000000002"/>
    <n v="15.43"/>
    <n v="5.0614729153986613E-5"/>
    <s v="N/A"/>
    <x v="4"/>
  </r>
  <r>
    <x v="215"/>
    <s v="GFAL"/>
    <n v="7.2610000000000003E-4"/>
    <n v="0"/>
    <n v="0.26"/>
    <n v="5.69"/>
    <n v="1.0853512705530642E-4"/>
    <n v="9.8121621621621619E-4"/>
    <x v="4"/>
  </r>
  <r>
    <x v="216"/>
    <s v="ZTC"/>
    <n v="5.5449999999999998E-4"/>
    <n v="0.45"/>
    <n v="0.09"/>
    <n v="1.58"/>
    <n v="2.1492248062015502E-4"/>
    <n v="6.0934065934065932E-4"/>
    <x v="4"/>
  </r>
  <r>
    <x v="217"/>
    <s v="VANRY"/>
    <n v="8.0579999999999996E-4"/>
    <n v="0.09"/>
    <n v="2.89"/>
    <n v="5.23"/>
    <n v="1.2934189406099518E-4"/>
    <s v="N/A"/>
    <x v="4"/>
  </r>
  <r>
    <x v="218"/>
    <s v="PEIPEI"/>
    <n v="8.7274000000000004E-2"/>
    <n v="1.42"/>
    <n v="2.56"/>
    <n v="21.99"/>
    <n v="3.7961722488038282E-3"/>
    <s v="N/A"/>
    <x v="2"/>
  </r>
  <r>
    <x v="219"/>
    <s v="POLIS"/>
    <n v="1.038E-2"/>
    <n v="1.56"/>
    <n v="1.9"/>
    <n v="17.12"/>
    <n v="5.7284768211920533E-4"/>
    <s v="N/A"/>
    <x v="4"/>
  </r>
  <r>
    <x v="220"/>
    <s v="AZERO"/>
    <n v="9.1970000000000003E-3"/>
    <n v="5.71"/>
    <n v="1.82"/>
    <n v="10.119999999999999"/>
    <n v="8.270683453237411E-4"/>
    <s v="N/A"/>
    <x v="4"/>
  </r>
  <r>
    <x v="221"/>
    <s v="AVL"/>
    <n v="1.866E-2"/>
    <n v="3.55"/>
    <n v="2.5099999999999998"/>
    <n v="14.07"/>
    <n v="1.2382216323822163E-3"/>
    <s v="N/A"/>
    <x v="4"/>
  </r>
  <r>
    <x v="222"/>
    <s v="CRTS"/>
    <s v="4.709e-05"/>
    <n v="0.9"/>
    <n v="3.03"/>
    <n v="20.82"/>
    <n v="2.1581118240146654E-6"/>
    <s v="N/A"/>
    <x v="0"/>
  </r>
  <r>
    <x v="223"/>
    <s v="SHIDO"/>
    <n v="1.2689999999999999E-4"/>
    <n v="0.77"/>
    <n v="5.95"/>
    <n v="15.1"/>
    <n v="7.8819875776397507E-6"/>
    <s v="N/A"/>
    <x v="4"/>
  </r>
  <r>
    <x v="224"/>
    <s v="SC"/>
    <n v="1.5690000000000001E-3"/>
    <n v="5.65"/>
    <n v="38.1"/>
    <n v="73.209999999999994"/>
    <n v="2.1142703139738581E-5"/>
    <s v="N/A"/>
    <x v="4"/>
  </r>
  <r>
    <x v="225"/>
    <s v="PONS"/>
    <n v="8.9980000000000004E-2"/>
    <n v="5.64"/>
    <n v="29.03"/>
    <n v="213.73"/>
    <n v="4.1903786150048904E-4"/>
    <s v="N/A"/>
    <x v="2"/>
  </r>
  <r>
    <x v="226"/>
    <s v="NVOon"/>
    <n v="48.05"/>
    <n v="0.2"/>
    <n v="0.56000000000000005"/>
    <n v="5.01"/>
    <n v="7.9950083194675541"/>
    <n v="109.20454545454547"/>
    <x v="3"/>
  </r>
  <r>
    <x v="227"/>
    <s v="IMU"/>
    <n v="2.3149999999999998E-3"/>
    <n v="1.89"/>
    <n v="0.57999999999999996"/>
    <n v="4.2300000000000004"/>
    <n v="4.4263862332695979E-4"/>
    <n v="5.5119047619047613E-3"/>
    <x v="4"/>
  </r>
  <r>
    <x v="228"/>
    <s v="PX"/>
    <n v="1.239E-2"/>
    <n v="2.91"/>
    <n v="5.4"/>
    <n v="12.13"/>
    <n v="9.4364051789794354E-4"/>
    <s v="N/A"/>
    <x v="4"/>
  </r>
  <r>
    <x v="229"/>
    <s v="WOD"/>
    <n v="4.1139999999999996E-3"/>
    <n v="3.52"/>
    <n v="3.22"/>
    <n v="0.33"/>
    <n v="3.0932330827067663E-3"/>
    <s v="N/A"/>
    <x v="4"/>
  </r>
  <r>
    <x v="230"/>
    <s v="rDRAM"/>
    <n v="55.62"/>
    <n v="7.0000000000000007E-2"/>
    <n v="0.2"/>
    <n v="4.3899999999999997"/>
    <n v="10.319109461966605"/>
    <n v="69.524999999999991"/>
    <x v="0"/>
  </r>
  <r>
    <x v="231"/>
    <s v="ORCLX"/>
    <n v="143.54"/>
    <n v="0.01"/>
    <n v="1.02"/>
    <n v="0.06"/>
    <n v="135.41509433962264"/>
    <s v="N/A"/>
    <x v="0"/>
  </r>
  <r>
    <x v="232"/>
    <s v="MYTH"/>
    <n v="2.7899999999999999E-3"/>
    <n v="0.01"/>
    <n v="0.4"/>
    <n v="16.2"/>
    <n v="1.6220930232558139E-4"/>
    <n v="4.6500000000000005E-3"/>
    <x v="4"/>
  </r>
  <r>
    <x v="233"/>
    <s v="VAL"/>
    <n v="0.46960000000000002"/>
    <n v="0.21"/>
    <n v="4.57"/>
    <n v="7.07"/>
    <n v="5.8190830235439903E-2"/>
    <s v="N/A"/>
    <x v="2"/>
  </r>
  <r>
    <x v="234"/>
    <s v="ALEPH"/>
    <n v="9.6659999999999992E-3"/>
    <n v="0.89"/>
    <n v="5.45"/>
    <n v="3.01"/>
    <n v="2.4104738154613467E-3"/>
    <s v="N/A"/>
    <x v="4"/>
  </r>
  <r>
    <x v="235"/>
    <s v="RUSSELL"/>
    <n v="2.4559999999999998E-3"/>
    <n v="5.14"/>
    <n v="13.93"/>
    <n v="33.57"/>
    <n v="7.1044258027191199E-5"/>
    <s v="N/A"/>
    <x v="4"/>
  </r>
  <r>
    <x v="236"/>
    <s v="ZEUS"/>
    <n v="2.5579999999999999E-3"/>
    <n v="0.1"/>
    <n v="2.73"/>
    <n v="13.51"/>
    <n v="1.762922122674018E-4"/>
    <s v="N/A"/>
    <x v="4"/>
  </r>
  <r>
    <x v="237"/>
    <s v="CEEK"/>
    <n v="2.9520000000000002E-3"/>
    <n v="1.41"/>
    <n v="2.63"/>
    <n v="13.99"/>
    <n v="1.969312875250167E-4"/>
    <s v="N/A"/>
    <x v="4"/>
  </r>
  <r>
    <x v="238"/>
    <s v="OFC"/>
    <n v="8.9669999999999993E-3"/>
    <n v="0.72"/>
    <n v="1.73"/>
    <n v="3.67"/>
    <n v="1.9201284796573875E-3"/>
    <s v="N/A"/>
    <x v="4"/>
  </r>
  <r>
    <x v="239"/>
    <s v="REI"/>
    <n v="2.49E-3"/>
    <n v="0.61"/>
    <n v="24.39"/>
    <n v="74.989999999999995"/>
    <n v="3.2767469403868931E-5"/>
    <s v="N/A"/>
    <x v="4"/>
  </r>
  <r>
    <x v="240"/>
    <s v="BFIC"/>
    <n v="0.18490000000000001"/>
    <n v="0"/>
    <n v="0"/>
    <n v="7.0000000000000007E-2"/>
    <n v="0.172803738317757"/>
    <n v="0.18490000000000001"/>
    <x v="2"/>
  </r>
  <r>
    <x v="241"/>
    <s v="WINR"/>
    <n v="2.7299999999999998E-3"/>
    <n v="1.67"/>
    <n v="11.92"/>
    <n v="21.88"/>
    <n v="1.1931818181818182E-4"/>
    <s v="N/A"/>
    <x v="4"/>
  </r>
  <r>
    <x v="242"/>
    <s v="TQQQB"/>
    <n v="70.16"/>
    <n v="0.33"/>
    <n v="0.98"/>
    <n v="6.09"/>
    <n v="9.8956276445698155"/>
    <n v="3507.9999999999968"/>
    <x v="0"/>
  </r>
  <r>
    <x v="243"/>
    <n v="67"/>
    <n v="1.931E-3"/>
    <n v="0.78"/>
    <n v="13.02"/>
    <n v="89.07"/>
    <n v="2.1438880870434107E-5"/>
    <s v="N/A"/>
    <x v="4"/>
  </r>
  <r>
    <x v="244"/>
    <s v="EURt"/>
    <n v="5.296E-2"/>
    <n v="0"/>
    <n v="0"/>
    <n v="4.71"/>
    <n v="9.2749562171628719E-3"/>
    <n v="5.296E-2"/>
    <x v="2"/>
  </r>
  <r>
    <x v="245"/>
    <s v="AE"/>
    <n v="4.9899999999999996E-3"/>
    <n v="0.03"/>
    <n v="7.0000000000000007E-2"/>
    <n v="3.55"/>
    <n v="1.0967032967032966E-3"/>
    <n v="5.365591397849462E-3"/>
    <x v="4"/>
  </r>
  <r>
    <x v="246"/>
    <s v="NYA"/>
    <n v="7.5439999999999993E-2"/>
    <n v="0.8"/>
    <n v="3.7"/>
    <n v="31.12"/>
    <n v="2.3486924034869234E-3"/>
    <s v="N/A"/>
    <x v="2"/>
  </r>
  <r>
    <x v="247"/>
    <s v="BIOT"/>
    <n v="2.174E-4"/>
    <n v="0.01"/>
    <n v="1.34"/>
    <n v="17.600000000000001"/>
    <n v="1.1688172043010752E-5"/>
    <s v="N/A"/>
    <x v="4"/>
  </r>
  <r>
    <x v="248"/>
    <s v="D"/>
    <n v="2.5660000000000001E-3"/>
    <n v="1.38"/>
    <n v="10.33"/>
    <n v="32.619999999999997"/>
    <n v="7.6323616894705546E-5"/>
    <s v="N/A"/>
    <x v="4"/>
  </r>
  <r>
    <x v="249"/>
    <s v="VRA"/>
    <s v="2.036e-05"/>
    <n v="0.11"/>
    <n v="11.14"/>
    <n v="78.89"/>
    <n v="2.5485041932657405E-7"/>
    <s v="N/A"/>
    <x v="0"/>
  </r>
  <r>
    <x v="250"/>
    <s v="SCAM"/>
    <n v="1.89E-3"/>
    <n v="1.86"/>
    <n v="47.93"/>
    <n v="76.25"/>
    <n v="2.4466019417475727E-5"/>
    <s v="N/A"/>
    <x v="4"/>
  </r>
  <r>
    <x v="251"/>
    <s v="IRENB"/>
    <n v="40.44"/>
    <n v="0.21"/>
    <n v="0.81"/>
    <n v="8.52"/>
    <n v="4.2478991596638656"/>
    <n v="212.84210526315795"/>
    <x v="3"/>
  </r>
  <r>
    <x v="252"/>
    <s v="BMNRon"/>
    <n v="24.92"/>
    <n v="0.2"/>
    <n v="9.11"/>
    <n v="34.31"/>
    <n v="0.70574907958085531"/>
    <s v="N/A"/>
    <x v="3"/>
  </r>
  <r>
    <x v="253"/>
    <s v="XSWAP"/>
    <n v="6.2940000000000001E-3"/>
    <n v="0"/>
    <n v="0.72"/>
    <n v="3.82"/>
    <n v="1.3058091286307053E-3"/>
    <n v="2.2478571428571428E-2"/>
    <x v="4"/>
  </r>
  <r>
    <x v="254"/>
    <s v="NOKB"/>
    <n v="10.050000000000001"/>
    <n v="0.12"/>
    <n v="0.35"/>
    <n v="5.25"/>
    <n v="1.6080000000000001"/>
    <n v="15.461538461538462"/>
    <x v="3"/>
  </r>
  <r>
    <x v="255"/>
    <s v="RBN"/>
    <n v="2.3480000000000001E-2"/>
    <n v="0"/>
    <n v="1.26"/>
    <n v="18.54"/>
    <n v="1.2016376663254863E-3"/>
    <s v="N/A"/>
    <x v="4"/>
  </r>
  <r>
    <x v="256"/>
    <s v="BSAI"/>
    <n v="1111.68"/>
    <n v="0.02"/>
    <n v="0.03"/>
    <n v="5.41"/>
    <n v="173.42901716068644"/>
    <n v="1146.0618556701031"/>
    <x v="0"/>
  </r>
  <r>
    <x v="257"/>
    <s v="CTP"/>
    <n v="9.5359999999999998E-4"/>
    <n v="0.08"/>
    <n v="1.38"/>
    <n v="6.7"/>
    <n v="1.2384415584415585E-4"/>
    <s v="N/A"/>
    <x v="4"/>
  </r>
  <r>
    <x v="258"/>
    <s v="NODL"/>
    <n v="2.6289999999999999E-4"/>
    <n v="0.27"/>
    <n v="1.69"/>
    <n v="8.4600000000000009"/>
    <n v="2.77906976744186E-5"/>
    <s v="N/A"/>
    <x v="4"/>
  </r>
  <r>
    <x v="259"/>
    <s v="APR"/>
    <n v="0.2203"/>
    <n v="5.35"/>
    <n v="8.18"/>
    <n v="15.15"/>
    <n v="1.3640866873065016E-2"/>
    <s v="N/A"/>
    <x v="2"/>
  </r>
  <r>
    <x v="260"/>
    <s v="NMT"/>
    <n v="4.6309999999999997E-2"/>
    <n v="0.14000000000000001"/>
    <n v="4.37"/>
    <n v="15.49"/>
    <n v="2.8083687083080649E-3"/>
    <s v="N/A"/>
    <x v="4"/>
  </r>
  <r>
    <x v="261"/>
    <s v="AAPL"/>
    <n v="309.61"/>
    <n v="0.24"/>
    <n v="0.1"/>
    <n v="1.3"/>
    <n v="134.61304347826089"/>
    <n v="344.01111111111112"/>
    <x v="0"/>
  </r>
  <r>
    <x v="262"/>
    <s v="HOPPY"/>
    <n v="5.3672999999999998E-2"/>
    <n v="0.15"/>
    <n v="1.18"/>
    <n v="33.450000000000003"/>
    <n v="1.5579970972423801E-3"/>
    <s v="N/A"/>
    <x v="2"/>
  </r>
  <r>
    <x v="263"/>
    <s v="LIBERTY"/>
    <n v="1.5410000000000001E-3"/>
    <n v="0.24"/>
    <n v="0.26"/>
    <n v="17.78"/>
    <n v="8.2055378061767832E-5"/>
    <n v="2.0824324324324327E-3"/>
    <x v="4"/>
  </r>
  <r>
    <x v="264"/>
    <s v="VADER"/>
    <n v="1.539E-3"/>
    <n v="3.46"/>
    <n v="24.55"/>
    <n v="57.39"/>
    <n v="2.6357252954272991E-5"/>
    <s v="N/A"/>
    <x v="4"/>
  </r>
  <r>
    <x v="265"/>
    <s v="GAFI"/>
    <n v="0.10249999999999999"/>
    <n v="0.12"/>
    <n v="1.32"/>
    <n v="17.04"/>
    <n v="5.681818181818182E-3"/>
    <s v="N/A"/>
    <x v="2"/>
  </r>
  <r>
    <x v="266"/>
    <s v="LIME"/>
    <n v="2.0300000000000001E-3"/>
    <n v="0.02"/>
    <n v="0.75"/>
    <n v="0.6"/>
    <n v="1.2687499999999999E-3"/>
    <n v="8.1200000000000005E-3"/>
    <x v="4"/>
  </r>
  <r>
    <x v="267"/>
    <s v="OCICAT"/>
    <n v="8.4791000000000005E-2"/>
    <n v="2.68"/>
    <n v="2.2599999999999998"/>
    <n v="3.2"/>
    <n v="2.0188333333333332E-2"/>
    <s v="N/A"/>
    <x v="2"/>
  </r>
  <r>
    <x v="268"/>
    <s v="AL"/>
    <n v="1.624E-3"/>
    <n v="0.26"/>
    <n v="3.22"/>
    <n v="10.039999999999999"/>
    <n v="1.4710144927536234E-4"/>
    <s v="N/A"/>
    <x v="4"/>
  </r>
  <r>
    <x v="269"/>
    <s v="SKHYon"/>
    <n v="158.87"/>
    <n v="0.32"/>
    <n v="0.08"/>
    <n v="4.7"/>
    <n v="27.871929824561402"/>
    <n v="172.68478260869566"/>
    <x v="0"/>
  </r>
  <r>
    <x v="270"/>
    <s v="WELF"/>
    <n v="9.8760000000000001E-2"/>
    <n v="0.01"/>
    <n v="7.49"/>
    <n v="15.36"/>
    <n v="6.0366748166259167E-3"/>
    <s v="N/A"/>
    <x v="2"/>
  </r>
  <r>
    <x v="271"/>
    <s v="SLX"/>
    <n v="7.1909999999999997E-4"/>
    <n v="0.01"/>
    <n v="1.29"/>
    <n v="2.31"/>
    <n v="2.1725075528700904E-4"/>
    <s v="N/A"/>
    <x v="4"/>
  </r>
  <r>
    <x v="272"/>
    <s v="ZFI"/>
    <n v="6.6930000000000002E-3"/>
    <n v="0"/>
    <n v="4.5"/>
    <n v="28.68"/>
    <n v="2.2550539083557953E-4"/>
    <s v="N/A"/>
    <x v="4"/>
  </r>
  <r>
    <x v="273"/>
    <s v="EURAU"/>
    <n v="1.1599999999999999"/>
    <n v="0.02"/>
    <n v="0.18"/>
    <n v="0.66"/>
    <n v="0.69879518072289148"/>
    <n v="1.4146341463414631"/>
    <x v="1"/>
  </r>
  <r>
    <x v="274"/>
    <s v="QQQ"/>
    <n v="710.69"/>
    <n v="0.16"/>
    <n v="0.28999999999999998"/>
    <n v="1.9"/>
    <n v="245.06551724137933"/>
    <n v="1000.9718309859156"/>
    <x v="0"/>
  </r>
  <r>
    <x v="275"/>
    <s v="COSTon"/>
    <n v="973.38"/>
    <n v="0.01"/>
    <n v="1.87"/>
    <n v="1.04"/>
    <n v="477.14705882352939"/>
    <s v="N/A"/>
    <x v="0"/>
  </r>
  <r>
    <x v="276"/>
    <s v="JOBY"/>
    <n v="1.2329999999999999E-3"/>
    <n v="1.34"/>
    <n v="8.06"/>
    <n v="38.26"/>
    <n v="3.1406011207335709E-5"/>
    <s v="N/A"/>
    <x v="4"/>
  </r>
  <r>
    <x v="277"/>
    <s v="DELLx"/>
    <n v="439.47"/>
    <n v="0.43"/>
    <n v="1.25"/>
    <n v="6.74"/>
    <n v="56.779069767441861"/>
    <s v="N/A"/>
    <x v="0"/>
  </r>
  <r>
    <x v="278"/>
    <s v="TSUKA"/>
    <n v="1.2290000000000001E-3"/>
    <n v="0"/>
    <n v="0.85"/>
    <n v="32.39"/>
    <n v="3.680742737346511E-5"/>
    <n v="8.193333333333332E-3"/>
    <x v="4"/>
  </r>
  <r>
    <x v="279"/>
    <s v="TKP"/>
    <n v="4.2610000000000002E-2"/>
    <n v="0"/>
    <n v="0.35"/>
    <n v="13.77"/>
    <n v="2.8849018280297902E-3"/>
    <n v="6.5553846153846157E-2"/>
    <x v="4"/>
  </r>
  <r>
    <x v="280"/>
    <s v="SHPING"/>
    <n v="5.3339999999999995E-4"/>
    <n v="0.01"/>
    <n v="2.21"/>
    <n v="13.37"/>
    <n v="3.7118997912317327E-5"/>
    <s v="N/A"/>
    <x v="4"/>
  </r>
  <r>
    <x v="281"/>
    <s v="RENEC"/>
    <n v="3.3980000000000003E-2"/>
    <n v="0.01"/>
    <n v="2.38"/>
    <n v="4.95"/>
    <n v="5.7109243697478999E-3"/>
    <s v="N/A"/>
    <x v="4"/>
  </r>
  <r>
    <x v="282"/>
    <s v="SCP"/>
    <n v="2.5229999999999999E-2"/>
    <n v="0.01"/>
    <n v="1.26"/>
    <n v="14.21"/>
    <n v="1.6587771203155817E-3"/>
    <s v="N/A"/>
    <x v="4"/>
  </r>
  <r>
    <x v="283"/>
    <s v="CHKN"/>
    <n v="7.1887000000000006E-2"/>
    <n v="0"/>
    <n v="2.76"/>
    <n v="31.02"/>
    <n v="2.2450655840099941E-3"/>
    <s v="N/A"/>
    <x v="2"/>
  </r>
  <r>
    <x v="284"/>
    <s v="RICE"/>
    <n v="5.7289999999999997E-3"/>
    <n v="0.49"/>
    <n v="1.54"/>
    <n v="72.790000000000006"/>
    <n v="7.7639246510367247E-5"/>
    <s v="N/A"/>
    <x v="4"/>
  </r>
  <r>
    <x v="285"/>
    <s v="GRG"/>
    <n v="0.38800000000000001"/>
    <n v="0.23"/>
    <n v="1.1200000000000001"/>
    <n v="43.32"/>
    <n v="8.7545126353790609E-3"/>
    <s v="N/A"/>
    <x v="2"/>
  </r>
  <r>
    <x v="286"/>
    <s v="SKEY"/>
    <n v="1.8929999999999999E-3"/>
    <n v="0.26"/>
    <n v="3.81"/>
    <n v="4"/>
    <n v="3.7859999999999999E-4"/>
    <s v="N/A"/>
    <x v="4"/>
  </r>
  <r>
    <x v="287"/>
    <s v="CAS"/>
    <n v="1.044E-3"/>
    <n v="0.03"/>
    <n v="0.33"/>
    <n v="0.33"/>
    <n v="7.8496240601503751E-4"/>
    <n v="1.5582089552238808E-3"/>
    <x v="4"/>
  </r>
  <r>
    <x v="288"/>
    <s v="NOKon"/>
    <n v="10.06"/>
    <n v="0.19"/>
    <n v="0.12"/>
    <n v="5.85"/>
    <n v="1.4686131386861316"/>
    <n v="11.431818181818182"/>
    <x v="3"/>
  </r>
  <r>
    <x v="289"/>
    <s v="ASTSB"/>
    <n v="63.35"/>
    <n v="0.22"/>
    <n v="5.56"/>
    <n v="9.69"/>
    <n v="5.9260991580916746"/>
    <s v="N/A"/>
    <x v="0"/>
  </r>
  <r>
    <x v="290"/>
    <s v="MNW"/>
    <n v="2.1530000000000001E-2"/>
    <n v="0.9"/>
    <n v="17.86"/>
    <n v="47.17"/>
    <n v="4.469586879800706E-4"/>
    <s v="N/A"/>
    <x v="4"/>
  </r>
  <r>
    <x v="291"/>
    <s v="FLQLon"/>
    <n v="78.67"/>
    <n v="0.04"/>
    <n v="0.28000000000000003"/>
    <n v="1.6"/>
    <n v="30.257692307692306"/>
    <n v="109.2638888888889"/>
    <x v="0"/>
  </r>
  <r>
    <x v="292"/>
    <s v="DISon"/>
    <n v="111.75"/>
    <n v="0.02"/>
    <n v="2.63"/>
    <n v="6.26"/>
    <n v="15.392561983471074"/>
    <s v="N/A"/>
    <x v="0"/>
  </r>
  <r>
    <x v="293"/>
    <s v="PANDORA"/>
    <n v="102.68"/>
    <n v="0"/>
    <n v="1.1200000000000001"/>
    <n v="2.86"/>
    <n v="26.601036269430054"/>
    <s v="N/A"/>
    <x v="0"/>
  </r>
  <r>
    <x v="294"/>
    <s v="SHRAP"/>
    <n v="3.5349999999999997E-4"/>
    <n v="0"/>
    <n v="1.36"/>
    <n v="29.87"/>
    <n v="1.1451247165532879E-5"/>
    <s v="N/A"/>
    <x v="4"/>
  </r>
  <r>
    <x v="295"/>
    <s v="NXRA"/>
    <n v="8.2010000000000004E-4"/>
    <n v="0.01"/>
    <n v="2.04"/>
    <n v="42.26"/>
    <n v="1.895746648173833E-5"/>
    <s v="N/A"/>
    <x v="4"/>
  </r>
  <r>
    <x v="296"/>
    <s v="BTX"/>
    <n v="5.0970000000000001E-2"/>
    <n v="0"/>
    <n v="4.46"/>
    <n v="45.49"/>
    <n v="1.096364809636481E-3"/>
    <s v="N/A"/>
    <x v="2"/>
  </r>
  <r>
    <x v="297"/>
    <s v="WCO"/>
    <n v="1.56E-4"/>
    <n v="0.02"/>
    <n v="12.88"/>
    <n v="10.49"/>
    <n v="1.3577023498694517E-5"/>
    <s v="N/A"/>
    <x v="4"/>
  </r>
  <r>
    <x v="298"/>
    <s v="TRIAS"/>
    <n v="0.2024"/>
    <n v="0.02"/>
    <n v="0.03"/>
    <n v="0.06"/>
    <n v="0.19094339622641507"/>
    <n v="0.208659793814433"/>
    <x v="2"/>
  </r>
  <r>
    <x v="299"/>
    <s v="PWEASE"/>
    <n v="1.0089999999999999E-3"/>
    <n v="0.55000000000000004"/>
    <n v="4.22"/>
    <n v="35.78"/>
    <n v="2.7433387710712341E-5"/>
    <s v="N/A"/>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x v="0"/>
    <x v="0"/>
    <x v="0"/>
    <n v="0.63"/>
    <n v="1260000"/>
    <n v="23570"/>
    <n v="4680000000"/>
    <n v="73.803730738037302"/>
    <n v="269"/>
    <s v="0-0.5"/>
  </r>
  <r>
    <x v="1"/>
    <x v="1"/>
    <x v="1"/>
    <n v="0.2"/>
    <n v="15540000"/>
    <n v="84600"/>
    <n v="38740000"/>
    <n v="3038.3657199800696"/>
    <n v="117"/>
    <s v="0-0.5"/>
  </r>
  <r>
    <x v="2"/>
    <x v="2"/>
    <x v="2"/>
    <n v="0.3"/>
    <n v="3280000"/>
    <n v="4740000"/>
    <n v="6840"/>
    <n v="194.8127278753729"/>
    <n v="204"/>
    <s v="100-10000"/>
  </r>
  <r>
    <x v="3"/>
    <x v="3"/>
    <x v="3"/>
    <n v="0.82"/>
    <n v="266440000"/>
    <n v="6580000"/>
    <n v="990100000000000"/>
    <n v="0.62484309337990507"/>
    <n v="30"/>
    <s v="0-0.5"/>
  </r>
  <r>
    <x v="4"/>
    <x v="4"/>
    <x v="4"/>
    <n v="0.02"/>
    <n v="9340000"/>
    <n v="1330000"/>
    <n v="1780000000"/>
    <n v="15.395013517572769"/>
    <n v="138"/>
    <s v="0-0.5"/>
  </r>
  <r>
    <x v="5"/>
    <x v="5"/>
    <x v="5"/>
    <n v="0.01"/>
    <n v="4270000"/>
    <n v="44.18"/>
    <n v="2770000000"/>
    <n v="0.10535543512910424"/>
    <n v="189"/>
    <s v="0-0.5"/>
  </r>
  <r>
    <x v="6"/>
    <x v="6"/>
    <x v="6"/>
    <n v="2.42"/>
    <n v="2550000"/>
    <n v="156510"/>
    <n v="266770000"/>
    <n v="0.30577053632043449"/>
    <n v="221"/>
    <s v="0-0.5"/>
  </r>
  <r>
    <x v="7"/>
    <x v="7"/>
    <x v="7"/>
    <n v="0.18"/>
    <n v="2020000"/>
    <n v="1290000"/>
    <n v="16590"/>
    <n v="13.01061076160927"/>
    <n v="232"/>
    <s v="100-10000"/>
  </r>
  <r>
    <x v="8"/>
    <x v="8"/>
    <x v="8"/>
    <n v="0.16"/>
    <n v="3280000"/>
    <n v="1810000"/>
    <n v="26710"/>
    <n v="5.4520071646823303E-3"/>
    <n v="204"/>
    <s v="100-10000"/>
  </r>
  <r>
    <x v="9"/>
    <x v="9"/>
    <x v="9"/>
    <n v="0.76"/>
    <n v="54510000"/>
    <n v="24540000"/>
    <n v="200500000"/>
    <n v="3.8344247331031474"/>
    <n v="54"/>
    <s v="0-0.5"/>
  </r>
  <r>
    <x v="10"/>
    <x v="10"/>
    <x v="10"/>
    <n v="0.19"/>
    <n v="5630000"/>
    <n v="806990"/>
    <n v="73730000"/>
    <n v="8.9956949174323717E-3"/>
    <n v="176"/>
    <s v="0-0.5"/>
  </r>
  <r>
    <x v="11"/>
    <x v="11"/>
    <x v="11"/>
    <n v="0.05"/>
    <n v="873320"/>
    <n v="1270000"/>
    <n v="3220"/>
    <n v="86.155674390968514"/>
    <n v="293"/>
    <s v="100-10000"/>
  </r>
  <r>
    <x v="12"/>
    <x v="12"/>
    <x v="12"/>
    <n v="5.57"/>
    <n v="3280000"/>
    <n v="3170000"/>
    <n v="14340000"/>
    <n v="0.72555441190231118"/>
    <n v="204"/>
    <s v="0-0.5"/>
  </r>
  <r>
    <x v="13"/>
    <x v="13"/>
    <x v="13"/>
    <n v="0.13"/>
    <n v="27810000"/>
    <n v="1650000"/>
    <n v="2500000000"/>
    <n v="2.663332970975106E-4"/>
    <n v="89"/>
    <s v="0-0.5"/>
  </r>
  <r>
    <x v="14"/>
    <x v="14"/>
    <x v="14"/>
    <n v="1.01"/>
    <n v="7370000"/>
    <n v="1870000"/>
    <n v="78610"/>
    <n v="7.0484300159659394"/>
    <n v="153"/>
    <s v="10-100"/>
  </r>
  <r>
    <x v="15"/>
    <x v="15"/>
    <x v="15"/>
    <n v="0.39"/>
    <n v="54060000"/>
    <n v="2500000"/>
    <n v="277810000"/>
    <n v="0.5513307984790875"/>
    <n v="55"/>
    <s v="0-0.5"/>
  </r>
  <r>
    <x v="16"/>
    <x v="16"/>
    <x v="16"/>
    <n v="0.2"/>
    <n v="4210000"/>
    <n v="1130000"/>
    <n v="147340000"/>
    <n v="6.1533678508651303E-2"/>
    <n v="193"/>
    <s v="0-0.5"/>
  </r>
  <r>
    <x v="17"/>
    <x v="17"/>
    <x v="17"/>
    <n v="0.05"/>
    <n v="15840000"/>
    <n v="15290"/>
    <n v="36250000000"/>
    <n v="0.35034843205574911"/>
    <n v="109"/>
    <s v="0-0.5"/>
  </r>
  <r>
    <x v="18"/>
    <x v="18"/>
    <x v="18"/>
    <n v="0.53"/>
    <n v="1580000"/>
    <n v="324580"/>
    <n v="18710000"/>
    <n v="3.4827586206896552E-6"/>
    <n v="249"/>
    <s v="0-0.5"/>
  </r>
  <r>
    <x v="19"/>
    <x v="19"/>
    <x v="19"/>
    <n v="0.28000000000000003"/>
    <n v="7390000"/>
    <n v="3250000"/>
    <n v="8730000"/>
    <n v="0.10342689857069054"/>
    <n v="151"/>
    <s v="0.5-1"/>
  </r>
  <r>
    <x v="20"/>
    <x v="20"/>
    <x v="20"/>
    <n v="0.05"/>
    <n v="3300000"/>
    <n v="202940"/>
    <n v="56090"/>
    <n v="0.11767567672757702"/>
    <n v="198"/>
    <s v="10-100"/>
  </r>
  <r>
    <x v="21"/>
    <x v="21"/>
    <x v="21"/>
    <n v="4.53"/>
    <n v="28430000"/>
    <n v="9280000"/>
    <n v="420690000000"/>
    <n v="6.423310335045541E-9"/>
    <n v="79"/>
    <s v="0-0.5"/>
  </r>
  <r>
    <x v="22"/>
    <x v="22"/>
    <x v="22"/>
    <n v="0.78"/>
    <n v="12160000"/>
    <n v="474110"/>
    <n v="724750000"/>
    <n v="9.4522104784634619E-7"/>
    <n v="120"/>
    <s v="0-0.5"/>
  </r>
  <r>
    <x v="23"/>
    <x v="23"/>
    <x v="23"/>
    <n v="0.99"/>
    <n v="7340000"/>
    <n v="539290"/>
    <n v="999190000"/>
    <n v="6.8725490196078435E-3"/>
    <n v="155"/>
    <s v="0-0.5"/>
  </r>
  <r>
    <x v="24"/>
    <x v="24"/>
    <x v="24"/>
    <n v="2.37"/>
    <n v="2030000"/>
    <n v="6720000"/>
    <n v="34460"/>
    <n v="5.8983941016058984E-9"/>
    <n v="229"/>
    <s v="10-100"/>
  </r>
  <r>
    <x v="25"/>
    <x v="25"/>
    <x v="25"/>
    <n v="1.03"/>
    <n v="55980000"/>
    <n v="4240000"/>
    <n v="0"/>
    <n v="4.1620938628158848E-2"/>
    <n v="50"/>
    <s v="0-0.5"/>
  </r>
  <r>
    <x v="26"/>
    <x v="26"/>
    <x v="26"/>
    <n v="1.23"/>
    <n v="7080000"/>
    <n v="384890"/>
    <n v="69780000"/>
    <n v="5.8149999999999999E-3"/>
    <n v="162"/>
    <s v="0-0.5"/>
  </r>
  <r>
    <x v="27"/>
    <x v="27"/>
    <x v="27"/>
    <n v="0.37"/>
    <n v="27830000"/>
    <n v="2800000"/>
    <n v="106040000"/>
    <n v="2.3766730401529636E-3"/>
    <n v="88"/>
    <s v="0-0.5"/>
  </r>
  <r>
    <x v="28"/>
    <x v="28"/>
    <x v="28"/>
    <n v="0.08"/>
    <n v="649330000"/>
    <n v="11920000"/>
    <n v="7860000000"/>
    <n v="4.5357142857142856E-6"/>
    <n v="23"/>
    <s v="0-0.5"/>
  </r>
  <r>
    <x v="29"/>
    <x v="29"/>
    <x v="29"/>
    <n v="0"/>
    <n v="2540000"/>
    <n v="8440"/>
    <n v="61480000"/>
    <n v="6.2935779816513764E-3"/>
    <n v="222"/>
    <s v="0-0.5"/>
  </r>
  <r>
    <x v="30"/>
    <x v="30"/>
    <x v="30"/>
    <n v="0.43"/>
    <n v="57720000"/>
    <n v="7340000"/>
    <n v="2420000000"/>
    <n v="7.4812654376979864E-5"/>
    <n v="48"/>
    <s v="0-0.5"/>
  </r>
  <r>
    <x v="31"/>
    <x v="31"/>
    <x v="31"/>
    <n v="0"/>
    <n v="1590000"/>
    <n v="23440"/>
    <n v="8790000000"/>
    <n v="2.4219424460431653E-5"/>
    <n v="246"/>
    <s v="0-0.5"/>
  </r>
  <r>
    <x v="32"/>
    <x v="32"/>
    <x v="32"/>
    <n v="0"/>
    <n v="1600000"/>
    <n v="0"/>
    <n v="7700000000"/>
    <n v="4.7220212765957444E-4"/>
    <n v="243"/>
    <s v="0-0.5"/>
  </r>
  <r>
    <x v="33"/>
    <x v="33"/>
    <x v="33"/>
    <n v="0.01"/>
    <n v="1260000000000"/>
    <n v="30990000000"/>
    <n v="20060000"/>
    <n v="6.7722075637642919E-8"/>
    <n v="1"/>
    <s v="10000+"/>
  </r>
  <r>
    <x v="34"/>
    <x v="34"/>
    <x v="34"/>
    <n v="0"/>
    <n v="11780000"/>
    <n v="0"/>
    <n v="186490000"/>
    <n v="8.288888888888889E-3"/>
    <n v="132"/>
    <s v="0-0.5"/>
  </r>
  <r>
    <x v="35"/>
    <x v="35"/>
    <x v="35"/>
    <n v="0.47"/>
    <n v="252500000"/>
    <n v="8450000"/>
    <n v="20060000"/>
    <n v="1.3403361344537816E-2"/>
    <n v="35"/>
    <s v="10-100"/>
  </r>
  <r>
    <x v="36"/>
    <x v="36"/>
    <x v="36"/>
    <n v="0.66"/>
    <n v="38890000"/>
    <n v="138940"/>
    <n v="81970000"/>
    <n v="8.2250427350427353E-4"/>
    <n v="63"/>
    <s v="0-0.5"/>
  </r>
  <r>
    <x v="37"/>
    <x v="37"/>
    <x v="37"/>
    <n v="0.31"/>
    <n v="5600000"/>
    <n v="3260000"/>
    <n v="43050000"/>
    <n v="3.9011235955056182E-3"/>
    <n v="178"/>
    <s v="0-0.5"/>
  </r>
  <r>
    <x v="38"/>
    <x v="38"/>
    <x v="38"/>
    <n v="0.18"/>
    <n v="258040000"/>
    <n v="4450000"/>
    <n v="987030000000000"/>
    <n v="7.2638733894694121E-2"/>
    <n v="32"/>
    <s v="0-0.5"/>
  </r>
  <r>
    <x v="39"/>
    <x v="39"/>
    <x v="39"/>
    <n v="0.06"/>
    <n v="15820000"/>
    <n v="3020000"/>
    <n v="66430000000"/>
    <n v="7.5115879828326179E-4"/>
    <n v="110"/>
    <s v="0-0.5"/>
  </r>
  <r>
    <x v="40"/>
    <x v="40"/>
    <x v="40"/>
    <n v="0.83"/>
    <n v="15880000"/>
    <n v="1700000"/>
    <n v="1940000000"/>
    <n v="1.2592121982210928E-3"/>
    <n v="107"/>
    <s v="0-0.5"/>
  </r>
  <r>
    <x v="41"/>
    <x v="41"/>
    <x v="41"/>
    <n v="0.51"/>
    <n v="27890000"/>
    <n v="663280000"/>
    <n v="236300000"/>
    <n v="2.1617718731385043E-4"/>
    <n v="87"/>
    <s v="0-0.5"/>
  </r>
  <r>
    <x v="42"/>
    <x v="42"/>
    <x v="42"/>
    <n v="0.12"/>
    <n v="864710"/>
    <n v="39030"/>
    <n v="61470000"/>
    <n v="6.462551111997606E-3"/>
    <n v="297"/>
    <s v="0-0.5"/>
  </r>
  <r>
    <x v="43"/>
    <x v="43"/>
    <x v="43"/>
    <n v="0.74"/>
    <n v="1040000"/>
    <n v="1950000"/>
    <n v="5060"/>
    <n v="4.6459134317251641E-2"/>
    <n v="278"/>
    <s v="100-10000"/>
  </r>
  <r>
    <x v="44"/>
    <x v="44"/>
    <x v="44"/>
    <n v="0.21"/>
    <n v="78080000000"/>
    <n v="1230000000"/>
    <n v="133160000"/>
    <n v="2.6080000000000001E-3"/>
    <n v="4"/>
    <s v="100-10000"/>
  </r>
  <r>
    <x v="45"/>
    <x v="45"/>
    <x v="45"/>
    <n v="0.05"/>
    <n v="9290000"/>
    <n v="1000000"/>
    <n v="493580000"/>
    <n v="3.1039646220804119E-2"/>
    <n v="139"/>
    <s v="0-0.5"/>
  </r>
  <r>
    <x v="46"/>
    <x v="46"/>
    <x v="46"/>
    <n v="0.42"/>
    <n v="244180000"/>
    <n v="33610000"/>
    <n v="87990000000000"/>
    <n v="24.392606092163501"/>
    <n v="39"/>
    <s v="0-0.5"/>
  </r>
  <r>
    <x v="47"/>
    <x v="47"/>
    <x v="47"/>
    <n v="0.48"/>
    <n v="2610000"/>
    <n v="14640"/>
    <n v="96190000"/>
    <n v="2.9726075877689694E-6"/>
    <n v="214"/>
    <s v="0-0.5"/>
  </r>
  <r>
    <x v="48"/>
    <x v="48"/>
    <x v="48"/>
    <n v="0.36"/>
    <n v="1980000"/>
    <n v="826.89"/>
    <n v="77570000000"/>
    <n v="2.3517571884984028"/>
    <n v="239"/>
    <s v="0-0.5"/>
  </r>
  <r>
    <x v="49"/>
    <x v="49"/>
    <x v="49"/>
    <n v="0.28999999999999998"/>
    <n v="38550000"/>
    <n v="4290000"/>
    <n v="9990000000"/>
    <n v="1.5646781789638933E-2"/>
    <n v="68"/>
    <s v="0-0.5"/>
  </r>
  <r>
    <x v="50"/>
    <x v="50"/>
    <x v="50"/>
    <n v="0.47"/>
    <n v="5660000"/>
    <n v="3050000"/>
    <n v="14550"/>
    <n v="2.4593982960596381E-2"/>
    <n v="174"/>
    <s v="100-10000"/>
  </r>
  <r>
    <x v="51"/>
    <x v="51"/>
    <x v="51"/>
    <n v="0"/>
    <n v="4280000"/>
    <n v="0"/>
    <n v="184060000000"/>
    <n v="7.8799999999999996E-4"/>
    <n v="188"/>
    <s v="0-0.5"/>
  </r>
  <r>
    <x v="52"/>
    <x v="52"/>
    <x v="52"/>
    <n v="1.1399999999999999"/>
    <n v="867730000"/>
    <n v="14480000"/>
    <n v="4450000000"/>
    <n v="1.3031543069402917E-2"/>
    <n v="21"/>
    <s v="0-0.5"/>
  </r>
  <r>
    <x v="53"/>
    <x v="53"/>
    <x v="53"/>
    <n v="0.85"/>
    <n v="6160000000"/>
    <n v="318820000"/>
    <n v="36500000000"/>
    <n v="5.7121416779228579E-5"/>
    <n v="16"/>
    <s v="0-0.5"/>
  </r>
  <r>
    <x v="54"/>
    <x v="54"/>
    <x v="54"/>
    <n v="0.13"/>
    <n v="4200000"/>
    <n v="838.91"/>
    <n v="57270000000000"/>
    <n v="1.8609841258414025E-2"/>
    <n v="194"/>
    <s v="0-0.5"/>
  </r>
  <r>
    <x v="55"/>
    <x v="55"/>
    <x v="55"/>
    <n v="0"/>
    <n v="880500"/>
    <n v="0"/>
    <n v="4370000000"/>
    <n v="0.20063945578231293"/>
    <n v="288"/>
    <s v="0-0.5"/>
  </r>
  <r>
    <x v="56"/>
    <x v="56"/>
    <x v="56"/>
    <n v="0.03"/>
    <n v="37890000"/>
    <n v="2010000"/>
    <n v="603760000"/>
    <n v="1.4527826596367897E-2"/>
    <n v="72"/>
    <s v="0-0.5"/>
  </r>
  <r>
    <x v="57"/>
    <x v="57"/>
    <x v="57"/>
    <n v="0.23"/>
    <n v="3280000"/>
    <n v="169600"/>
    <n v="2650000000"/>
    <n v="1.1325681255161023E-2"/>
    <n v="204"/>
    <s v="0-0.5"/>
  </r>
  <r>
    <x v="58"/>
    <x v="58"/>
    <x v="58"/>
    <n v="0.02"/>
    <n v="1280000"/>
    <n v="0"/>
    <n v="54380000"/>
    <n v="0"/>
    <n v="260"/>
    <s v="0-0.5"/>
  </r>
  <r>
    <x v="59"/>
    <x v="59"/>
    <x v="59"/>
    <n v="0.46"/>
    <n v="20520000"/>
    <n v="786200"/>
    <n v="14410000"/>
    <n v="7.0537619215824798E-9"/>
    <n v="94"/>
    <s v="1-2"/>
  </r>
  <r>
    <x v="60"/>
    <x v="60"/>
    <x v="60"/>
    <n v="0.12"/>
    <n v="9260000"/>
    <n v="0"/>
    <n v="82070000"/>
    <n v="5.3999999999999999E-2"/>
    <n v="140"/>
    <s v="0-0.5"/>
  </r>
  <r>
    <x v="61"/>
    <x v="61"/>
    <x v="61"/>
    <n v="0.63"/>
    <n v="1600000"/>
    <n v="468100"/>
    <n v="10970"/>
    <n v="4.0925589836660617E-4"/>
    <n v="243"/>
    <s v="100-10000"/>
  </r>
  <r>
    <x v="62"/>
    <x v="62"/>
    <x v="62"/>
    <n v="0.16"/>
    <n v="6050000"/>
    <n v="1570000"/>
    <n v="47430"/>
    <n v="0.20204081632653062"/>
    <n v="165"/>
    <s v="100-10000"/>
  </r>
  <r>
    <x v="63"/>
    <x v="63"/>
    <x v="63"/>
    <n v="0.84"/>
    <n v="223520000"/>
    <n v="87220000"/>
    <n v="5220000000"/>
    <n v="7.648785210734925E-2"/>
    <n v="41"/>
    <s v="0-0.5"/>
  </r>
  <r>
    <x v="64"/>
    <x v="64"/>
    <x v="64"/>
    <n v="0.66"/>
    <n v="38460000"/>
    <n v="3450000"/>
    <n v="549560000"/>
    <n v="6.0000000000000001E-3"/>
    <n v="69"/>
    <s v="0-0.5"/>
  </r>
  <r>
    <x v="65"/>
    <x v="65"/>
    <x v="65"/>
    <n v="0.38"/>
    <n v="1260000"/>
    <n v="54550"/>
    <n v="382950000"/>
    <n v="1.947935368043088E-5"/>
    <n v="269"/>
    <s v="0-0.5"/>
  </r>
  <r>
    <x v="66"/>
    <x v="66"/>
    <x v="66"/>
    <n v="1.8"/>
    <n v="7130000"/>
    <n v="448520"/>
    <n v="8390000000"/>
    <n v="2.2229965156794424E-3"/>
    <n v="161"/>
    <s v="0-0.5"/>
  </r>
  <r>
    <x v="67"/>
    <x v="67"/>
    <x v="67"/>
    <n v="0.21"/>
    <n v="9210000"/>
    <n v="256790"/>
    <n v="574370000"/>
    <n v="8.050847457627118E-5"/>
    <n v="141"/>
    <s v="0-0.5"/>
  </r>
  <r>
    <x v="68"/>
    <x v="68"/>
    <x v="68"/>
    <n v="1.1299999999999999"/>
    <n v="8160000000"/>
    <n v="236610"/>
    <n v="11120000000"/>
    <n v="2.6201906822638449E-3"/>
    <n v="13"/>
    <s v="0.5-1"/>
  </r>
  <r>
    <x v="69"/>
    <x v="69"/>
    <x v="69"/>
    <n v="0.13"/>
    <n v="230930000"/>
    <n v="3640000"/>
    <n v="17530000"/>
    <n v="0.44723618090452261"/>
    <n v="40"/>
    <s v="10-100"/>
  </r>
  <r>
    <x v="70"/>
    <x v="70"/>
    <x v="70"/>
    <n v="0.01"/>
    <n v="880190"/>
    <n v="11550"/>
    <n v="5420000000"/>
    <n v="1.443001443001443E-2"/>
    <n v="289"/>
    <s v="0-0.5"/>
  </r>
  <r>
    <x v="71"/>
    <x v="71"/>
    <x v="71"/>
    <n v="0.46"/>
    <n v="874010"/>
    <n v="2180000"/>
    <n v="22500000"/>
    <n v="8.8877820099619101E-3"/>
    <n v="291"/>
    <s v="0-0.5"/>
  </r>
  <r>
    <x v="72"/>
    <x v="72"/>
    <x v="72"/>
    <n v="0"/>
    <n v="1280000"/>
    <n v="0"/>
    <n v="267950000"/>
    <n v="2.6125017097524277E-2"/>
    <n v="260"/>
    <s v="0-0.5"/>
  </r>
  <r>
    <x v="73"/>
    <x v="73"/>
    <x v="73"/>
    <n v="0"/>
    <n v="3290000"/>
    <n v="0"/>
    <n v="3290000"/>
    <n v="2.6636771300448433E-4"/>
    <n v="200"/>
    <s v="0.5-1"/>
  </r>
  <r>
    <x v="74"/>
    <x v="74"/>
    <x v="74"/>
    <n v="0.41"/>
    <n v="10780000000"/>
    <n v="572720000"/>
    <n v="155300000000"/>
    <n v="5.2504526252263125E-5"/>
    <n v="10"/>
    <s v="0-0.5"/>
  </r>
  <r>
    <x v="75"/>
    <x v="75"/>
    <x v="75"/>
    <n v="0.02"/>
    <n v="9200000"/>
    <n v="2570000"/>
    <n v="441620000"/>
    <n v="2.2969121140142517"/>
    <n v="142"/>
    <s v="0-0.5"/>
  </r>
  <r>
    <x v="76"/>
    <x v="76"/>
    <x v="76"/>
    <n v="1.36"/>
    <n v="1600000"/>
    <n v="151140"/>
    <n v="537270000"/>
    <n v="7.6795212765957452E-2"/>
    <n v="243"/>
    <s v="0-0.5"/>
  </r>
  <r>
    <x v="77"/>
    <x v="77"/>
    <x v="77"/>
    <n v="0.52"/>
    <n v="2040000"/>
    <n v="159560"/>
    <n v="999970000"/>
    <n v="9.0607734806629836E-4"/>
    <n v="226"/>
    <s v="0-0.5"/>
  </r>
  <r>
    <x v="78"/>
    <x v="78"/>
    <x v="78"/>
    <n v="3.01"/>
    <n v="7420000"/>
    <n v="2370000"/>
    <n v="611510000"/>
    <n v="1.2830738287616605E-3"/>
    <n v="150"/>
    <s v="0-0.5"/>
  </r>
  <r>
    <x v="79"/>
    <x v="79"/>
    <x v="79"/>
    <n v="0.02"/>
    <n v="260640000"/>
    <n v="917.45"/>
    <n v="414400000000"/>
    <n v="6.552396499342493E-3"/>
    <n v="31"/>
    <s v="0-0.5"/>
  </r>
  <r>
    <x v="80"/>
    <x v="80"/>
    <x v="80"/>
    <n v="0.47"/>
    <n v="28210000"/>
    <n v="3250000"/>
    <n v="496990000"/>
    <n v="3.7713004484304933E-3"/>
    <n v="83"/>
    <s v="0-0.5"/>
  </r>
  <r>
    <x v="81"/>
    <x v="81"/>
    <x v="81"/>
    <n v="0.52"/>
    <n v="2540000"/>
    <n v="23360"/>
    <n v="1430000000"/>
    <n v="3.7440000000000001E-2"/>
    <n v="222"/>
    <s v="0-0.5"/>
  </r>
  <r>
    <x v="82"/>
    <x v="82"/>
    <x v="82"/>
    <n v="0.54"/>
    <n v="4380000"/>
    <n v="698800"/>
    <n v="616750000"/>
    <n v="1.2872531418312387E-3"/>
    <n v="181"/>
    <s v="0-0.5"/>
  </r>
  <r>
    <x v="83"/>
    <x v="83"/>
    <x v="83"/>
    <n v="0.01"/>
    <n v="5670000"/>
    <n v="243470"/>
    <n v="23080000"/>
    <n v="1.6881550876542063E-2"/>
    <n v="172"/>
    <s v="0-0.5"/>
  </r>
  <r>
    <x v="84"/>
    <x v="84"/>
    <x v="84"/>
    <n v="0.27"/>
    <n v="224490000000"/>
    <n v="10560000000"/>
    <n v="120680000"/>
    <n v="3.1121247792819304E-2"/>
    <n v="2"/>
    <s v="100-10000"/>
  </r>
  <r>
    <x v="85"/>
    <x v="85"/>
    <x v="85"/>
    <n v="0.01"/>
    <n v="38180000"/>
    <n v="5360000"/>
    <n v="33130000"/>
    <n v="4.811659192825112E-3"/>
    <n v="70"/>
    <s v="1-2"/>
  </r>
  <r>
    <x v="86"/>
    <x v="86"/>
    <x v="86"/>
    <n v="0.06"/>
    <n v="1250000000"/>
    <n v="587510"/>
    <n v="1260000000"/>
    <n v="2.3249299719887953E-3"/>
    <n v="19"/>
    <s v="0.5-1"/>
  </r>
  <r>
    <x v="87"/>
    <x v="87"/>
    <x v="87"/>
    <n v="0.08"/>
    <n v="9150000"/>
    <n v="463990"/>
    <n v="999440000"/>
    <n v="9.2000000000000003E-4"/>
    <n v="148"/>
    <s v="0-0.5"/>
  </r>
  <r>
    <x v="88"/>
    <x v="88"/>
    <x v="88"/>
    <n v="1.03"/>
    <n v="7060000"/>
    <n v="2390000"/>
    <n v="26230000"/>
    <n v="2.8690228690228688E-4"/>
    <n v="164"/>
    <s v="0-0.5"/>
  </r>
  <r>
    <x v="89"/>
    <x v="89"/>
    <x v="89"/>
    <n v="1.23"/>
    <n v="12150000"/>
    <n v="249700"/>
    <n v="18860000"/>
    <n v="4.9018425460636513E-6"/>
    <n v="121"/>
    <s v="0.5-1"/>
  </r>
  <r>
    <x v="90"/>
    <x v="90"/>
    <x v="90"/>
    <n v="1.25"/>
    <n v="2040000"/>
    <n v="242970"/>
    <n v="20580000"/>
    <n v="1.4861081197501614E-4"/>
    <n v="226"/>
    <s v="0-0.5"/>
  </r>
  <r>
    <x v="91"/>
    <x v="91"/>
    <x v="91"/>
    <n v="0.09"/>
    <n v="2600000"/>
    <n v="187120"/>
    <n v="117180000"/>
    <n v="1.6527331189710611E-3"/>
    <n v="215"/>
    <s v="0-0.5"/>
  </r>
  <r>
    <x v="92"/>
    <x v="92"/>
    <x v="92"/>
    <n v="0.01"/>
    <n v="15860000"/>
    <n v="101.67"/>
    <n v="16700000000"/>
    <n v="6.7386340966018666E-3"/>
    <n v="108"/>
    <s v="0-0.5"/>
  </r>
  <r>
    <x v="93"/>
    <x v="93"/>
    <x v="93"/>
    <n v="0.12"/>
    <n v="53410000"/>
    <n v="1800000"/>
    <n v="10800000000"/>
    <n v="5.7807871349978841E-2"/>
    <n v="59"/>
    <s v="0-0.5"/>
  </r>
  <r>
    <x v="94"/>
    <x v="94"/>
    <x v="94"/>
    <n v="0.09"/>
    <n v="3280000"/>
    <n v="455660"/>
    <n v="204830000"/>
    <n v="4.1786999999999996E-3"/>
    <n v="204"/>
    <s v="0-0.5"/>
  </r>
  <r>
    <x v="95"/>
    <x v="95"/>
    <x v="95"/>
    <n v="9.1999999999999993"/>
    <n v="1530000"/>
    <n v="30220"/>
    <n v="2510000000"/>
    <n v="1.4769633507853402E-2"/>
    <n v="255"/>
    <s v="0-0.5"/>
  </r>
  <r>
    <x v="96"/>
    <x v="96"/>
    <x v="96"/>
    <n v="0"/>
    <n v="4220000"/>
    <n v="0"/>
    <n v="824770000"/>
    <n v="4.9926464896663829E-3"/>
    <n v="192"/>
    <s v="0-0.5"/>
  </r>
  <r>
    <x v="97"/>
    <x v="97"/>
    <x v="97"/>
    <n v="0.24"/>
    <n v="15300000"/>
    <n v="301660"/>
    <n v="19200000000"/>
    <n v="6.7324063564131675E-2"/>
    <n v="119"/>
    <s v="0-0.5"/>
  </r>
  <r>
    <x v="98"/>
    <x v="98"/>
    <x v="98"/>
    <n v="0.01"/>
    <n v="1040000"/>
    <n v="95060"/>
    <n v="14950000"/>
    <n v="0.9552023121387283"/>
    <n v="278"/>
    <s v="0-0.5"/>
  </r>
  <r>
    <x v="99"/>
    <x v="99"/>
    <x v="99"/>
    <n v="0.15"/>
    <n v="1270000"/>
    <n v="87390"/>
    <n v="503180000"/>
    <n v="0.43097238895558221"/>
    <n v="262"/>
    <s v="0-0.5"/>
  </r>
  <r>
    <x v="100"/>
    <x v="100"/>
    <x v="100"/>
    <n v="0"/>
    <n v="38620000"/>
    <n v="692530"/>
    <n v="38640000"/>
    <n v="376.32933104631218"/>
    <n v="66"/>
    <s v="0.5-1"/>
  </r>
  <r>
    <x v="101"/>
    <x v="101"/>
    <x v="101"/>
    <n v="0.34"/>
    <n v="3280000"/>
    <n v="148500"/>
    <n v="598860000"/>
    <n v="0.3060179257362356"/>
    <n v="204"/>
    <s v="0-0.5"/>
  </r>
  <r>
    <x v="102"/>
    <x v="102"/>
    <x v="102"/>
    <n v="0.01"/>
    <n v="647910000"/>
    <n v="1350000"/>
    <n v="649000000"/>
    <n v="8.6170212765957442E-4"/>
    <n v="24"/>
    <s v="0.5-1"/>
  </r>
  <r>
    <x v="103"/>
    <x v="103"/>
    <x v="103"/>
    <n v="0.91"/>
    <n v="20600000"/>
    <n v="8520000"/>
    <n v="3110000000"/>
    <n v="2.7642663043478261E-2"/>
    <n v="92"/>
    <s v="0-0.5"/>
  </r>
  <r>
    <x v="104"/>
    <x v="104"/>
    <x v="104"/>
    <n v="0.32"/>
    <n v="2560000"/>
    <n v="445.59"/>
    <n v="792550000"/>
    <n v="1.8139618567830154E-3"/>
    <n v="220"/>
    <s v="0-0.5"/>
  </r>
  <r>
    <x v="105"/>
    <x v="105"/>
    <x v="105"/>
    <n v="0.28000000000000003"/>
    <n v="865490"/>
    <n v="2150000"/>
    <n v="42740"/>
    <n v="3.0844263530830696E-3"/>
    <n v="296"/>
    <s v="10-100"/>
  </r>
  <r>
    <x v="106"/>
    <x v="106"/>
    <x v="106"/>
    <n v="0.13"/>
    <n v="5710000"/>
    <n v="671970"/>
    <n v="593560000"/>
    <n v="5.8666666666666665E-4"/>
    <n v="166"/>
    <s v="0-0.5"/>
  </r>
  <r>
    <x v="107"/>
    <x v="107"/>
    <x v="107"/>
    <n v="3.39"/>
    <n v="1050000"/>
    <n v="36950"/>
    <n v="975810000000000"/>
    <n v="3.3142857142857145E-3"/>
    <n v="273"/>
    <s v="0-0.5"/>
  </r>
  <r>
    <x v="108"/>
    <x v="108"/>
    <x v="108"/>
    <n v="0.24"/>
    <n v="7230000"/>
    <n v="1820000"/>
    <n v="483330000"/>
    <n v="2.7981065745651904E-3"/>
    <n v="158"/>
    <s v="0-0.5"/>
  </r>
  <r>
    <x v="109"/>
    <x v="109"/>
    <x v="109"/>
    <n v="0.7"/>
    <n v="1050000"/>
    <n v="25090"/>
    <n v="84560000000"/>
    <n v="0"/>
    <n v="273"/>
    <s v="0-0.5"/>
  </r>
  <r>
    <x v="110"/>
    <x v="110"/>
    <x v="110"/>
    <n v="0.84"/>
    <n v="9550000"/>
    <n v="76.069999999999993"/>
    <n v="703720000"/>
    <n v="6.4804536317542225E-3"/>
    <n v="135"/>
    <s v="0-0.5"/>
  </r>
  <r>
    <x v="111"/>
    <x v="111"/>
    <x v="111"/>
    <n v="0"/>
    <n v="1570000"/>
    <n v="0"/>
    <n v="62070000000"/>
    <n v="0.35405536668285575"/>
    <n v="252"/>
    <s v="0-0.5"/>
  </r>
  <r>
    <x v="112"/>
    <x v="112"/>
    <x v="112"/>
    <n v="0.2"/>
    <n v="28540000"/>
    <n v="1040000"/>
    <n v="1030000"/>
    <n v="1.37E-2"/>
    <n v="78"/>
    <s v="10-100"/>
  </r>
  <r>
    <x v="113"/>
    <x v="113"/>
    <x v="113"/>
    <n v="0"/>
    <n v="870690"/>
    <n v="0"/>
    <n v="8950000000"/>
    <n v="3.54724E-4"/>
    <n v="294"/>
    <s v="0-0.5"/>
  </r>
  <r>
    <x v="114"/>
    <x v="114"/>
    <x v="114"/>
    <n v="0.12"/>
    <n v="1060000"/>
    <n v="150.33000000000001"/>
    <n v="393400000000"/>
    <n v="141.63440860215053"/>
    <n v="271"/>
    <s v="0-0.5"/>
  </r>
  <r>
    <x v="115"/>
    <x v="115"/>
    <x v="115"/>
    <n v="0.46"/>
    <n v="1040000"/>
    <n v="41040"/>
    <n v="420690000000"/>
    <n v="1.024380249948781E-4"/>
    <n v="278"/>
    <s v="0-0.5"/>
  </r>
  <r>
    <x v="116"/>
    <x v="116"/>
    <x v="116"/>
    <n v="0.16"/>
    <n v="4230000"/>
    <n v="78790"/>
    <n v="341170000"/>
    <n v="3.4012219959266802E-4"/>
    <n v="191"/>
    <s v="0-0.5"/>
  </r>
  <r>
    <x v="117"/>
    <x v="117"/>
    <x v="117"/>
    <n v="0.03"/>
    <n v="1590000000"/>
    <n v="36270000"/>
    <n v="898230000000000"/>
    <n v="1.748283261802575E-4"/>
    <n v="18"/>
    <s v="0-0.5"/>
  </r>
  <r>
    <x v="118"/>
    <x v="118"/>
    <x v="118"/>
    <n v="1.92"/>
    <n v="1980000"/>
    <n v="100520"/>
    <n v="7800000000"/>
    <n v="2.9870173213630146E-3"/>
    <n v="239"/>
    <s v="0-0.5"/>
  </r>
  <r>
    <x v="119"/>
    <x v="119"/>
    <x v="119"/>
    <n v="0.88"/>
    <n v="15570000"/>
    <n v="3100000"/>
    <n v="230000000"/>
    <n v="3.3957664233576641E-4"/>
    <n v="115"/>
    <s v="0-0.5"/>
  </r>
  <r>
    <x v="120"/>
    <x v="120"/>
    <x v="120"/>
    <n v="0.2"/>
    <n v="1050000"/>
    <n v="232440"/>
    <n v="940890000"/>
    <n v="5.4095238095238094E-3"/>
    <n v="273"/>
    <s v="0-0.5"/>
  </r>
  <r>
    <x v="121"/>
    <x v="121"/>
    <x v="121"/>
    <n v="0.02"/>
    <n v="5710000"/>
    <n v="221390"/>
    <n v="35080000"/>
    <n v="1.9829405557509673E-3"/>
    <n v="166"/>
    <s v="0-0.5"/>
  </r>
  <r>
    <x v="122"/>
    <x v="122"/>
    <x v="122"/>
    <n v="0.92"/>
    <n v="13320000000"/>
    <n v="385760000"/>
    <n v="252490000"/>
    <n v="3.843762145355616E-7"/>
    <n v="9"/>
    <s v="10-100"/>
  </r>
  <r>
    <x v="123"/>
    <x v="123"/>
    <x v="123"/>
    <n v="7.0000000000000007E-2"/>
    <n v="20820000"/>
    <n v="1620000"/>
    <n v="7340000"/>
    <n v="8.6943493150684933E-2"/>
    <n v="90"/>
    <s v="2-10"/>
  </r>
  <r>
    <x v="124"/>
    <x v="124"/>
    <x v="124"/>
    <n v="0.19"/>
    <n v="212500000"/>
    <n v="10400000"/>
    <n v="2000000000"/>
    <n v="2.6048939198807024"/>
    <n v="44"/>
    <s v="0-0.5"/>
  </r>
  <r>
    <x v="125"/>
    <x v="125"/>
    <x v="125"/>
    <n v="0.69"/>
    <n v="28010000"/>
    <n v="3840000"/>
    <n v="253000000"/>
    <n v="6.9346733668341706E-4"/>
    <n v="84"/>
    <s v="0-0.5"/>
  </r>
  <r>
    <x v="126"/>
    <x v="126"/>
    <x v="126"/>
    <n v="0.35"/>
    <n v="2620000"/>
    <n v="279310"/>
    <n v="1420000000"/>
    <n v="1.4555879019533767E-3"/>
    <n v="212"/>
    <s v="0-0.5"/>
  </r>
  <r>
    <x v="127"/>
    <x v="127"/>
    <x v="127"/>
    <n v="2.62"/>
    <n v="16010000"/>
    <n v="1280000"/>
    <n v="1990000000"/>
    <n v="0.75922237495441414"/>
    <n v="105"/>
    <s v="0-0.5"/>
  </r>
  <r>
    <x v="128"/>
    <x v="128"/>
    <x v="128"/>
    <n v="0.33"/>
    <n v="9180000"/>
    <n v="5090000"/>
    <n v="179640000"/>
    <n v="1.0564939583728727E-2"/>
    <n v="144"/>
    <s v="0-0.5"/>
  </r>
  <r>
    <x v="129"/>
    <x v="129"/>
    <x v="129"/>
    <n v="0.62"/>
    <n v="20490000"/>
    <n v="951540"/>
    <n v="9440000000"/>
    <n v="4.6399999999999997E-2"/>
    <n v="95"/>
    <s v="0-0.5"/>
  </r>
  <r>
    <x v="130"/>
    <x v="130"/>
    <x v="130"/>
    <n v="1.01"/>
    <n v="38730000"/>
    <n v="5440000"/>
    <n v="2560000000"/>
    <n v="1.518279569892473E-3"/>
    <n v="65"/>
    <s v="0-0.5"/>
  </r>
  <r>
    <x v="131"/>
    <x v="131"/>
    <x v="131"/>
    <n v="0.13"/>
    <n v="11940000"/>
    <n v="1050000"/>
    <n v="157710"/>
    <n v="1.2421052631579007E-8"/>
    <n v="128"/>
    <s v="10-100"/>
  </r>
  <r>
    <x v="132"/>
    <x v="132"/>
    <x v="132"/>
    <n v="0.05"/>
    <n v="7240000"/>
    <n v="504730"/>
    <n v="111490"/>
    <n v="2.0961481039116154E-4"/>
    <n v="157"/>
    <s v="10-100"/>
  </r>
  <r>
    <x v="133"/>
    <x v="133"/>
    <x v="133"/>
    <n v="0.92"/>
    <n v="212680000"/>
    <n v="7320000"/>
    <n v="49440000000"/>
    <n v="1.2947229551451188E-2"/>
    <n v="43"/>
    <s v="0-0.5"/>
  </r>
  <r>
    <x v="134"/>
    <x v="134"/>
    <x v="134"/>
    <n v="0.31"/>
    <n v="57820000"/>
    <n v="3140000"/>
    <n v="999990000"/>
    <n v="8.6224489795918362E-5"/>
    <n v="47"/>
    <s v="0-0.5"/>
  </r>
  <r>
    <x v="135"/>
    <x v="135"/>
    <x v="135"/>
    <n v="1.29"/>
    <n v="1990000"/>
    <n v="2500"/>
    <n v="151420000000000"/>
    <n v="1.2103827751196231E-4"/>
    <n v="237"/>
    <s v="0-0.5"/>
  </r>
  <r>
    <x v="136"/>
    <x v="136"/>
    <x v="136"/>
    <n v="0.85"/>
    <n v="9180000"/>
    <n v="7170000"/>
    <n v="999940000"/>
    <n v="0"/>
    <n v="144"/>
    <s v="0-0.5"/>
  </r>
  <r>
    <x v="137"/>
    <x v="137"/>
    <x v="137"/>
    <n v="0.46"/>
    <n v="255370000"/>
    <n v="25600000"/>
    <n v="504560000"/>
    <n v="7.925365699017254E-3"/>
    <n v="34"/>
    <s v="0.5-1"/>
  </r>
  <r>
    <x v="138"/>
    <x v="138"/>
    <x v="138"/>
    <n v="0.1"/>
    <n v="797050000"/>
    <n v="2130000"/>
    <n v="224060000"/>
    <n v="1.5426704156850749E-2"/>
    <n v="22"/>
    <s v="2-10"/>
  </r>
  <r>
    <x v="139"/>
    <x v="139"/>
    <x v="139"/>
    <n v="1.45"/>
    <n v="255660000"/>
    <n v="53800000"/>
    <n v="241380000"/>
    <n v="2.9507657744047781E-2"/>
    <n v="33"/>
    <s v="1-2"/>
  </r>
  <r>
    <x v="140"/>
    <x v="140"/>
    <x v="140"/>
    <n v="0.08"/>
    <n v="9170000"/>
    <n v="4110000"/>
    <n v="286300000"/>
    <n v="4.2491638795986624E-5"/>
    <n v="146"/>
    <s v="0-0.5"/>
  </r>
  <r>
    <x v="141"/>
    <x v="141"/>
    <x v="141"/>
    <n v="0.04"/>
    <n v="1610000"/>
    <n v="103570"/>
    <n v="1000000000000"/>
    <n v="0.13182766662575182"/>
    <n v="242"/>
    <s v="0-0.5"/>
  </r>
  <r>
    <x v="142"/>
    <x v="142"/>
    <x v="142"/>
    <n v="0.36"/>
    <n v="54950000"/>
    <n v="2350000"/>
    <n v="18590000"/>
    <n v="1.4355458102656668E-2"/>
    <n v="52"/>
    <s v="2-10"/>
  </r>
  <r>
    <x v="143"/>
    <x v="143"/>
    <x v="143"/>
    <n v="0.78"/>
    <n v="5710000"/>
    <n v="1870000"/>
    <n v="1240000000"/>
    <n v="1.9598173261674698E-3"/>
    <n v="166"/>
    <s v="0-0.5"/>
  </r>
  <r>
    <x v="144"/>
    <x v="144"/>
    <x v="144"/>
    <n v="0"/>
    <n v="1040000"/>
    <n v="0"/>
    <n v="10000000000"/>
    <n v="1.799047619047619E-6"/>
    <n v="278"/>
    <s v="0-0.5"/>
  </r>
  <r>
    <x v="145"/>
    <x v="145"/>
    <x v="145"/>
    <n v="0.2"/>
    <n v="268070000"/>
    <n v="28930000"/>
    <n v="363280000"/>
    <n v="4.3590639189661197E-2"/>
    <n v="29"/>
    <s v="0.5-1"/>
  </r>
  <r>
    <x v="146"/>
    <x v="146"/>
    <x v="146"/>
    <n v="0"/>
    <n v="2000000"/>
    <n v="0"/>
    <n v="299980000"/>
    <n v="4.0201597067679017E-4"/>
    <n v="235"/>
    <s v="0-0.5"/>
  </r>
  <r>
    <x v="147"/>
    <x v="147"/>
    <x v="147"/>
    <n v="0.02"/>
    <n v="4320000"/>
    <n v="162880"/>
    <n v="486200000"/>
    <n v="1.5840038809149679E-2"/>
    <n v="185"/>
    <s v="0-0.5"/>
  </r>
  <r>
    <x v="148"/>
    <x v="148"/>
    <x v="148"/>
    <n v="0"/>
    <n v="882520"/>
    <n v="0"/>
    <n v="220000000"/>
    <n v="7.0496083550913838E-5"/>
    <n v="286"/>
    <s v="0-0.5"/>
  </r>
  <r>
    <x v="149"/>
    <x v="149"/>
    <x v="149"/>
    <n v="0.36"/>
    <n v="4350000"/>
    <n v="1320000"/>
    <n v="7350"/>
    <n v="1.4711538461538462E-3"/>
    <n v="182"/>
    <s v="100-10000"/>
  </r>
  <r>
    <x v="150"/>
    <x v="150"/>
    <x v="150"/>
    <n v="1.53"/>
    <n v="4350000"/>
    <n v="4450"/>
    <n v="21000000000"/>
    <n v="1.6064211714021952E-3"/>
    <n v="182"/>
    <s v="0-0.5"/>
  </r>
  <r>
    <x v="151"/>
    <x v="151"/>
    <x v="151"/>
    <n v="0.27"/>
    <n v="55420000"/>
    <n v="1150000"/>
    <n v="190000000"/>
    <n v="1.6468466663327154E-4"/>
    <n v="51"/>
    <s v="0-0.5"/>
  </r>
  <r>
    <x v="152"/>
    <x v="152"/>
    <x v="152"/>
    <n v="5.66"/>
    <n v="1270000"/>
    <n v="56030"/>
    <n v="978220000"/>
    <n v="3.4701920321008883E-3"/>
    <n v="262"/>
    <s v="0-0.5"/>
  </r>
  <r>
    <x v="153"/>
    <x v="153"/>
    <x v="153"/>
    <n v="0.21"/>
    <n v="5660000"/>
    <n v="762630"/>
    <n v="599390000"/>
    <n v="0.16339869281045752"/>
    <n v="174"/>
    <s v="0-0.5"/>
  </r>
  <r>
    <x v="154"/>
    <x v="154"/>
    <x v="154"/>
    <n v="0.27"/>
    <n v="28590000"/>
    <n v="3740"/>
    <n v="1110000000"/>
    <n v="324.37877770315646"/>
    <n v="75"/>
    <s v="0-0.5"/>
  </r>
  <r>
    <x v="155"/>
    <x v="155"/>
    <x v="155"/>
    <n v="0.33"/>
    <n v="27990000"/>
    <n v="2220000"/>
    <n v="477760000"/>
    <n v="8.8235294117647062E-4"/>
    <n v="85"/>
    <s v="0-0.5"/>
  </r>
  <r>
    <x v="156"/>
    <x v="156"/>
    <x v="156"/>
    <n v="0.03"/>
    <n v="5680000"/>
    <n v="520190"/>
    <n v="6230000000"/>
    <n v="0"/>
    <n v="170"/>
    <s v="0-0.5"/>
  </r>
  <r>
    <x v="157"/>
    <x v="157"/>
    <x v="157"/>
    <n v="0.87"/>
    <n v="3290000"/>
    <n v="515040"/>
    <n v="200000000"/>
    <n v="115.14018691588785"/>
    <n v="200"/>
    <s v="0-0.5"/>
  </r>
  <r>
    <x v="158"/>
    <x v="158"/>
    <x v="158"/>
    <n v="1.04"/>
    <n v="15660000"/>
    <n v="1740000"/>
    <n v="83360"/>
    <n v="8.5012580374615593E-3"/>
    <n v="113"/>
    <s v="100-10000"/>
  </r>
  <r>
    <x v="159"/>
    <x v="159"/>
    <x v="159"/>
    <n v="0.05"/>
    <n v="1290000"/>
    <n v="1320000"/>
    <n v="2250"/>
    <n v="3.5878867676102697E-5"/>
    <n v="257"/>
    <s v="100-10000"/>
  </r>
  <r>
    <x v="160"/>
    <x v="160"/>
    <x v="160"/>
    <n v="0.28000000000000003"/>
    <n v="2570000"/>
    <n v="112920"/>
    <n v="114350000"/>
    <n v="1.9025858741798533E-3"/>
    <n v="218"/>
    <s v="0-0.5"/>
  </r>
  <r>
    <x v="161"/>
    <x v="161"/>
    <x v="161"/>
    <n v="0.42"/>
    <n v="9430000"/>
    <n v="1240000"/>
    <n v="1170000000"/>
    <n v="134.59516298633017"/>
    <n v="136"/>
    <s v="0-0.5"/>
  </r>
  <r>
    <x v="162"/>
    <x v="162"/>
    <x v="162"/>
    <n v="0.08"/>
    <n v="2590000"/>
    <n v="155200"/>
    <n v="4680"/>
    <n v="1.5406360424028268E-2"/>
    <n v="216"/>
    <s v="100-10000"/>
  </r>
  <r>
    <x v="163"/>
    <x v="163"/>
    <x v="163"/>
    <n v="0"/>
    <n v="12010000"/>
    <n v="45910"/>
    <n v="1740000000"/>
    <n v="1.0272739273927392E-2"/>
    <n v="125"/>
    <s v="0-0.5"/>
  </r>
  <r>
    <x v="164"/>
    <x v="164"/>
    <x v="164"/>
    <n v="0.01"/>
    <n v="20440000"/>
    <n v="4330000"/>
    <n v="20360000"/>
    <n v="2.051511758118701E-9"/>
    <n v="96"/>
    <s v="0.5-1"/>
  </r>
  <r>
    <x v="165"/>
    <x v="165"/>
    <x v="165"/>
    <n v="0"/>
    <n v="1580000"/>
    <n v="23.89"/>
    <n v="121040000"/>
    <n v="5.0562308878162197E-10"/>
    <n v="249"/>
    <s v="0-0.5"/>
  </r>
  <r>
    <x v="166"/>
    <x v="166"/>
    <x v="166"/>
    <n v="7.0000000000000007E-2"/>
    <n v="20580000"/>
    <n v="1140000"/>
    <n v="25110"/>
    <n v="3.2881841818707084E-4"/>
    <n v="93"/>
    <s v="100-10000"/>
  </r>
  <r>
    <x v="167"/>
    <x v="167"/>
    <x v="167"/>
    <n v="0.1"/>
    <n v="38620000"/>
    <n v="7220000"/>
    <n v="390560000000000"/>
    <n v="4.881497970407228E-5"/>
    <n v="66"/>
    <s v="0-0.5"/>
  </r>
  <r>
    <x v="168"/>
    <x v="168"/>
    <x v="168"/>
    <n v="1"/>
    <n v="4290000"/>
    <n v="5290"/>
    <n v="65720000"/>
    <n v="1.3142177275431329E-5"/>
    <n v="187"/>
    <s v="0-0.5"/>
  </r>
  <r>
    <x v="169"/>
    <x v="169"/>
    <x v="169"/>
    <n v="0.02"/>
    <n v="244880000"/>
    <n v="14140000"/>
    <n v="11820000000"/>
    <n v="0"/>
    <n v="38"/>
    <s v="0-0.5"/>
  </r>
  <r>
    <x v="170"/>
    <x v="170"/>
    <x v="170"/>
    <n v="0.57999999999999996"/>
    <n v="6660000000"/>
    <n v="93100000"/>
    <n v="18780000"/>
    <n v="2.6548672566371681E-3"/>
    <n v="15"/>
    <s v="100-10000"/>
  </r>
  <r>
    <x v="171"/>
    <x v="171"/>
    <x v="171"/>
    <n v="0.05"/>
    <n v="9150000"/>
    <n v="3070000"/>
    <n v="1200000000"/>
    <n v="3.8216446858029482E-2"/>
    <n v="148"/>
    <s v="0-0.5"/>
  </r>
  <r>
    <x v="172"/>
    <x v="172"/>
    <x v="172"/>
    <n v="0.03"/>
    <n v="7370000"/>
    <n v="3930000"/>
    <n v="409110000"/>
    <n v="6.8756499133448877E-3"/>
    <n v="153"/>
    <s v="0-0.5"/>
  </r>
  <r>
    <x v="173"/>
    <x v="173"/>
    <x v="173"/>
    <n v="0.13"/>
    <n v="53710000"/>
    <n v="230710"/>
    <n v="133240000"/>
    <n v="2.3674475955610385E-4"/>
    <n v="58"/>
    <s v="0-0.5"/>
  </r>
  <r>
    <x v="174"/>
    <x v="174"/>
    <x v="174"/>
    <n v="4.4800000000000004"/>
    <n v="861080"/>
    <n v="1760"/>
    <n v="944180000"/>
    <n v="221.58273381294964"/>
    <n v="300"/>
    <s v="0-0.5"/>
  </r>
  <r>
    <x v="175"/>
    <x v="175"/>
    <x v="175"/>
    <n v="0.19"/>
    <n v="9200000"/>
    <n v="6070000"/>
    <n v="48480"/>
    <n v="2.8593772472314109E-3"/>
    <n v="142"/>
    <s v="100-10000"/>
  </r>
  <r>
    <x v="176"/>
    <x v="176"/>
    <x v="176"/>
    <n v="0.37"/>
    <n v="4310000"/>
    <n v="239490"/>
    <n v="8990000000"/>
    <n v="8.4552941176470594E-5"/>
    <n v="186"/>
    <s v="0-0.5"/>
  </r>
  <r>
    <x v="177"/>
    <x v="177"/>
    <x v="177"/>
    <n v="0.12"/>
    <n v="9400000"/>
    <n v="0"/>
    <n v="10000000"/>
    <n v="4.5455547931778082E-4"/>
    <n v="137"/>
    <s v="0.5-1"/>
  </r>
  <r>
    <x v="178"/>
    <x v="178"/>
    <x v="178"/>
    <n v="0.69"/>
    <n v="1040000"/>
    <n v="773890"/>
    <n v="999910000"/>
    <n v="8.0892853571214271E-4"/>
    <n v="278"/>
    <s v="0-0.5"/>
  </r>
  <r>
    <x v="179"/>
    <x v="179"/>
    <x v="179"/>
    <n v="0.06"/>
    <n v="9170000"/>
    <n v="223200"/>
    <n v="8610000"/>
    <n v="1.2989999999999999E-5"/>
    <n v="146"/>
    <s v="1-2"/>
  </r>
  <r>
    <x v="180"/>
    <x v="180"/>
    <x v="180"/>
    <n v="0.28000000000000003"/>
    <n v="28590000"/>
    <n v="667300"/>
    <n v="2250000000"/>
    <n v="1.8806534219982654E-4"/>
    <n v="75"/>
    <s v="0-0.5"/>
  </r>
  <r>
    <x v="181"/>
    <x v="181"/>
    <x v="181"/>
    <n v="0.04"/>
    <n v="2580000"/>
    <n v="1130"/>
    <n v="195420000"/>
    <n v="4.7739288250611532E-6"/>
    <n v="217"/>
    <s v="0-0.5"/>
  </r>
  <r>
    <x v="182"/>
    <x v="182"/>
    <x v="182"/>
    <n v="0.47"/>
    <n v="2030000"/>
    <n v="185590"/>
    <n v="904010000"/>
    <n v="0.15149625935162095"/>
    <n v="229"/>
    <s v="0-0.5"/>
  </r>
  <r>
    <x v="183"/>
    <x v="183"/>
    <x v="183"/>
    <n v="0.95"/>
    <n v="1040000"/>
    <n v="118180"/>
    <n v="504080000"/>
    <n v="1.4632075471698112E-6"/>
    <n v="278"/>
    <s v="0-0.5"/>
  </r>
  <r>
    <x v="184"/>
    <x v="184"/>
    <x v="184"/>
    <n v="0.23"/>
    <n v="38940000"/>
    <n v="2810000"/>
    <n v="194590"/>
    <n v="0.1108580106302202"/>
    <n v="60"/>
    <s v="100-10000"/>
  </r>
  <r>
    <x v="185"/>
    <x v="185"/>
    <x v="185"/>
    <n v="3.85"/>
    <n v="3360000"/>
    <n v="441790"/>
    <n v="3740000000"/>
    <n v="9.8944099378881992E-6"/>
    <n v="196"/>
    <s v="0-0.5"/>
  </r>
  <r>
    <x v="186"/>
    <x v="186"/>
    <x v="186"/>
    <n v="0.25"/>
    <n v="11930000"/>
    <n v="2320000"/>
    <n v="4750000"/>
    <n v="0.12132089016511127"/>
    <n v="129"/>
    <s v="2-10"/>
  </r>
  <r>
    <x v="187"/>
    <x v="187"/>
    <x v="187"/>
    <n v="0"/>
    <n v="2150000000"/>
    <n v="540150"/>
    <n v="1880000000"/>
    <n v="8.6912629442680955E-4"/>
    <n v="17"/>
    <s v="1-2"/>
  </r>
  <r>
    <x v="188"/>
    <x v="188"/>
    <x v="188"/>
    <n v="0.09"/>
    <n v="20010000"/>
    <n v="430340"/>
    <n v="477120000"/>
    <n v="4.2578507008584156E-12"/>
    <n v="104"/>
    <s v="0-0.5"/>
  </r>
  <r>
    <x v="189"/>
    <x v="189"/>
    <x v="189"/>
    <n v="0.08"/>
    <n v="20290000"/>
    <n v="152840"/>
    <n v="29080"/>
    <n v="7.2912815203726982E-3"/>
    <n v="98"/>
    <s v="100-10000"/>
  </r>
  <r>
    <x v="190"/>
    <x v="190"/>
    <x v="190"/>
    <n v="0.13"/>
    <n v="870390"/>
    <n v="23600"/>
    <n v="19630000"/>
    <n v="2.5213032581453635E-3"/>
    <n v="295"/>
    <s v="0-0.5"/>
  </r>
  <r>
    <x v="191"/>
    <x v="191"/>
    <x v="191"/>
    <n v="0.01"/>
    <n v="53740000"/>
    <n v="7520000"/>
    <n v="309580000"/>
    <n v="3.1612505141916905E-4"/>
    <n v="57"/>
    <s v="0-0.5"/>
  </r>
  <r>
    <x v="192"/>
    <x v="192"/>
    <x v="192"/>
    <n v="3.06"/>
    <n v="11820000"/>
    <n v="3350000"/>
    <n v="997210000"/>
    <n v="1.787E-3"/>
    <n v="131"/>
    <s v="0-0.5"/>
  </r>
  <r>
    <x v="193"/>
    <x v="193"/>
    <x v="193"/>
    <n v="1.98"/>
    <n v="38100000"/>
    <n v="16650000"/>
    <n v="144270000"/>
    <n v="120.52859421280473"/>
    <n v="71"/>
    <s v="0-0.5"/>
  </r>
  <r>
    <x v="194"/>
    <x v="194"/>
    <x v="194"/>
    <n v="0.06"/>
    <n v="37760000"/>
    <n v="581340"/>
    <n v="1060000000"/>
    <n v="3.2603298946323162E-2"/>
    <n v="74"/>
    <s v="0-0.5"/>
  </r>
  <r>
    <x v="195"/>
    <x v="195"/>
    <x v="195"/>
    <n v="0.24"/>
    <n v="38920000"/>
    <n v="7410000"/>
    <n v="999840000"/>
    <n v="8.1680395387149911E-6"/>
    <n v="61"/>
    <s v="0-0.5"/>
  </r>
  <r>
    <x v="196"/>
    <x v="196"/>
    <x v="196"/>
    <n v="0.98"/>
    <n v="2640000"/>
    <n v="30710"/>
    <n v="420680000000000"/>
    <n v="1.4646336298178738E-2"/>
    <n v="211"/>
    <s v="0-0.5"/>
  </r>
  <r>
    <x v="197"/>
    <x v="197"/>
    <x v="197"/>
    <n v="0.39"/>
    <n v="247330000"/>
    <n v="24390000"/>
    <n v="171750000"/>
    <n v="1.0335023595275083E-4"/>
    <n v="37"/>
    <s v="1-2"/>
  </r>
  <r>
    <x v="198"/>
    <x v="198"/>
    <x v="198"/>
    <n v="1.07"/>
    <n v="7080000"/>
    <n v="18490"/>
    <n v="102920000000"/>
    <n v="2.0571000000000001E-4"/>
    <n v="162"/>
    <s v="0-0.5"/>
  </r>
  <r>
    <x v="199"/>
    <x v="199"/>
    <x v="199"/>
    <n v="0.55000000000000004"/>
    <n v="1270000"/>
    <n v="49670"/>
    <n v="66000000"/>
    <n v="1.8875409836065575E-5"/>
    <n v="262"/>
    <s v="0-0.5"/>
  </r>
  <r>
    <x v="200"/>
    <x v="200"/>
    <x v="200"/>
    <n v="0.59"/>
    <n v="58250000"/>
    <n v="5170000"/>
    <n v="135600000"/>
    <n v="51.846962616822431"/>
    <n v="46"/>
    <s v="0-0.5"/>
  </r>
  <r>
    <x v="201"/>
    <x v="201"/>
    <x v="201"/>
    <n v="0.4"/>
    <n v="4200000"/>
    <n v="1600000"/>
    <n v="6950000000"/>
    <n v="8.8520055325034579E-5"/>
    <n v="194"/>
    <s v="0-0.5"/>
  </r>
  <r>
    <x v="202"/>
    <x v="202"/>
    <x v="202"/>
    <n v="0.48"/>
    <n v="1060000"/>
    <n v="23390"/>
    <n v="420690000000000"/>
    <n v="4.7269E-4"/>
    <n v="271"/>
    <s v="0-0.5"/>
  </r>
  <r>
    <x v="203"/>
    <x v="203"/>
    <x v="203"/>
    <n v="0"/>
    <n v="1050000"/>
    <n v="267140"/>
    <n v="13180000"/>
    <n v="3.2265766226678943E-4"/>
    <n v="273"/>
    <s v="0-0.5"/>
  </r>
  <r>
    <x v="204"/>
    <x v="204"/>
    <x v="204"/>
    <n v="0.61"/>
    <n v="2030000"/>
    <n v="1760000"/>
    <n v="31780"/>
    <n v="1.8077474892395982E-4"/>
    <n v="229"/>
    <s v="10-100"/>
  </r>
  <r>
    <x v="205"/>
    <x v="205"/>
    <x v="205"/>
    <n v="0.21"/>
    <n v="3270000"/>
    <n v="218630"/>
    <n v="417210000000"/>
    <n v="1.8341834183418341E-3"/>
    <n v="210"/>
    <s v="0-0.5"/>
  </r>
  <r>
    <x v="206"/>
    <x v="206"/>
    <x v="206"/>
    <n v="0.05"/>
    <n v="12050000"/>
    <n v="247740"/>
    <n v="998150000"/>
    <n v="9.3785926060386043E-6"/>
    <n v="123"/>
    <s v="0-0.5"/>
  </r>
  <r>
    <x v="207"/>
    <x v="207"/>
    <x v="207"/>
    <n v="0.16"/>
    <n v="2020000"/>
    <n v="1640000"/>
    <n v="13710"/>
    <n v="6.5833669219400779E-5"/>
    <n v="232"/>
    <s v="100-10000"/>
  </r>
  <r>
    <x v="208"/>
    <x v="208"/>
    <x v="208"/>
    <n v="0.91"/>
    <n v="5700000"/>
    <n v="260720"/>
    <n v="411670000000"/>
    <n v="0"/>
    <n v="169"/>
    <s v="0-0.5"/>
  </r>
  <r>
    <x v="209"/>
    <x v="209"/>
    <x v="209"/>
    <n v="1.42"/>
    <n v="1040000"/>
    <n v="52780"/>
    <n v="15900000000"/>
    <n v="1.4730639730639731E-3"/>
    <n v="278"/>
    <s v="0-0.5"/>
  </r>
  <r>
    <x v="210"/>
    <x v="210"/>
    <x v="210"/>
    <n v="0.26"/>
    <n v="12030000"/>
    <n v="3220000"/>
    <n v="59070000"/>
    <n v="7.3962271821766882E-4"/>
    <n v="124"/>
    <s v="0-0.5"/>
  </r>
  <r>
    <x v="211"/>
    <x v="211"/>
    <x v="211"/>
    <n v="0.02"/>
    <n v="8850000000"/>
    <n v="27530000"/>
    <n v="694570000000"/>
    <n v="369.11764705882354"/>
    <n v="12"/>
    <s v="0-0.5"/>
  </r>
  <r>
    <x v="212"/>
    <x v="212"/>
    <x v="212"/>
    <n v="0.19"/>
    <n v="1570000"/>
    <n v="238760"/>
    <n v="19480000"/>
    <n v="7.0599047539476983E-6"/>
    <n v="252"/>
    <s v="0-0.5"/>
  </r>
  <r>
    <x v="213"/>
    <x v="213"/>
    <x v="213"/>
    <n v="0.11"/>
    <n v="58580000"/>
    <n v="2210000"/>
    <n v="16380000000"/>
    <n v="9.5632098765432101"/>
    <n v="45"/>
    <s v="0-0.5"/>
  </r>
  <r>
    <x v="214"/>
    <x v="72"/>
    <x v="214"/>
    <n v="0.01"/>
    <n v="1290000"/>
    <n v="98630"/>
    <n v="663490000"/>
    <n v="7.4954545454545451E-5"/>
    <n v="257"/>
    <s v="0-0.5"/>
  </r>
  <r>
    <x v="215"/>
    <x v="214"/>
    <x v="215"/>
    <n v="0.11"/>
    <n v="3290000"/>
    <n v="8210"/>
    <n v="992870000"/>
    <n v="0"/>
    <n v="200"/>
    <s v="0-0.5"/>
  </r>
  <r>
    <x v="216"/>
    <x v="215"/>
    <x v="216"/>
    <n v="0.01"/>
    <n v="1270000"/>
    <n v="0"/>
    <n v="35890000"/>
    <n v="7.2608617594254932E-5"/>
    <n v="262"/>
    <s v="0-0.5"/>
  </r>
  <r>
    <x v="217"/>
    <x v="216"/>
    <x v="217"/>
    <n v="0"/>
    <n v="1580000"/>
    <n v="0"/>
    <n v="18530"/>
    <n v="3.0263157894736844E-4"/>
    <n v="249"/>
    <s v="10-100"/>
  </r>
  <r>
    <x v="218"/>
    <x v="217"/>
    <x v="218"/>
    <n v="0"/>
    <n v="1570000"/>
    <n v="0"/>
    <n v="20640"/>
    <n v="1.049729010174004E-10"/>
    <n v="252"/>
    <s v="10-100"/>
  </r>
  <r>
    <x v="219"/>
    <x v="218"/>
    <x v="219"/>
    <n v="4.3499999999999996"/>
    <n v="15580000"/>
    <n v="1000000"/>
    <n v="1970000000"/>
    <n v="1.1980781681262139E-4"/>
    <n v="114"/>
    <s v="0-0.5"/>
  </r>
  <r>
    <x v="220"/>
    <x v="219"/>
    <x v="220"/>
    <n v="0.56000000000000005"/>
    <n v="881280"/>
    <n v="1080000"/>
    <n v="13630"/>
    <n v="0.18444444444444444"/>
    <n v="287"/>
    <s v="10-100"/>
  </r>
  <r>
    <x v="221"/>
    <x v="220"/>
    <x v="221"/>
    <n v="0.18"/>
    <n v="20090000"/>
    <n v="432160"/>
    <n v="155000000"/>
    <n v="1.4596734289955468E-2"/>
    <n v="102"/>
    <s v="0-0.5"/>
  </r>
  <r>
    <x v="222"/>
    <x v="221"/>
    <x v="222"/>
    <n v="1.96"/>
    <n v="38900000"/>
    <n v="3020000"/>
    <n v="772400000"/>
    <n v="1.0263034288398309E-5"/>
    <n v="62"/>
    <s v="0-0.5"/>
  </r>
  <r>
    <x v="223"/>
    <x v="222"/>
    <x v="223"/>
    <n v="1.17"/>
    <n v="3300000"/>
    <n v="1400000"/>
    <n v="66140"/>
    <n v="2.1739130434782607E-6"/>
    <n v="198"/>
    <s v="10-100"/>
  </r>
  <r>
    <x v="224"/>
    <x v="223"/>
    <x v="224"/>
    <n v="0.08"/>
    <n v="4260000"/>
    <n v="1410000"/>
    <n v="929610000"/>
    <n v="1.1908000000000001E-4"/>
    <n v="190"/>
    <s v="0-0.5"/>
  </r>
  <r>
    <x v="225"/>
    <x v="224"/>
    <x v="225"/>
    <n v="0.35"/>
    <n v="20380000"/>
    <n v="2040000"/>
    <n v="16830"/>
    <n v="5.9197061138808939E-4"/>
    <n v="97"/>
    <s v="100-10000"/>
  </r>
  <r>
    <x v="226"/>
    <x v="225"/>
    <x v="226"/>
    <n v="0.38"/>
    <n v="20110000"/>
    <n v="4120000"/>
    <n v="250000000"/>
    <n v="28.318584070796462"/>
    <n v="101"/>
    <s v="0-0.5"/>
  </r>
  <r>
    <x v="227"/>
    <x v="226"/>
    <x v="227"/>
    <n v="0.39"/>
    <n v="1050000"/>
    <n v="798580"/>
    <n v="3720000000"/>
    <n v="4.4174038461538461E-4"/>
    <n v="273"/>
    <s v="0-0.5"/>
  </r>
  <r>
    <x v="228"/>
    <x v="227"/>
    <x v="228"/>
    <n v="0.24"/>
    <n v="11860000"/>
    <n v="17920"/>
    <n v="916780000"/>
    <n v="5.8131204584996421E-5"/>
    <n v="130"/>
    <s v="0-0.5"/>
  </r>
  <r>
    <x v="229"/>
    <x v="228"/>
    <x v="229"/>
    <n v="0"/>
    <n v="5570000"/>
    <n v="0"/>
    <n v="45660000"/>
    <n v="1.636483343593953E-3"/>
    <n v="180"/>
    <s v="0-0.5"/>
  </r>
  <r>
    <x v="230"/>
    <x v="229"/>
    <x v="230"/>
    <n v="0.01"/>
    <n v="878560"/>
    <n v="3260"/>
    <n v="48090000"/>
    <n v="4.1692023974181653"/>
    <n v="290"/>
    <s v="0-0.5"/>
  </r>
  <r>
    <x v="231"/>
    <x v="230"/>
    <x v="231"/>
    <n v="0.75"/>
    <n v="27900000"/>
    <n v="74140000"/>
    <n v="245360"/>
    <n v="19.696066746126341"/>
    <n v="86"/>
    <s v="100-10000"/>
  </r>
  <r>
    <x v="232"/>
    <x v="231"/>
    <x v="232"/>
    <n v="2.02"/>
    <n v="863090"/>
    <n v="182740"/>
    <n v="3610000000"/>
    <n v="2.7999350739692992E-8"/>
    <n v="299"/>
    <s v="0-0.5"/>
  </r>
  <r>
    <x v="233"/>
    <x v="232"/>
    <x v="233"/>
    <n v="0.67"/>
    <n v="1990000"/>
    <n v="75080"/>
    <n v="2680000000"/>
    <n v="3.3039215686274511E-3"/>
    <n v="237"/>
    <s v="0-0.5"/>
  </r>
  <r>
    <x v="234"/>
    <x v="233"/>
    <x v="234"/>
    <n v="0.01"/>
    <n v="1270000"/>
    <n v="385.44"/>
    <n v="0"/>
    <n v="6.7272065366879707E-4"/>
    <n v="262"/>
    <s v="0-0.5"/>
  </r>
  <r>
    <x v="235"/>
    <x v="234"/>
    <x v="235"/>
    <n v="0.18"/>
    <n v="28220000"/>
    <n v="2490000"/>
    <n v="56020000000"/>
    <n v="1.8148674535005871E-4"/>
    <n v="82"/>
    <s v="0-0.5"/>
  </r>
  <r>
    <x v="236"/>
    <x v="235"/>
    <x v="236"/>
    <n v="0.5"/>
    <n v="873610"/>
    <n v="0"/>
    <n v="144290000"/>
    <n v="1.986278572885687E-3"/>
    <n v="292"/>
    <s v="0-0.5"/>
  </r>
  <r>
    <x v="237"/>
    <x v="236"/>
    <x v="237"/>
    <n v="0.17"/>
    <n v="12090000"/>
    <n v="249160"/>
    <n v="743820"/>
    <n v="7.5970262253168013E-5"/>
    <n v="122"/>
    <s v="10-100"/>
  </r>
  <r>
    <x v="238"/>
    <x v="237"/>
    <x v="238"/>
    <n v="0.24"/>
    <n v="42240000000"/>
    <n v="1610000000"/>
    <n v="579700000"/>
    <n v="3.2012229645566755E-3"/>
    <n v="7"/>
    <s v="10-100"/>
  </r>
  <r>
    <x v="239"/>
    <x v="238"/>
    <x v="164"/>
    <n v="0.02"/>
    <n v="518340000"/>
    <n v="23780000"/>
    <n v="517030000"/>
    <n v="1.741578947368421E-4"/>
    <n v="26"/>
    <s v="0.5-1"/>
  </r>
  <r>
    <x v="240"/>
    <x v="239"/>
    <x v="239"/>
    <n v="0.17"/>
    <n v="20630000"/>
    <n v="2950000"/>
    <n v="243230000"/>
    <n v="0"/>
    <n v="91"/>
    <s v="0-0.5"/>
  </r>
  <r>
    <x v="241"/>
    <x v="240"/>
    <x v="240"/>
    <n v="0.23"/>
    <n v="7250000"/>
    <n v="549860"/>
    <n v="67120"/>
    <n v="5.1405802794769626E-5"/>
    <n v="156"/>
    <s v="100-10000"/>
  </r>
  <r>
    <x v="242"/>
    <x v="241"/>
    <x v="241"/>
    <n v="0.32"/>
    <n v="863810"/>
    <n v="75990"/>
    <n v="126120000"/>
    <n v="99.349710982658962"/>
    <n v="298"/>
    <s v="0-0.5"/>
  </r>
  <r>
    <x v="243"/>
    <x v="242"/>
    <x v="242"/>
    <n v="0.01"/>
    <n v="7230000"/>
    <n v="326.52999999999997"/>
    <n v="11880000"/>
    <n v="1.1003521126760564E-3"/>
    <n v="158"/>
    <s v="0.5-1"/>
  </r>
  <r>
    <x v="244"/>
    <x v="243"/>
    <x v="243"/>
    <n v="0.4"/>
    <n v="251970000"/>
    <n v="4730000"/>
    <n v="1810000000"/>
    <n v="0"/>
    <n v="36"/>
    <s v="0-0.5"/>
  </r>
  <r>
    <x v="245"/>
    <x v="244"/>
    <x v="244"/>
    <n v="0.92"/>
    <n v="15890000"/>
    <n v="1670000"/>
    <n v="700000000"/>
    <n v="4.735133731498312E-7"/>
    <n v="106"/>
    <s v="0-0.5"/>
  </r>
  <r>
    <x v="246"/>
    <x v="245"/>
    <x v="245"/>
    <n v="0.09"/>
    <n v="20290000"/>
    <n v="2330000"/>
    <n v="554190000"/>
    <n v="3.5026965654271928E-10"/>
    <n v="98"/>
    <s v="0-0.5"/>
  </r>
  <r>
    <x v="247"/>
    <x v="246"/>
    <x v="246"/>
    <n v="0.77"/>
    <n v="11960000"/>
    <n v="8480000"/>
    <n v="128690"/>
    <n v="1.0637087599544937E-6"/>
    <n v="126"/>
    <s v="10-100"/>
  </r>
  <r>
    <x v="248"/>
    <x v="247"/>
    <x v="247"/>
    <n v="0.13"/>
    <n v="2010000"/>
    <n v="64330"/>
    <n v="257950000"/>
    <n v="1.5736170327231645E-3"/>
    <n v="234"/>
    <s v="0-0.5"/>
  </r>
  <r>
    <x v="249"/>
    <x v="248"/>
    <x v="248"/>
    <n v="0.01"/>
    <n v="2620000"/>
    <n v="4330"/>
    <n v="664040000"/>
    <n v="2.4119351722657509E-6"/>
    <n v="212"/>
    <s v="0-0.5"/>
  </r>
  <r>
    <x v="250"/>
    <x v="249"/>
    <x v="249"/>
    <n v="0.01"/>
    <n v="5670000"/>
    <n v="9890"/>
    <n v="165170000"/>
    <n v="2.3222161108055404E-4"/>
    <n v="172"/>
    <s v="0-0.5"/>
  </r>
  <r>
    <x v="251"/>
    <x v="250"/>
    <x v="250"/>
    <n v="0.54"/>
    <n v="15550000"/>
    <n v="1770000"/>
    <n v="4830000000"/>
    <n v="25.064267352185091"/>
    <n v="116"/>
    <s v="0-0.5"/>
  </r>
  <r>
    <x v="252"/>
    <x v="251"/>
    <x v="251"/>
    <n v="0.04"/>
    <n v="2540000"/>
    <n v="109700"/>
    <n v="9930000"/>
    <n v="123.62818987174401"/>
    <n v="222"/>
    <s v="0-0.5"/>
  </r>
  <r>
    <x v="253"/>
    <x v="252"/>
    <x v="252"/>
    <n v="0.18"/>
    <n v="37840000"/>
    <n v="7750000"/>
    <n v="2790000"/>
    <n v="5.5993294216261528E-6"/>
    <n v="73"/>
    <s v="10-100"/>
  </r>
  <r>
    <x v="254"/>
    <x v="253"/>
    <x v="253"/>
    <n v="0.21"/>
    <n v="1290000"/>
    <n v="115470"/>
    <n v="139770000"/>
    <n v="7.7018365918026603"/>
    <n v="257"/>
    <s v="0-0.5"/>
  </r>
  <r>
    <x v="255"/>
    <x v="254"/>
    <x v="254"/>
    <n v="0.62"/>
    <n v="11760000"/>
    <n v="9000000"/>
    <n v="37930"/>
    <n v="0"/>
    <n v="134"/>
    <s v="100-10000"/>
  </r>
  <r>
    <x v="256"/>
    <x v="255"/>
    <x v="255"/>
    <n v="0.01"/>
    <n v="183630000000"/>
    <n v="56830000000"/>
    <n v="183810000000"/>
    <n v="103.36428571428571"/>
    <n v="3"/>
    <s v="0.5-1"/>
  </r>
  <r>
    <x v="257"/>
    <x v="256"/>
    <x v="256"/>
    <n v="0.34"/>
    <n v="218720000"/>
    <n v="4940000"/>
    <n v="1090000000"/>
    <n v="1.0824539877300613E-4"/>
    <n v="42"/>
    <s v="0-0.5"/>
  </r>
  <r>
    <x v="258"/>
    <x v="257"/>
    <x v="257"/>
    <n v="1.1499999999999999"/>
    <n v="1270000"/>
    <n v="305210"/>
    <n v="999820000"/>
    <n v="7.7000000000000008E-6"/>
    <n v="262"/>
    <s v="0-0.5"/>
  </r>
  <r>
    <x v="259"/>
    <x v="258"/>
    <x v="258"/>
    <n v="0.09"/>
    <n v="53790000"/>
    <n v="582150"/>
    <n v="7410000000"/>
    <n v="8.5898433159239918E-5"/>
    <n v="56"/>
    <s v="0-0.5"/>
  </r>
  <r>
    <x v="260"/>
    <x v="259"/>
    <x v="259"/>
    <n v="0.81"/>
    <n v="38830000"/>
    <n v="8600000"/>
    <n v="11150000000"/>
    <n v="1.3213751868460389E-4"/>
    <n v="64"/>
    <s v="0-0.5"/>
  </r>
  <r>
    <x v="261"/>
    <x v="260"/>
    <x v="260"/>
    <n v="0.1"/>
    <n v="20060000"/>
    <n v="10970"/>
    <n v="3460000000"/>
    <n v="83.287999999999997"/>
    <n v="103"/>
    <s v="0-0.5"/>
  </r>
  <r>
    <x v="262"/>
    <x v="261"/>
    <x v="261"/>
    <n v="0.19"/>
    <n v="1270000"/>
    <n v="92100"/>
    <n v="13170000"/>
    <n v="1.5538757755116594E-7"/>
    <n v="262"/>
    <s v="0-0.5"/>
  </r>
  <r>
    <x v="263"/>
    <x v="262"/>
    <x v="262"/>
    <n v="0.71"/>
    <n v="1590000"/>
    <n v="375690"/>
    <n v="24060000"/>
    <n v="4.5920000000000001E-5"/>
    <n v="246"/>
    <s v="0-0.5"/>
  </r>
  <r>
    <x v="264"/>
    <x v="263"/>
    <x v="263"/>
    <n v="0.21"/>
    <n v="7380000"/>
    <n v="1530000"/>
    <n v="14340000"/>
    <n v="2.8804189700320045E-5"/>
    <n v="152"/>
    <s v="0.5-1"/>
  </r>
  <r>
    <x v="265"/>
    <x v="264"/>
    <x v="264"/>
    <n v="0.08"/>
    <n v="5680000"/>
    <n v="19250000"/>
    <n v="610760"/>
    <n v="1.0380602006688963E-2"/>
    <n v="170"/>
    <s v="2-10"/>
  </r>
  <r>
    <x v="266"/>
    <x v="265"/>
    <x v="265"/>
    <n v="0.56999999999999995"/>
    <n v="5610000"/>
    <n v="3830000"/>
    <n v="156120000"/>
    <n v="1.7478855688416364E-4"/>
    <n v="177"/>
    <s v="0-0.5"/>
  </r>
  <r>
    <x v="267"/>
    <x v="266"/>
    <x v="266"/>
    <n v="0.03"/>
    <n v="30910000000"/>
    <n v="473310000"/>
    <n v="94880000000"/>
    <n v="1.8190957931446164E-11"/>
    <n v="8"/>
    <s v="0-0.5"/>
  </r>
  <r>
    <x v="268"/>
    <x v="267"/>
    <x v="267"/>
    <n v="0.04"/>
    <n v="2040000"/>
    <n v="171250"/>
    <n v="5050"/>
    <n v="7.4318687430478304E-4"/>
    <n v="226"/>
    <s v="100-10000"/>
  </r>
  <r>
    <x v="269"/>
    <x v="268"/>
    <x v="268"/>
    <n v="0.14000000000000001"/>
    <n v="54570000"/>
    <n v="7470000"/>
    <n v="68990000000"/>
    <n v="163.35078534031413"/>
    <n v="53"/>
    <s v="0-0.5"/>
  </r>
  <r>
    <x v="270"/>
    <x v="269"/>
    <x v="269"/>
    <n v="16.46"/>
    <n v="1040000"/>
    <n v="2020"/>
    <n v="46640"/>
    <n v="2.2790513833992093E-3"/>
    <n v="278"/>
    <s v="10-100"/>
  </r>
  <r>
    <x v="271"/>
    <x v="270"/>
    <x v="270"/>
    <n v="0.16"/>
    <n v="395370000"/>
    <n v="14190000"/>
    <n v="2500000000"/>
    <n v="8.7919075144508667E-6"/>
    <n v="28"/>
    <s v="0-0.5"/>
  </r>
  <r>
    <x v="272"/>
    <x v="271"/>
    <x v="271"/>
    <n v="0"/>
    <n v="8970000000"/>
    <n v="515230"/>
    <n v="920070000"/>
    <n v="6.0506642284730812E-5"/>
    <n v="11"/>
    <s v="2-10"/>
  </r>
  <r>
    <x v="273"/>
    <x v="272"/>
    <x v="100"/>
    <n v="0.01"/>
    <n v="501100000"/>
    <n v="5610"/>
    <n v="501350000"/>
    <n v="0"/>
    <n v="27"/>
    <s v="0.5-1"/>
  </r>
  <r>
    <x v="274"/>
    <x v="273"/>
    <x v="272"/>
    <n v="0.24"/>
    <n v="11960000"/>
    <n v="7690"/>
    <n v="12000000"/>
    <n v="110.10919540229885"/>
    <n v="126"/>
    <s v="0.5-1"/>
  </r>
  <r>
    <x v="275"/>
    <x v="274"/>
    <x v="73"/>
    <n v="0.01"/>
    <n v="71920000000"/>
    <n v="9790000000"/>
    <n v="71940000000"/>
    <n v="3658.7301587301586"/>
    <n v="5"/>
    <s v="0.5-1"/>
  </r>
  <r>
    <x v="276"/>
    <x v="275"/>
    <x v="164"/>
    <n v="0.01"/>
    <n v="1110000000"/>
    <n v="14040000"/>
    <n v="1110000000"/>
    <n v="5.8371167423348467E-5"/>
    <n v="20"/>
    <s v="0.5-1"/>
  </r>
  <r>
    <x v="277"/>
    <x v="276"/>
    <x v="273"/>
    <n v="0"/>
    <n v="28580000"/>
    <n v="0"/>
    <n v="28600000"/>
    <n v="45.989285714285714"/>
    <n v="77"/>
    <s v="0.5-1"/>
  </r>
  <r>
    <x v="278"/>
    <x v="277"/>
    <x v="273"/>
    <n v="0"/>
    <n v="556020000"/>
    <n v="36490"/>
    <n v="556380000"/>
    <n v="0"/>
    <n v="25"/>
    <s v="0.5-1"/>
  </r>
  <r>
    <x v="279"/>
    <x v="278"/>
    <x v="274"/>
    <n v="0.01"/>
    <n v="5590000"/>
    <n v="5090000"/>
    <n v="704060000"/>
    <n v="0"/>
    <n v="179"/>
    <s v="0-0.5"/>
  </r>
  <r>
    <x v="280"/>
    <x v="279"/>
    <x v="275"/>
    <n v="0.26"/>
    <n v="2540000"/>
    <n v="13730"/>
    <n v="5960000000"/>
    <n v="6.5684210526315785E-5"/>
    <n v="222"/>
    <s v="0-0.5"/>
  </r>
  <r>
    <x v="281"/>
    <x v="280"/>
    <x v="276"/>
    <n v="0.53"/>
    <n v="15800000"/>
    <n v="916720"/>
    <n v="915200000"/>
    <n v="0"/>
    <n v="111"/>
    <s v="0-0.5"/>
  </r>
  <r>
    <x v="282"/>
    <x v="281"/>
    <x v="277"/>
    <n v="0"/>
    <n v="7190000"/>
    <n v="0"/>
    <n v="274530000"/>
    <n v="6.030359742150135E-5"/>
    <n v="160"/>
    <s v="0-0.5"/>
  </r>
  <r>
    <x v="283"/>
    <x v="282"/>
    <x v="278"/>
    <n v="2.2599999999999998"/>
    <n v="1620000"/>
    <n v="335.35"/>
    <n v="100000000"/>
    <n v="0"/>
    <n v="241"/>
    <s v="0-0.5"/>
  </r>
  <r>
    <x v="284"/>
    <x v="283"/>
    <x v="279"/>
    <n v="0.32"/>
    <n v="4350000"/>
    <n v="1850000"/>
    <n v="127500000"/>
    <n v="7.7127458396369138E-4"/>
    <n v="182"/>
    <s v="0-0.5"/>
  </r>
  <r>
    <x v="285"/>
    <x v="284"/>
    <x v="280"/>
    <n v="0.11"/>
    <n v="3310000"/>
    <n v="3810"/>
    <n v="14440000"/>
    <n v="0"/>
    <n v="197"/>
    <s v="0-0.5"/>
  </r>
  <r>
    <x v="286"/>
    <x v="285"/>
    <x v="281"/>
    <n v="0.05"/>
    <n v="2570000"/>
    <n v="430670"/>
    <n v="344850000"/>
    <n v="1.2507240081088907E-5"/>
    <n v="218"/>
    <s v="0-0.5"/>
  </r>
  <r>
    <x v="287"/>
    <x v="286"/>
    <x v="282"/>
    <n v="0.05"/>
    <n v="15790000"/>
    <n v="6260000"/>
    <n v="434300000"/>
    <n v="1.26E-9"/>
    <n v="112"/>
    <s v="0-0.5"/>
  </r>
  <r>
    <x v="288"/>
    <x v="287"/>
    <x v="283"/>
    <n v="0.61"/>
    <n v="1300000"/>
    <n v="277200"/>
    <n v="15050"/>
    <n v="5.4059953434225845"/>
    <n v="256"/>
    <s v="10-100"/>
  </r>
  <r>
    <x v="289"/>
    <x v="288"/>
    <x v="284"/>
    <n v="0.1"/>
    <n v="20150000"/>
    <n v="13630"/>
    <n v="11750000000"/>
    <n v="69.070904645476773"/>
    <n v="100"/>
    <s v="0-0.5"/>
  </r>
  <r>
    <x v="290"/>
    <x v="289"/>
    <x v="285"/>
    <n v="0.77"/>
    <n v="28410000"/>
    <n v="175590"/>
    <n v="536420000000000"/>
    <n v="5.6874086448110251E-6"/>
    <n v="80"/>
    <s v="0-0.5"/>
  </r>
  <r>
    <x v="291"/>
    <x v="290"/>
    <x v="286"/>
    <n v="0.09"/>
    <n v="28350000"/>
    <n v="6900000"/>
    <n v="993700000000"/>
    <n v="12.400305576776166"/>
    <n v="81"/>
    <s v="0-0.5"/>
  </r>
  <r>
    <x v="292"/>
    <x v="291"/>
    <x v="287"/>
    <n v="0.12"/>
    <n v="3290000"/>
    <n v="92400"/>
    <n v="339060000"/>
    <n v="24.108695652173914"/>
    <n v="200"/>
    <s v="0-0.5"/>
  </r>
  <r>
    <x v="293"/>
    <x v="292"/>
    <x v="288"/>
    <n v="1.75"/>
    <n v="2000000"/>
    <n v="8870"/>
    <n v="10260000000"/>
    <n v="0"/>
    <n v="235"/>
    <s v="0-0.5"/>
  </r>
  <r>
    <x v="294"/>
    <x v="293"/>
    <x v="179"/>
    <n v="0.06"/>
    <n v="66340000000"/>
    <n v="1160000000"/>
    <n v="62530000000"/>
    <n v="0"/>
    <n v="6"/>
    <s v="1-2"/>
  </r>
  <r>
    <x v="295"/>
    <x v="294"/>
    <x v="289"/>
    <n v="0.15"/>
    <n v="11780000"/>
    <n v="477190"/>
    <n v="15110000"/>
    <n v="1.0564516129032257E-6"/>
    <n v="132"/>
    <s v="0.5-1"/>
  </r>
  <r>
    <x v="296"/>
    <x v="295"/>
    <x v="290"/>
    <n v="0.27"/>
    <n v="1590000"/>
    <n v="1100000"/>
    <n v="197300000"/>
    <n v="0"/>
    <n v="246"/>
    <s v="0-0.5"/>
  </r>
  <r>
    <x v="297"/>
    <x v="296"/>
    <x v="291"/>
    <n v="0.92"/>
    <n v="15350000"/>
    <n v="1810000"/>
    <n v="129100000"/>
    <n v="1.6359447004608296E-6"/>
    <n v="118"/>
    <s v="0-0.5"/>
  </r>
  <r>
    <x v="298"/>
    <x v="297"/>
    <x v="292"/>
    <n v="0.22"/>
    <n v="7650000000"/>
    <n v="285310000"/>
    <n v="16790000"/>
    <n v="2.3599999999999999E-4"/>
    <n v="14"/>
    <s v="100-10000"/>
  </r>
  <r>
    <x v="299"/>
    <x v="298"/>
    <x v="293"/>
    <n v="0.09"/>
    <n v="56390000"/>
    <n v="5970000"/>
    <n v="1400000000"/>
    <n v="6.9145531642531406E-5"/>
    <n v="49"/>
    <s v="0-0.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x v="0"/>
    <s v="CMC20"/>
    <x v="0"/>
    <x v="0"/>
    <n v="6120000"/>
    <n v="2730000"/>
    <n v="36990"/>
    <n v="73.803730738037302"/>
    <n v="166"/>
    <s v="0-0.5"/>
    <s v="Above $50"/>
    <n v="165.48416108723893"/>
    <s v="&gt;= $10"/>
    <n v="3.78"/>
    <n v="27.04"/>
  </r>
  <r>
    <x v="1"/>
    <s v="BTC"/>
    <x v="1"/>
    <x v="1"/>
    <s v="1610000000000.0"/>
    <n v="60980000000"/>
    <n v="20070000"/>
    <n v="3038.3657199800696"/>
    <e v="#N/A"/>
    <s v="100-10000"/>
    <s v="$0-$50"/>
    <n v="80364.473946895596"/>
    <s v="Up to $10"/>
    <n v="3.94"/>
    <n v="25.22"/>
  </r>
  <r>
    <x v="2"/>
    <s v="ETH"/>
    <x v="2"/>
    <x v="2"/>
    <s v="3.0209E+11"/>
    <n v="23510000000"/>
    <n v="120680000"/>
    <n v="194.8127278753729"/>
    <e v="#N/A"/>
    <s v="0-0.5"/>
    <s v="Above $50"/>
    <n v="2499.7203355972829"/>
    <s v="&gt;= $10"/>
    <n v="2.04"/>
    <n v="31.57"/>
  </r>
  <r>
    <x v="3"/>
    <s v="USDT"/>
    <x v="3"/>
    <x v="3"/>
    <s v="1.8316E+11"/>
    <s v="1.1449E+11"/>
    <s v="1.8323E+11"/>
    <n v="0.62484309337990507"/>
    <e v="#N/A"/>
    <s v="10-100"/>
    <s v="$0-$50"/>
    <n v="0.99950004999500053"/>
    <s v="Up to $10"/>
    <n v="0.05"/>
    <n v="0.06"/>
  </r>
  <r>
    <x v="4"/>
    <s v="BNB"/>
    <x v="4"/>
    <x v="4"/>
    <n v="94970000000"/>
    <s v="2049999999.9999998"/>
    <n v="133160000"/>
    <n v="15.395013517572769"/>
    <n v="1"/>
    <s v="0-0.5"/>
    <s v="$0-$50"/>
    <n v="709.74129353233832"/>
    <s v="Up to $10"/>
    <n v="2.08"/>
    <n v="18.03"/>
  </r>
  <r>
    <x v="5"/>
    <s v="XRP"/>
    <x v="5"/>
    <x v="5"/>
    <n v="94530000000"/>
    <n v="6610000000"/>
    <n v="62740000000"/>
    <n v="0.10535543512910424"/>
    <n v="2"/>
    <s v="0-0.5"/>
    <s v="Above $50"/>
    <n v="1.4855897791423194"/>
    <s v="&gt;= $10"/>
    <n v="2.21"/>
    <n v="50.9"/>
  </r>
  <r>
    <x v="6"/>
    <s v="USDC"/>
    <x v="6"/>
    <x v="6"/>
    <n v="73640000000"/>
    <n v="22520000000"/>
    <n v="73650000000"/>
    <n v="0.30577053632043449"/>
    <n v="3"/>
    <s v="0-0.5"/>
    <s v="$0-$50"/>
    <n v="0.99990000000000001"/>
    <s v="Up to $10"/>
    <n v="0.01"/>
    <n v="0.01"/>
  </r>
  <r>
    <x v="7"/>
    <s v="SOL"/>
    <x v="7"/>
    <x v="7"/>
    <n v="58970000000"/>
    <n v="7590000000"/>
    <n v="583370000"/>
    <n v="13.01061076160927"/>
    <n v="4"/>
    <s v="0-0.5"/>
    <s v="Above $50"/>
    <n v="100.46710395547605"/>
    <s v="&gt;= $10"/>
    <n v="7.48"/>
    <n v="33.18"/>
  </r>
  <r>
    <x v="8"/>
    <s v="TRX"/>
    <x v="8"/>
    <x v="8"/>
    <s v="32700000000.000004"/>
    <s v="517450000.00000006"/>
    <n v="94910000000"/>
    <n v="5.4520071646823303E-3"/>
    <e v="#N/A"/>
    <s v="0-0.5"/>
    <s v="$0-$50"/>
    <n v="0.34439668099570125"/>
    <s v="Up to $10"/>
    <n v="7.0000000000000007E-2"/>
    <n v="3.74"/>
  </r>
  <r>
    <x v="9"/>
    <s v="HYPE"/>
    <x v="9"/>
    <x v="9"/>
    <n v="20380000000"/>
    <n v="966160000"/>
    <n v="251970000"/>
    <n v="3.8344247331031474"/>
    <n v="5"/>
    <s v="0-0.5"/>
    <s v="Above $50"/>
    <n v="80.690205465788964"/>
    <s v="&gt;= $10"/>
    <n v="1.93"/>
    <n v="34.770000000000003"/>
  </r>
  <r>
    <x v="10"/>
    <s v="DOGE"/>
    <x v="10"/>
    <x v="10"/>
    <n v="14330000000"/>
    <n v="1400000000"/>
    <s v="1.5563E+11"/>
    <n v="8.9956949174323717E-3"/>
    <n v="6"/>
    <s v="0-0.5"/>
    <s v="$0-$50"/>
    <n v="9.1431691818903885E-2"/>
    <s v="&gt;= $10"/>
    <n v="0.76"/>
    <n v="31.61"/>
  </r>
  <r>
    <x v="11"/>
    <s v="ZEC"/>
    <x v="11"/>
    <x v="11"/>
    <n v="14270000000"/>
    <n v="1450000000"/>
    <n v="16830000"/>
    <n v="86.155674390968514"/>
    <n v="7"/>
    <s v="0-0.5"/>
    <s v="$0-$50"/>
    <n v="842.64705882352939"/>
    <s v="Up to $10"/>
    <n v="1.26"/>
    <n v="65.95"/>
  </r>
  <r>
    <x v="12"/>
    <s v="LINK"/>
    <x v="12"/>
    <x v="12"/>
    <n v="8800000000"/>
    <n v="542780000"/>
    <n v="748090000"/>
    <n v="0.72555441190231118"/>
    <n v="9"/>
    <s v="10000+"/>
    <s v="Above $50"/>
    <n v="11.740041928721173"/>
    <s v="&gt;= $10"/>
    <n v="2.39"/>
    <n v="23.96"/>
  </r>
  <r>
    <x v="13"/>
    <s v="LEO"/>
    <x v="13"/>
    <x v="13"/>
    <n v="8600000000"/>
    <n v="245000"/>
    <n v="919900000"/>
    <n v="2.663332970975106E-4"/>
    <n v="10"/>
    <s v="0-0.5"/>
    <s v="Above $50"/>
    <n v="9.3443933639816112"/>
    <s v="&gt;= $10"/>
    <n v="0.48"/>
    <n v="0.75"/>
  </r>
  <r>
    <x v="14"/>
    <s v="XMR"/>
    <x v="14"/>
    <x v="14"/>
    <s v="8359999999.999999"/>
    <n v="132440000"/>
    <n v="18790000"/>
    <n v="7.0484300159659394"/>
    <e v="#N/A"/>
    <s v="0-0.5"/>
    <s v="$0-$50"/>
    <n v="439.83796067582256"/>
    <s v="Up to $10"/>
    <n v="6.81"/>
    <n v="5.89"/>
  </r>
  <r>
    <x v="15"/>
    <s v="GNO"/>
    <x v="15"/>
    <x v="15"/>
    <n v="327560000"/>
    <n v="1450000"/>
    <n v="2630000"/>
    <n v="0.5513307984790875"/>
    <n v="24"/>
    <s v="0-0.5"/>
    <s v="$0-$50"/>
    <n v="123.54405176704829"/>
    <s v="Up to $10"/>
    <n v="0.61"/>
    <n v="19.47"/>
  </r>
  <r>
    <x v="16"/>
    <s v="LDO"/>
    <x v="16"/>
    <x v="16"/>
    <n v="314630000"/>
    <n v="51460000"/>
    <n v="836290000"/>
    <n v="6.1533678508651303E-2"/>
    <n v="26"/>
    <s v="10-100"/>
    <s v="Above $50"/>
    <n v="0.37005705292150304"/>
    <s v="&gt;= $10"/>
    <n v="2.27"/>
    <n v="24.21"/>
  </r>
  <r>
    <x v="17"/>
    <s v="PENDLE"/>
    <x v="17"/>
    <x v="17"/>
    <n v="308700000"/>
    <n v="60330000"/>
    <n v="172200000"/>
    <n v="0.35034843205574911"/>
    <n v="27"/>
    <s v="0-0.5"/>
    <s v="$0-$50"/>
    <n v="1.7612909573944702"/>
    <s v="Up to $10"/>
    <n v="0.94"/>
    <n v="32.85"/>
  </r>
  <r>
    <x v="18"/>
    <s v="LUNC"/>
    <x v="18"/>
    <x v="18"/>
    <n v="304020000"/>
    <n v="19190000"/>
    <s v="5510000000000.0"/>
    <n v="3.4827586206896552E-6"/>
    <n v="28"/>
    <s v="0-0.5"/>
    <s v="$0-$50"/>
    <n v="5.433560224918615E-5"/>
    <s v="Up to $10"/>
    <n v="1.8"/>
    <n v="17.899999999999999"/>
  </r>
  <r>
    <x v="19"/>
    <s v="PIEVERSE"/>
    <x v="19"/>
    <x v="9"/>
    <n v="298360000"/>
    <n v="30030000"/>
    <n v="290350000"/>
    <n v="0.10342689857069054"/>
    <n v="29"/>
    <s v="0-0.5"/>
    <s v="$0-$50"/>
    <n v="1.0173548773189707"/>
    <s v="Up to $10"/>
    <n v="7.39"/>
    <n v="11.36"/>
  </r>
  <r>
    <x v="20"/>
    <s v="JTO"/>
    <x v="20"/>
    <x v="19"/>
    <n v="296480000"/>
    <n v="60470000"/>
    <n v="513870000"/>
    <n v="0.11767567672757702"/>
    <n v="30"/>
    <s v="10-100"/>
    <s v="$0-$50"/>
    <n v="0.56642120765832105"/>
    <s v="Up to $10"/>
    <n v="0.57999999999999996"/>
    <n v="0.8"/>
  </r>
  <r>
    <x v="21"/>
    <s v="BTT"/>
    <x v="21"/>
    <x v="20"/>
    <n v="291870000"/>
    <n v="6340000"/>
    <s v="987030000000000.0"/>
    <n v="6.423310335045541E-9"/>
    <n v="31"/>
    <s v="100-10000"/>
    <s v="$0-$50"/>
    <n v="6.2906674660271791E-2"/>
    <s v="Up to $10"/>
    <n v="0.2"/>
    <n v="13.97"/>
  </r>
  <r>
    <x v="22"/>
    <s v="BONK"/>
    <x v="22"/>
    <x v="21"/>
    <n v="287410000"/>
    <n v="83170000"/>
    <s v="87990000000000.0"/>
    <n v="9.4522104784634619E-7"/>
    <n v="32"/>
    <s v="0-0.5"/>
    <s v="$0-$50"/>
    <n v="5.2231810158854676E-2"/>
    <s v="Up to $10"/>
    <n v="3.18"/>
    <n v="42.35"/>
  </r>
  <r>
    <x v="23"/>
    <s v="FF"/>
    <x v="23"/>
    <x v="22"/>
    <n v="276450000"/>
    <n v="21030000"/>
    <n v="3060000000"/>
    <n v="6.8725490196078435E-3"/>
    <n v="33"/>
    <s v="0-0.5"/>
    <s v="$0-$50"/>
    <n v="8.8691120070803431E-2"/>
    <s v="Up to $10"/>
    <n v="0.56000000000000005"/>
    <n v="39.86"/>
  </r>
  <r>
    <x v="24"/>
    <s v="NFT"/>
    <x v="24"/>
    <x v="23"/>
    <n v="273640000"/>
    <n v="5840000"/>
    <s v="990100000000000.0"/>
    <n v="5.8983941016058984E-9"/>
    <n v="34"/>
    <s v="0-0.5"/>
    <s v="$0-$50"/>
    <n v="6.2618976354384917E-2"/>
    <s v="Up to $10"/>
    <n v="1.23"/>
    <n v="1.1000000000000001"/>
  </r>
  <r>
    <x v="25"/>
    <s v="XPL"/>
    <x v="25"/>
    <x v="24"/>
    <n v="272410000"/>
    <n v="115290000"/>
    <n v="2770000000"/>
    <n v="4.1620938628158848E-2"/>
    <n v="35"/>
    <s v="0-0.5"/>
    <s v="$0-$50"/>
    <n v="9.7175701119809721E-2"/>
    <s v="Up to $10"/>
    <n v="1.63"/>
    <n v="28.9"/>
  </r>
  <r>
    <x v="26"/>
    <s v="IMX"/>
    <x v="26"/>
    <x v="25"/>
    <n v="266390000"/>
    <n v="11630000"/>
    <n v="2000000000"/>
    <n v="5.8149999999999999E-3"/>
    <n v="36"/>
    <s v="0-0.5"/>
    <s v="Above $50"/>
    <n v="0.13161277563532087"/>
    <s v="&gt;= $10"/>
    <n v="5.04"/>
    <n v="31.4"/>
  </r>
  <r>
    <x v="27"/>
    <s v="CFX"/>
    <x v="27"/>
    <x v="26"/>
    <n v="263510000"/>
    <n v="12430000"/>
    <n v="5230000000"/>
    <n v="2.3766730401529636E-3"/>
    <n v="37"/>
    <s v="0-0.5"/>
    <s v="$0-$50"/>
    <n v="5.0319872051179534E-2"/>
    <s v="Up to $10"/>
    <n v="4.6100000000000003"/>
    <n v="20.5"/>
  </r>
  <r>
    <x v="28"/>
    <s v="FLOKI"/>
    <x v="28"/>
    <x v="27"/>
    <n v="262690000"/>
    <n v="43180000"/>
    <s v="9520000000000.0"/>
    <n v="4.5357142857142856E-6"/>
    <n v="38"/>
    <s v="0-0.5"/>
    <s v="$0-$50"/>
    <n v="2.7209944751381215E-5"/>
    <s v="Up to $10"/>
    <n v="2.85"/>
    <n v="37.950000000000003"/>
  </r>
  <r>
    <x v="29"/>
    <s v="XTZ"/>
    <x v="29"/>
    <x v="28"/>
    <n v="255540000"/>
    <n v="6860000"/>
    <n v="1090000000"/>
    <n v="6.2935779816513764E-3"/>
    <n v="39"/>
    <s v="0-0.5"/>
    <s v="$0-$50"/>
    <n v="0.23176178660049629"/>
    <s v="Up to $10"/>
    <n v="2.0499999999999998"/>
    <n v="14.42"/>
  </r>
  <r>
    <x v="30"/>
    <s v="RAIN"/>
    <x v="30"/>
    <x v="29"/>
    <n v="10520000000"/>
    <n v="53610000"/>
    <s v="7.1659E+11"/>
    <n v="7.4812654376979864E-5"/>
    <n v="8"/>
    <s v="0-0.5"/>
    <s v="$0-$50"/>
    <n v="1.4650698602794412E-2"/>
    <s v="Up to $10"/>
    <n v="5.33"/>
    <n v="12.27"/>
  </r>
  <r>
    <x v="31"/>
    <s v="DEL"/>
    <x v="31"/>
    <x v="2"/>
    <n v="6590000000"/>
    <n v="269320"/>
    <n v="11120000000"/>
    <n v="2.4219424460431653E-5"/>
    <n v="11"/>
    <s v="0-0.5"/>
    <s v="$0-$50"/>
    <n v="0.59258889332800635"/>
    <s v="Up to $10"/>
    <n v="0.38"/>
    <n v="1.9"/>
  </r>
  <r>
    <x v="32"/>
    <s v="USDY"/>
    <x v="32"/>
    <x v="30"/>
    <n v="2150000000"/>
    <n v="887740"/>
    <n v="1880000000"/>
    <n v="4.7220212765957444E-4"/>
    <n v="12"/>
    <s v="10-100"/>
    <s v="$0-$50"/>
    <n v="1.1397720455908817"/>
    <s v="Up to $10"/>
    <n v="0.03"/>
    <n v="0.19"/>
  </r>
  <r>
    <x v="33"/>
    <s v="HTX"/>
    <x v="33"/>
    <x v="8"/>
    <n v="1580000000"/>
    <n v="60830000"/>
    <s v="898230000000000.0"/>
    <n v="6.7722075637642919E-8"/>
    <n v="13"/>
    <s v="0-0.5"/>
    <s v="$0-$50"/>
    <n v="5.1750474857542736E-2"/>
    <s v="Up to $10"/>
    <n v="0.61"/>
    <n v="0.28000000000000003"/>
  </r>
  <r>
    <x v="34"/>
    <s v="BTW"/>
    <x v="34"/>
    <x v="31"/>
    <n v="1230000000"/>
    <n v="22380000"/>
    <n v="2700000000"/>
    <n v="8.288888888888889E-3"/>
    <n v="14"/>
    <s v="0-0.5"/>
    <s v="$0-$50"/>
    <n v="0.4549441786283891"/>
    <s v="Up to $10"/>
    <n v="7.03"/>
    <n v="28.73"/>
  </r>
  <r>
    <x v="35"/>
    <s v="USDGO"/>
    <x v="35"/>
    <x v="6"/>
    <n v="1190000000"/>
    <n v="15950000"/>
    <n v="1190000000"/>
    <n v="1.3403361344537816E-2"/>
    <n v="15"/>
    <s v="0-0.5"/>
    <s v="$0-$50"/>
    <n v="1"/>
    <s v="Up to $10"/>
    <n v="0.02"/>
    <n v="0"/>
  </r>
  <r>
    <x v="36"/>
    <s v="USDf"/>
    <x v="36"/>
    <x v="20"/>
    <n v="1170000000"/>
    <n v="962330"/>
    <n v="1170000000"/>
    <n v="8.2250427350427353E-4"/>
    <n v="16"/>
    <s v="0-0.5"/>
    <s v="$0-$50"/>
    <n v="0.99450439648281375"/>
    <s v="Up to $10"/>
    <n v="0.05"/>
    <n v="0.04"/>
  </r>
  <r>
    <x v="37"/>
    <s v="CTM"/>
    <x v="37"/>
    <x v="7"/>
    <n v="984260000"/>
    <n v="17360000"/>
    <n v="4450000000"/>
    <n v="3.9011235955056182E-3"/>
    <n v="17"/>
    <s v="0-0.5"/>
    <s v="$0-$50"/>
    <n v="0.2193400914331147"/>
    <s v="Up to $10"/>
    <n v="2.0699999999999998"/>
    <n v="11.45"/>
  </r>
  <r>
    <x v="38"/>
    <s v="JLP"/>
    <x v="38"/>
    <x v="32"/>
    <n v="870030000"/>
    <n v="14320000"/>
    <n v="197140000"/>
    <n v="7.2638733894694121E-2"/>
    <n v="18"/>
    <s v="0-0.5"/>
    <s v="$0-$50"/>
    <n v="4.3963712491277036"/>
    <s v="Up to $10"/>
    <n v="4.22"/>
    <n v="20.96"/>
  </r>
  <r>
    <x v="39"/>
    <s v="GHO"/>
    <x v="39"/>
    <x v="30"/>
    <n v="698050000"/>
    <n v="525060"/>
    <n v="699000000"/>
    <n v="7.5115879828326179E-4"/>
    <n v="19"/>
    <s v="10000+"/>
    <s v="$0-$50"/>
    <n v="0.99840031993601286"/>
    <s v="Up to $10"/>
    <n v="0.04"/>
    <n v="0.01"/>
  </r>
  <r>
    <x v="40"/>
    <s v="BDX"/>
    <x v="40"/>
    <x v="33"/>
    <n v="654430000"/>
    <n v="9910000"/>
    <n v="7870000000"/>
    <n v="1.2592121982210928E-3"/>
    <n v="20"/>
    <s v="0-0.5"/>
    <s v="$0-$50"/>
    <n v="8.3075232290938161E-2"/>
    <s v="Up to $10"/>
    <n v="0.7"/>
    <n v="0.18"/>
  </r>
  <r>
    <x v="41"/>
    <s v="USD0"/>
    <x v="41"/>
    <x v="3"/>
    <n v="553320000"/>
    <n v="119760"/>
    <n v="553990000"/>
    <n v="2.1617718731385043E-4"/>
    <n v="21"/>
    <s v="10-100"/>
    <s v="$0-$50"/>
    <n v="0.99860013998600139"/>
    <s v="Up to $10"/>
    <n v="0.01"/>
    <n v="0"/>
  </r>
  <r>
    <x v="42"/>
    <s v="USDAI"/>
    <x v="6"/>
    <x v="3"/>
    <n v="501320000"/>
    <n v="3240000"/>
    <n v="501350000"/>
    <n v="6.462551111997606E-3"/>
    <n v="22"/>
    <s v="10-100"/>
    <s v="$0-$50"/>
    <n v="0.99980001999800017"/>
    <s v="Up to $10"/>
    <n v="0.01"/>
    <n v="0.01"/>
  </r>
  <r>
    <x v="43"/>
    <s v="USX"/>
    <x v="35"/>
    <x v="3"/>
    <n v="404340000"/>
    <n v="18730000"/>
    <n v="403150000"/>
    <n v="4.6459134317251641E-2"/>
    <n v="23"/>
    <s v="0-0.5"/>
    <s v="$0-$50"/>
    <n v="0.99990000999900008"/>
    <s v="Up to $10"/>
    <n v="0.01"/>
    <n v="0.06"/>
  </r>
  <r>
    <x v="44"/>
    <s v="UB"/>
    <x v="42"/>
    <x v="34"/>
    <n v="322960000"/>
    <n v="6520000"/>
    <n v="2500000000"/>
    <n v="2.6080000000000001E-3"/>
    <n v="25"/>
    <s v="10-100"/>
    <s v="Above $50"/>
    <n v="0.12614813367207348"/>
    <s v="&gt;= $10"/>
    <n v="9.14"/>
    <n v="14.11"/>
  </r>
  <r>
    <x v="45"/>
    <s v="PONS"/>
    <x v="43"/>
    <x v="35"/>
    <n v="64300000"/>
    <n v="22180000"/>
    <n v="714570000"/>
    <n v="3.1039646220804119E-2"/>
    <n v="40"/>
    <s v="0-0.5"/>
    <s v="$0-$50"/>
    <n v="8.5176069670579335E-2"/>
    <s v="Up to $10"/>
    <n v="29.03"/>
    <n v="213.73"/>
  </r>
  <r>
    <x v="46"/>
    <s v="DIEM"/>
    <x v="44"/>
    <x v="36"/>
    <n v="62930000"/>
    <n v="936920"/>
    <n v="38410"/>
    <n v="24.392606092163501"/>
    <n v="41"/>
    <s v="100-10000"/>
    <s v="$0-$50"/>
    <n v="1630.2846337579617"/>
    <s v="Up to $10"/>
    <n v="1.02"/>
    <n v="6.35"/>
  </r>
  <r>
    <x v="47"/>
    <s v="OMI"/>
    <x v="45"/>
    <x v="37"/>
    <n v="62620000"/>
    <n v="839940"/>
    <s v="2.8256E+11"/>
    <n v="2.9726075877689694E-6"/>
    <n v="42"/>
    <s v="0-0.5"/>
    <s v="$0-$50"/>
    <n v="2.1649081672528331E-4"/>
    <s v="Up to $10"/>
    <n v="6.3"/>
    <n v="15.51"/>
  </r>
  <r>
    <x v="48"/>
    <s v="FIDD"/>
    <x v="46"/>
    <x v="6"/>
    <n v="62570000"/>
    <n v="147220000"/>
    <n v="62600000"/>
    <n v="2.3517571884984028"/>
    <n v="43"/>
    <s v="0-0.5"/>
    <s v="$0-$50"/>
    <n v="0.99950000000000006"/>
    <s v="Up to $10"/>
    <n v="0.01"/>
    <n v="0.03"/>
  </r>
  <r>
    <x v="49"/>
    <s v="W"/>
    <x v="47"/>
    <x v="38"/>
    <n v="62010000"/>
    <n v="99670000"/>
    <n v="6370000000"/>
    <n v="1.5646781789638933E-2"/>
    <n v="44"/>
    <s v="0-0.5"/>
    <s v="$0-$50"/>
    <n v="9.6553778925414641E-3"/>
    <s v="Up to $10"/>
    <n v="2.72"/>
    <n v="19.010000000000002"/>
  </r>
  <r>
    <x v="50"/>
    <s v="NXPC"/>
    <x v="48"/>
    <x v="39"/>
    <n v="61970000"/>
    <n v="7390000"/>
    <n v="300480000"/>
    <n v="2.4593982960596381E-2"/>
    <n v="45"/>
    <s v="0-0.5"/>
    <s v="$0-$50"/>
    <n v="0.20523539364984572"/>
    <s v="Up to $10"/>
    <n v="0.3"/>
    <n v="0.9"/>
  </r>
  <r>
    <x v="51"/>
    <s v="BAS"/>
    <x v="49"/>
    <x v="40"/>
    <n v="61840000"/>
    <n v="1970000"/>
    <n v="2500000000"/>
    <n v="7.8799999999999996E-4"/>
    <n v="46"/>
    <s v="100-10000"/>
    <s v="$0-$50"/>
    <n v="2.4538598928358798E-2"/>
    <s v="Up to $10"/>
    <n v="4.4400000000000004"/>
    <n v="3.96"/>
  </r>
  <r>
    <x v="52"/>
    <s v="POPCAT"/>
    <x v="50"/>
    <x v="41"/>
    <n v="61330000"/>
    <n v="12770000"/>
    <n v="979930000"/>
    <n v="1.3031543069402917E-2"/>
    <n v="48"/>
    <s v="0-0.5"/>
    <s v="$0-$50"/>
    <n v="6.1837944664031613E-2"/>
    <s v="Up to $10"/>
    <n v="11.24"/>
    <n v="51.31"/>
  </r>
  <r>
    <x v="53"/>
    <s v="WOULD"/>
    <x v="51"/>
    <x v="42"/>
    <n v="61400000"/>
    <n v="57090"/>
    <n v="999450000"/>
    <n v="5.7121416779228579E-5"/>
    <n v="47"/>
    <s v="0-0.5"/>
    <s v="$0-$50"/>
    <n v="6.1209645277002789E-2"/>
    <s v="&gt;= $10"/>
    <n v="1.38"/>
    <n v="9.56"/>
  </r>
  <r>
    <x v="54"/>
    <s v="APR"/>
    <x v="52"/>
    <x v="43"/>
    <n v="61210000"/>
    <n v="5170000"/>
    <n v="277810000"/>
    <n v="1.8609841258414025E-2"/>
    <n v="49"/>
    <s v="0-0.5"/>
    <s v="$0-$50"/>
    <n v="0.20911248220218318"/>
    <s v="Up to $10"/>
    <n v="8.18"/>
    <n v="15.15"/>
  </r>
  <r>
    <x v="55"/>
    <s v="SN4"/>
    <x v="53"/>
    <x v="44"/>
    <n v="60900000"/>
    <n v="884820"/>
    <n v="4410000"/>
    <n v="0.20063945578231293"/>
    <n v="50"/>
    <s v="0-0.5"/>
    <s v="$0-$50"/>
    <n v="13.703666898539202"/>
    <s v="Up to $10"/>
    <n v="1.34"/>
    <n v="28.86"/>
  </r>
  <r>
    <x v="56"/>
    <s v="DHN"/>
    <x v="54"/>
    <x v="45"/>
    <n v="60590000"/>
    <n v="247990"/>
    <n v="17070000"/>
    <n v="1.4527826596367897E-2"/>
    <n v="51"/>
    <s v="0-0.5"/>
    <s v="$0-$50"/>
    <n v="3.5350509286998202"/>
    <s v="Up to $10"/>
    <n v="1.31"/>
    <n v="1.64"/>
  </r>
  <r>
    <x v="57"/>
    <s v="DUSD"/>
    <x v="55"/>
    <x v="3"/>
    <n v="60500000"/>
    <n v="685770"/>
    <n v="60550000"/>
    <n v="1.1325681255161023E-2"/>
    <n v="52"/>
    <s v="0-0.5"/>
    <s v="$0-$50"/>
    <n v="0.99890010998900114"/>
    <s v="Up to $10"/>
    <n v="0.01"/>
    <n v="0.09"/>
  </r>
  <r>
    <x v="58"/>
    <s v="vBUSD"/>
    <x v="56"/>
    <x v="8"/>
    <n v="60230000"/>
    <m/>
    <n v="2690000000"/>
    <n v="0"/>
    <n v="53"/>
    <s v="0-0.5"/>
    <s v="$0-$50"/>
    <n v="2.234329701089673E-2"/>
    <s v="Up to $10"/>
    <n v="0.01"/>
    <n v="0.23"/>
  </r>
  <r>
    <x v="59"/>
    <s v="QUBIC"/>
    <x v="57"/>
    <x v="46"/>
    <n v="60030000"/>
    <n v="998460"/>
    <s v="141550000000000.0"/>
    <n v="7.0537619215824798E-9"/>
    <n v="54"/>
    <s v="100-10000"/>
    <s v="$0-$50"/>
    <n v="6.3997808328352265E-2"/>
    <s v="Up to $10"/>
    <n v="0.6"/>
    <n v="2.99"/>
  </r>
  <r>
    <x v="60"/>
    <s v="MASK"/>
    <x v="58"/>
    <x v="47"/>
    <n v="43260000"/>
    <n v="5400000"/>
    <n v="100000000"/>
    <n v="5.3999999999999999E-2"/>
    <n v="55"/>
    <s v="0-0.5"/>
    <s v="$0-$50"/>
    <n v="0.43169344376808699"/>
    <s v="Up to $10"/>
    <n v="3"/>
    <n v="24.32"/>
  </r>
  <r>
    <x v="61"/>
    <s v="G"/>
    <x v="59"/>
    <x v="4"/>
    <n v="43130000"/>
    <n v="4510000"/>
    <n v="11020000000"/>
    <n v="4.0925589836660617E-4"/>
    <n v="56"/>
    <s v="0-0.5"/>
    <s v="$0-$50"/>
    <n v="3.893532338308458E-3"/>
    <s v="Up to $10"/>
    <n v="2.09"/>
    <n v="0.64"/>
  </r>
  <r>
    <x v="62"/>
    <s v="RIVER"/>
    <x v="60"/>
    <x v="42"/>
    <n v="43050000"/>
    <n v="3960000"/>
    <n v="19600000"/>
    <n v="0.20204081632653062"/>
    <n v="57"/>
    <s v="0-0.5"/>
    <s v="$0-$50"/>
    <n v="2.1821442805898763"/>
    <s v="Up to $10"/>
    <n v="3.51"/>
    <n v="15.38"/>
  </r>
  <r>
    <x v="63"/>
    <s v="BEAT"/>
    <x v="61"/>
    <x v="48"/>
    <n v="42940000"/>
    <n v="25280000"/>
    <n v="330510000"/>
    <n v="7.648785210734925E-2"/>
    <n v="60"/>
    <s v="1-2"/>
    <s v="$0-$50"/>
    <n v="0.12750294464075382"/>
    <s v="Up to $10"/>
    <n v="2.2799999999999998"/>
    <n v="50.32"/>
  </r>
  <r>
    <x v="64"/>
    <s v="MAGMA"/>
    <x v="62"/>
    <x v="24"/>
    <n v="43040000"/>
    <n v="1140000"/>
    <n v="190000000"/>
    <n v="6.0000000000000001E-3"/>
    <n v="58"/>
    <s v="100-10000"/>
    <s v="$0-$50"/>
    <n v="0.22445743732038448"/>
    <s v="Up to $10"/>
    <n v="1.75"/>
    <n v="40.950000000000003"/>
  </r>
  <r>
    <x v="65"/>
    <s v="LOCUS"/>
    <x v="63"/>
    <x v="28"/>
    <n v="42990000"/>
    <n v="108500"/>
    <n v="5570000000"/>
    <n v="1.947935368043088E-5"/>
    <n v="59"/>
    <s v="100-10000"/>
    <s v="$0-$50"/>
    <n v="7.6605459057071954E-3"/>
    <s v="Up to $10"/>
    <n v="3.48"/>
    <n v="54.87"/>
  </r>
  <r>
    <x v="66"/>
    <s v="AZTEC"/>
    <x v="64"/>
    <x v="0"/>
    <n v="42890000"/>
    <n v="6380000"/>
    <n v="2870000000"/>
    <n v="2.2229965156794424E-3"/>
    <n v="61"/>
    <s v="0-0.5"/>
    <s v="$0-$50"/>
    <n v="1.4879584290996305E-2"/>
    <s v="Up to $10"/>
    <n v="6.67"/>
    <n v="28.37"/>
  </r>
  <r>
    <x v="67"/>
    <s v="XVG"/>
    <x v="65"/>
    <x v="49"/>
    <n v="42860000"/>
    <n v="1330000"/>
    <n v="16520000000"/>
    <n v="8.050847457627118E-5"/>
    <n v="62"/>
    <s v="100-10000"/>
    <s v="$0-$50"/>
    <n v="2.5723919079730265E-3"/>
    <s v="Up to $10"/>
    <n v="1.58"/>
    <n v="31.06"/>
  </r>
  <r>
    <x v="68"/>
    <s v="KTA"/>
    <x v="66"/>
    <x v="50"/>
    <n v="42830000"/>
    <n v="1550000"/>
    <n v="591560000"/>
    <n v="2.6201906822638449E-3"/>
    <n v="63"/>
    <s v="0-0.5"/>
    <s v="$0-$50"/>
    <n v="7.2164640223240983E-2"/>
    <s v="Up to $10"/>
    <n v="6.77"/>
    <n v="21.99"/>
  </r>
  <r>
    <x v="69"/>
    <s v="SSV"/>
    <x v="67"/>
    <x v="51"/>
    <n v="42800000"/>
    <n v="7120000"/>
    <n v="15920000"/>
    <n v="0.44723618090452261"/>
    <n v="64"/>
    <s v="0-0.5"/>
    <s v="$0-$50"/>
    <n v="2.6448238428895685"/>
    <s v="Up to $10"/>
    <n v="3.59"/>
    <n v="23.97"/>
  </r>
  <r>
    <x v="70"/>
    <s v="BARD"/>
    <x v="68"/>
    <x v="52"/>
    <n v="42710000"/>
    <n v="5100000"/>
    <n v="353430000"/>
    <n v="1.443001443001443E-2"/>
    <n v="65"/>
    <s v="0-0.5"/>
    <s v="$0-$50"/>
    <n v="0.11937938531475442"/>
    <s v="Up to $10"/>
    <n v="1.82"/>
    <n v="17.420000000000002"/>
  </r>
  <r>
    <x v="71"/>
    <s v="ZCHF"/>
    <x v="69"/>
    <x v="30"/>
    <n v="42490000"/>
    <n v="303340"/>
    <n v="34130000"/>
    <n v="8.8877820099619101E-3"/>
    <n v="66"/>
    <s v="0-0.5"/>
    <s v="$0-$50"/>
    <n v="1.239752049590082"/>
    <s v="Up to $10"/>
    <n v="0.23"/>
    <n v="0.87"/>
  </r>
  <r>
    <x v="72"/>
    <s v="APEX"/>
    <x v="70"/>
    <x v="53"/>
    <n v="42050000"/>
    <n v="3820000"/>
    <n v="146220000"/>
    <n v="2.6125017097524277E-2"/>
    <n v="67"/>
    <s v="0-0.5"/>
    <s v="$0-$50"/>
    <n v="0.28381046396841064"/>
    <s v="Up to $10"/>
    <n v="3.25"/>
    <n v="54.56"/>
  </r>
  <r>
    <x v="73"/>
    <s v="T"/>
    <x v="71"/>
    <x v="54"/>
    <n v="42010000"/>
    <n v="2970000"/>
    <n v="11150000000"/>
    <n v="2.6636771300448433E-4"/>
    <n v="68"/>
    <s v="0-0.5"/>
    <s v="$0-$50"/>
    <n v="3.7554846429996014E-3"/>
    <s v="Up to $10"/>
    <n v="1.35"/>
    <n v="17.11"/>
  </r>
  <r>
    <x v="74"/>
    <s v="NOT"/>
    <x v="72"/>
    <x v="55"/>
    <n v="41750000"/>
    <n v="5220000"/>
    <n v="99420000000"/>
    <n v="5.2504526252263125E-5"/>
    <n v="69"/>
    <s v="0-0.5"/>
    <s v="$0-$50"/>
    <n v="4.1776937618147444E-4"/>
    <s v="Up to $10"/>
    <n v="0.85"/>
    <n v="12.02"/>
  </r>
  <r>
    <x v="75"/>
    <s v="SN3"/>
    <x v="73"/>
    <x v="56"/>
    <n v="31120000"/>
    <n v="9670000"/>
    <n v="4210000"/>
    <n v="2.2969121140142517"/>
    <n v="70"/>
    <s v="0-0.5"/>
    <s v="$0-$50"/>
    <n v="7.2610837438423657"/>
    <s v="Up to $10"/>
    <n v="13.34"/>
    <n v="30.68"/>
  </r>
  <r>
    <x v="76"/>
    <s v="VANA"/>
    <x v="19"/>
    <x v="4"/>
    <n v="30940000"/>
    <n v="2310000"/>
    <n v="30080000"/>
    <n v="7.6795212765957452E-2"/>
    <n v="71"/>
    <s v="0-0.5"/>
    <s v="$0-$50"/>
    <n v="1.0149253731343284"/>
    <s v="Up to $10"/>
    <n v="2.92"/>
    <n v="21.14"/>
  </r>
  <r>
    <x v="77"/>
    <s v="LUSD"/>
    <x v="3"/>
    <x v="3"/>
    <n v="30760000"/>
    <n v="27880"/>
    <n v="30770000"/>
    <n v="9.0607734806629836E-4"/>
    <n v="72"/>
    <s v="0-0.5"/>
    <s v="$0-$50"/>
    <n v="0.99950004999500053"/>
    <s v="Up to $10"/>
    <n v="0.02"/>
    <n v="0.06"/>
  </r>
  <r>
    <x v="78"/>
    <s v="WMTX"/>
    <x v="74"/>
    <x v="57"/>
    <n v="30700000"/>
    <n v="1110000"/>
    <n v="865110000"/>
    <n v="1.2830738287616605E-3"/>
    <n v="73"/>
    <s v="10-100"/>
    <s v="$0-$50"/>
    <n v="3.5451003895714712E-2"/>
    <s v="Up to $10"/>
    <n v="2.4500000000000002"/>
    <n v="17.87"/>
  </r>
  <r>
    <x v="79"/>
    <s v="LISTA"/>
    <x v="75"/>
    <x v="58"/>
    <n v="30560000"/>
    <n v="2890000"/>
    <n v="441060000"/>
    <n v="6.552396499342493E-3"/>
    <n v="74"/>
    <s v="10-100"/>
    <s v="$0-$50"/>
    <n v="6.8750000000000006E-2"/>
    <s v="Up to $10"/>
    <n v="1.38"/>
    <n v="16.78"/>
  </r>
  <r>
    <x v="80"/>
    <s v="ZORA"/>
    <x v="76"/>
    <x v="59"/>
    <n v="30540000"/>
    <n v="16820000"/>
    <n v="4460000000"/>
    <n v="3.7713004484304933E-3"/>
    <n v="75"/>
    <s v="0-0.5"/>
    <s v="$0-$50"/>
    <n v="6.679702776691436E-3"/>
    <s v="Up to $10"/>
    <n v="1.22"/>
    <n v="42.3"/>
  </r>
  <r>
    <x v="81"/>
    <s v="SN9"/>
    <x v="77"/>
    <x v="60"/>
    <n v="30500000"/>
    <n v="149760"/>
    <n v="4000000"/>
    <n v="3.7440000000000001E-2"/>
    <n v="76"/>
    <s v="10-100"/>
    <s v="$0-$50"/>
    <n v="7.5571002979145989"/>
    <s v="Up to $10"/>
    <n v="2.98"/>
    <n v="20.56"/>
  </r>
  <r>
    <x v="82"/>
    <s v="USTC"/>
    <x v="78"/>
    <x v="61"/>
    <n v="30390000"/>
    <n v="7170000"/>
    <n v="5570000000"/>
    <n v="1.2872531418312387E-3"/>
    <n v="77"/>
    <s v="100-10000"/>
    <s v="$0-$50"/>
    <n v="5.388263189093064E-3"/>
    <s v="Up to $10"/>
    <n v="2.86"/>
    <n v="15.22"/>
  </r>
  <r>
    <x v="83"/>
    <s v="ETHW"/>
    <x v="79"/>
    <x v="62"/>
    <n v="30120000"/>
    <n v="1820000"/>
    <n v="107810000"/>
    <n v="1.6881550876542063E-2"/>
    <n v="78"/>
    <s v="100-10000"/>
    <s v="$0-$50"/>
    <n v="0.27837003088572282"/>
    <s v="Up to $10"/>
    <n v="2.2400000000000002"/>
    <n v="17.78"/>
  </r>
  <r>
    <x v="84"/>
    <s v="WAVES"/>
    <x v="80"/>
    <x v="0"/>
    <n v="30100000"/>
    <n v="4230000"/>
    <n v="135920000"/>
    <n v="3.1121247792819304E-2"/>
    <n v="79"/>
    <s v="0-0.5"/>
    <s v="$0-$50"/>
    <n v="0.22134505845907868"/>
    <s v="Up to $10"/>
    <n v="0.89"/>
    <n v="19.059999999999999"/>
  </r>
  <r>
    <x v="85"/>
    <s v="ROBO"/>
    <x v="81"/>
    <x v="53"/>
    <n v="30080000"/>
    <n v="10730000"/>
    <n v="2230000000"/>
    <n v="4.811659192825112E-3"/>
    <n v="80"/>
    <s v="0-0.5"/>
    <s v="$0-$50"/>
    <n v="1.3307008884501483E-2"/>
    <s v="Up to $10"/>
    <n v="0.72"/>
    <n v="1.05"/>
  </r>
  <r>
    <x v="86"/>
    <s v="SAHARA"/>
    <x v="82"/>
    <x v="58"/>
    <n v="29730000"/>
    <s v="8300000.000000001"/>
    <n v="3570000000"/>
    <n v="2.3249299719887953E-3"/>
    <n v="81"/>
    <s v="0-0.5"/>
    <s v="$0-$50"/>
    <n v="8.2490079365079363E-3"/>
    <s v="Up to $10"/>
    <n v="1.34"/>
    <n v="14.74"/>
  </r>
  <r>
    <x v="87"/>
    <s v="XAN"/>
    <x v="83"/>
    <x v="63"/>
    <n v="29600000"/>
    <n v="2300000"/>
    <n v="2500000000"/>
    <n v="9.2000000000000003E-4"/>
    <n v="83"/>
    <s v="0-0.5"/>
    <s v="$0-$50"/>
    <n v="1.1669623496944609E-2"/>
    <s v="Up to $10"/>
    <n v="4.1900000000000004"/>
    <n v="12.25"/>
  </r>
  <r>
    <x v="88"/>
    <s v="SNT"/>
    <x v="84"/>
    <x v="46"/>
    <n v="29630000"/>
    <n v="1380000"/>
    <n v="4810000000"/>
    <n v="2.8690228690228688E-4"/>
    <n v="82"/>
    <s v="0-0.5"/>
    <s v="$0-$50"/>
    <n v="6.1336919705120545E-3"/>
    <s v="Up to $10"/>
    <n v="1.77"/>
    <n v="23.03"/>
  </r>
  <r>
    <x v="89"/>
    <s v="DEP"/>
    <x v="85"/>
    <x v="6"/>
    <n v="29500000"/>
    <n v="146320"/>
    <n v="29850000000"/>
    <n v="4.9018425460636513E-6"/>
    <n v="84"/>
    <s v="0-0.5"/>
    <s v="$0-$50"/>
    <n v="9.8820000000000006E-4"/>
    <s v="Up to $10"/>
    <n v="0.96"/>
    <n v="0.22"/>
  </r>
  <r>
    <x v="90"/>
    <s v="B3"/>
    <x v="86"/>
    <x v="41"/>
    <n v="23180000"/>
    <n v="6900000"/>
    <n v="46430000000"/>
    <n v="1.4861081197501614E-4"/>
    <n v="85"/>
    <s v="0-0.5"/>
    <s v="$0-$50"/>
    <n v="4.9328063241106722E-4"/>
    <s v="Up to $10"/>
    <n v="3.25"/>
    <n v="19.47"/>
  </r>
  <r>
    <x v="91"/>
    <s v="GMT"/>
    <x v="87"/>
    <x v="64"/>
    <n v="23020000"/>
    <n v="5140000"/>
    <n v="3110000000"/>
    <n v="1.6527331189710611E-3"/>
    <n v="86"/>
    <s v="0-0.5"/>
    <s v="$0-$50"/>
    <n v="7.3226476699317306E-3"/>
    <s v="Up to $10"/>
    <n v="1.69"/>
    <n v="24.98"/>
  </r>
  <r>
    <x v="92"/>
    <s v="CATI"/>
    <x v="88"/>
    <x v="65"/>
    <n v="22970000"/>
    <n v="3040000"/>
    <n v="451130000"/>
    <n v="6.7386340966018666E-3"/>
    <n v="87"/>
    <s v="0-0.5"/>
    <s v="$0-$50"/>
    <n v="5.0869130869130877E-2"/>
    <s v="Up to $10"/>
    <n v="2.2000000000000002"/>
    <n v="5.97"/>
  </r>
  <r>
    <x v="93"/>
    <s v="BSB"/>
    <x v="89"/>
    <x v="66"/>
    <n v="22890000"/>
    <n v="13660000"/>
    <n v="236300000"/>
    <n v="5.7807871349978841E-2"/>
    <n v="88"/>
    <s v="0-0.5"/>
    <s v="$0-$50"/>
    <n v="9.5997225800059441E-2"/>
    <s v="Up to $10"/>
    <n v="2.5499999999999998"/>
    <n v="17.71"/>
  </r>
  <r>
    <x v="94"/>
    <s v="ISIKC"/>
    <x v="90"/>
    <x v="67"/>
    <n v="22870000"/>
    <n v="417870"/>
    <n v="100000000"/>
    <n v="4.1786999999999996E-3"/>
    <n v="89"/>
    <s v="0-0.5"/>
    <s v="$0-$50"/>
    <n v="0.22858570714642679"/>
    <s v="Up to $10"/>
    <n v="0.09"/>
    <n v="0.06"/>
  </r>
  <r>
    <x v="95"/>
    <s v="USUAL"/>
    <x v="91"/>
    <x v="68"/>
    <n v="22860000"/>
    <n v="28210000"/>
    <n v="1910000000"/>
    <n v="1.4769633507853402E-2"/>
    <n v="90"/>
    <s v="0-0.5"/>
    <s v="$0-$50"/>
    <n v="1.1790220820189275E-2"/>
    <s v="Up to $10"/>
    <n v="1.96"/>
    <n v="37.79"/>
  </r>
  <r>
    <x v="96"/>
    <s v="PUNDIX"/>
    <x v="92"/>
    <x v="69"/>
    <n v="22860000"/>
    <n v="1290000"/>
    <n v="258380000"/>
    <n v="4.9926464896663829E-3"/>
    <n v="90"/>
    <s v="0-0.5"/>
    <s v="$0-$50"/>
    <n v="8.8171400099651215E-2"/>
    <s v="Up to $10"/>
    <n v="2.39"/>
    <n v="21.71"/>
  </r>
  <r>
    <x v="97"/>
    <s v="STG"/>
    <x v="93"/>
    <x v="62"/>
    <n v="22490000"/>
    <n v="9490000"/>
    <n v="140960000"/>
    <n v="6.7324063564131675E-2"/>
    <n v="92"/>
    <s v="0-0.5"/>
    <s v="Above $50"/>
    <n v="0.15891202550562916"/>
    <s v="&gt;= $10"/>
    <n v="1.21"/>
    <n v="12.9"/>
  </r>
  <r>
    <x v="98"/>
    <s v="AUCTION"/>
    <x v="94"/>
    <x v="70"/>
    <n v="22430000"/>
    <n v="6610000"/>
    <n v="6920000"/>
    <n v="0.9552023121387283"/>
    <n v="93"/>
    <s v="0-0.5"/>
    <s v="Above $50"/>
    <n v="3.2203558294404138"/>
    <s v="&gt;= $10"/>
    <n v="2.35"/>
    <n v="18.47"/>
  </r>
  <r>
    <x v="99"/>
    <s v="SFI"/>
    <x v="95"/>
    <x v="71"/>
    <n v="22290000"/>
    <n v="43080"/>
    <n v="99960"/>
    <n v="0.43097238895558221"/>
    <n v="94"/>
    <s v="0-0.5"/>
    <s v="$0-$50"/>
    <n v="222.7504244482173"/>
    <s v="Up to $10"/>
    <n v="17.260000000000002"/>
    <n v="8.2200000000000006"/>
  </r>
  <r>
    <x v="100"/>
    <s v="SPYB"/>
    <x v="96"/>
    <x v="13"/>
    <n v="22290000"/>
    <n v="10970000"/>
    <n v="29150"/>
    <n v="376.32933104631218"/>
    <n v="94"/>
    <s v="0-0.5"/>
    <s v="$0-$50"/>
    <n v="764.28143114131524"/>
    <s v="Up to $10"/>
    <n v="7.0000000000000007E-2"/>
    <n v="0.61"/>
  </r>
  <r>
    <x v="101"/>
    <s v="METIS"/>
    <x v="97"/>
    <x v="50"/>
    <n v="22250000"/>
    <n v="2390000"/>
    <n v="7810000"/>
    <n v="0.3060179257362356"/>
    <n v="96"/>
    <s v="0-0.5"/>
    <s v="$0-$50"/>
    <n v="2.8303767191548732"/>
    <s v="Up to $10"/>
    <n v="4.0199999999999996"/>
    <n v="23.48"/>
  </r>
  <r>
    <x v="102"/>
    <s v="WOO"/>
    <x v="98"/>
    <x v="60"/>
    <n v="22180000"/>
    <n v="1620000"/>
    <n v="1880000000"/>
    <n v="8.6170212765957442E-4"/>
    <n v="97"/>
    <s v="0-0.5"/>
    <s v="$0-$50"/>
    <n v="1.1658391261171798E-2"/>
    <s v="Up to $10"/>
    <n v="0.06"/>
    <n v="13.29"/>
  </r>
  <r>
    <x v="103"/>
    <s v="AO"/>
    <x v="99"/>
    <x v="72"/>
    <n v="22070000"/>
    <n v="203450"/>
    <n v="7360000"/>
    <n v="2.7642663043478261E-2"/>
    <n v="98"/>
    <s v="0-0.5"/>
    <s v="$0-$50"/>
    <n v="2.9783843012252218"/>
    <s v="Up to $10"/>
    <n v="18.940000000000001"/>
    <n v="57.24"/>
  </r>
  <r>
    <x v="104"/>
    <s v="ERG"/>
    <x v="100"/>
    <x v="73"/>
    <n v="22070000"/>
    <n v="151230"/>
    <n v="83370000"/>
    <n v="1.8139618567830154E-3"/>
    <n v="98"/>
    <s v="0-0.5"/>
    <s v="$0-$50"/>
    <n v="0.26267738414210579"/>
    <s v="Up to $10"/>
    <n v="1.6"/>
    <n v="30.89"/>
  </r>
  <r>
    <x v="105"/>
    <s v="MAX"/>
    <x v="101"/>
    <x v="30"/>
    <n v="17610000"/>
    <n v="204590"/>
    <n v="66330000"/>
    <n v="3.0844263530830696E-3"/>
    <n v="100"/>
    <s v="0-0.5"/>
    <s v="$0-$50"/>
    <n v="0.26544691061787645"/>
    <s v="Up to $10"/>
    <n v="2.69"/>
    <n v="4.9000000000000004"/>
  </r>
  <r>
    <x v="106"/>
    <s v="YNG"/>
    <x v="102"/>
    <x v="6"/>
    <n v="17540000"/>
    <n v="15840"/>
    <n v="27000000"/>
    <n v="5.8666666666666665E-4"/>
    <n v="101"/>
    <s v="0-0.5"/>
    <s v="$0-$50"/>
    <n v="0.64970000000000006"/>
    <s v="Up to $10"/>
    <n v="0.05"/>
    <n v="3.28"/>
  </r>
  <r>
    <x v="107"/>
    <s v="STBL"/>
    <x v="103"/>
    <x v="74"/>
    <n v="17520000"/>
    <n v="2320000"/>
    <n v="700000000"/>
    <n v="3.3142857142857145E-3"/>
    <n v="102"/>
    <s v="0-0.5"/>
    <s v="Above $50"/>
    <n v="2.4738090531725637E-2"/>
    <s v="&gt;= $10"/>
    <n v="3.38"/>
    <n v="1.89"/>
  </r>
  <r>
    <x v="108"/>
    <s v="BMX"/>
    <x v="104"/>
    <x v="75"/>
    <n v="17520000"/>
    <n v="907370"/>
    <n v="324280000"/>
    <n v="2.7981065745651904E-3"/>
    <n v="102"/>
    <s v="0-0.5"/>
    <s v="$0-$50"/>
    <n v="5.3947499750474102E-2"/>
    <s v="Up to $10"/>
    <n v="4.78"/>
    <n v="11.81"/>
  </r>
  <r>
    <x v="109"/>
    <s v="GOLDGR"/>
    <x v="105"/>
    <x v="6"/>
    <n v="17460000"/>
    <m/>
    <n v="117660"/>
    <n v="0"/>
    <n v="104"/>
    <s v="0-0.5"/>
    <s v="$0-$50"/>
    <n v="148.4"/>
    <s v="Up to $10"/>
    <n v="0.22"/>
    <n v="5.6"/>
  </r>
  <r>
    <x v="110"/>
    <s v="JIMOTHY"/>
    <x v="106"/>
    <x v="76"/>
    <n v="17440000"/>
    <n v="6480000"/>
    <n v="999930000"/>
    <n v="6.4804536317542225E-3"/>
    <n v="105"/>
    <s v="0-0.5"/>
    <s v="$0-$50"/>
    <n v="1.3322129707432588E-2"/>
    <s v="Up to $10"/>
    <n v="95.95"/>
    <n v="168.45"/>
  </r>
  <r>
    <x v="111"/>
    <s v="ENSO"/>
    <x v="107"/>
    <x v="66"/>
    <n v="17420000"/>
    <n v="7290000"/>
    <n v="20590000"/>
    <n v="0.35405536668285575"/>
    <n v="106"/>
    <s v="0-0.5"/>
    <s v="$0-$50"/>
    <n v="0.8386010106014069"/>
    <s v="Up to $10"/>
    <n v="1.02"/>
    <n v="4.9000000000000004"/>
  </r>
  <r>
    <x v="112"/>
    <s v="CBK"/>
    <x v="108"/>
    <x v="67"/>
    <n v="17350000"/>
    <n v="1370000"/>
    <n v="100000000"/>
    <n v="1.37E-2"/>
    <n v="107"/>
    <s v="0-0.5"/>
    <s v="Above $50"/>
    <n v="0.17341329335332334"/>
    <s v="&gt;= $10"/>
    <n v="0.24"/>
    <n v="11.96"/>
  </r>
  <r>
    <x v="113"/>
    <s v="XNY"/>
    <x v="109"/>
    <x v="5"/>
    <n v="17320000"/>
    <n v="886810"/>
    <n v="2500000000"/>
    <n v="3.54724E-4"/>
    <n v="108"/>
    <s v="0-0.5"/>
    <s v="Above $50"/>
    <n v="6.86441517282361E-3"/>
    <s v="&gt;= $10"/>
    <n v="3.1"/>
    <n v="3.5"/>
  </r>
  <r>
    <x v="114"/>
    <s v="XAUT0"/>
    <x v="110"/>
    <x v="45"/>
    <n v="17240000"/>
    <n v="526880"/>
    <n v="3720"/>
    <n v="141.63440860215053"/>
    <n v="109"/>
    <s v="0-0.5"/>
    <s v="$0-$50"/>
    <n v="4625.4343918514078"/>
    <s v="Up to $10"/>
    <n v="0.05"/>
    <n v="5.91"/>
  </r>
  <r>
    <x v="115"/>
    <s v="SPELL"/>
    <x v="111"/>
    <x v="46"/>
    <n v="17200000"/>
    <n v="20000000"/>
    <s v="1.9524E+11"/>
    <n v="1.024380249948781E-4"/>
    <n v="110"/>
    <s v="0-0.5"/>
    <s v="$0-$50"/>
    <n v="8.779637377963738E-5"/>
    <s v="Up to $10"/>
    <n v="5.46"/>
    <n v="15.91"/>
  </r>
  <r>
    <x v="116"/>
    <s v="NMC"/>
    <x v="112"/>
    <x v="47"/>
    <n v="17200000"/>
    <n v="5010"/>
    <n v="14730000"/>
    <n v="3.4012219959266802E-4"/>
    <n v="110"/>
    <s v="0-0.5"/>
    <s v="$0-$50"/>
    <n v="1.1575691048797525"/>
    <s v="Up to $10"/>
    <n v="3.82"/>
    <n v="23.7"/>
  </r>
  <r>
    <x v="117"/>
    <s v="POKT"/>
    <x v="113"/>
    <x v="12"/>
    <n v="17190000"/>
    <n v="407350"/>
    <n v="2330000000"/>
    <n v="1.748283261802575E-4"/>
    <n v="112"/>
    <s v="0-0.5"/>
    <s v="$0-$50"/>
    <n v="7.3385245083358291E-3"/>
    <s v="Up to $10"/>
    <n v="2.0699999999999998"/>
    <n v="6.91"/>
  </r>
  <r>
    <x v="118"/>
    <s v="NAORIS"/>
    <x v="114"/>
    <x v="71"/>
    <n v="17180000"/>
    <n v="1790000"/>
    <n v="599260000"/>
    <n v="2.9870173213630146E-3"/>
    <n v="113"/>
    <s v="0-0.5"/>
    <s v="$0-$50"/>
    <n v="2.8642764406271844E-2"/>
    <s v="Up to $10"/>
    <n v="5.22"/>
    <n v="5.98"/>
  </r>
  <r>
    <x v="119"/>
    <s v="ESE"/>
    <x v="115"/>
    <x v="77"/>
    <n v="17090000"/>
    <n v="465220"/>
    <n v="1370000000"/>
    <n v="3.3957664233576641E-4"/>
    <n v="114"/>
    <s v="0-0.5"/>
    <s v="$0-$50"/>
    <n v="1.2373083814453515E-2"/>
    <s v="Up to $10"/>
    <n v="1.42"/>
    <n v="4.1399999999999997"/>
  </r>
  <r>
    <x v="120"/>
    <s v="CORN"/>
    <x v="116"/>
    <x v="78"/>
    <n v="13340000"/>
    <n v="2840000"/>
    <n v="525000000"/>
    <n v="5.4095238095238094E-3"/>
    <n v="115"/>
    <s v="0-0.5"/>
    <s v="$0-$50"/>
    <n v="2.5381927109335997E-2"/>
    <s v="Up to $10"/>
    <n v="0.09"/>
    <n v="0.12"/>
  </r>
  <r>
    <x v="121"/>
    <s v="MEY"/>
    <x v="117"/>
    <x v="67"/>
    <n v="13260000"/>
    <n v="563750"/>
    <n v="284300000"/>
    <n v="1.9829405557509673E-3"/>
    <n v="116"/>
    <s v="0-0.5"/>
    <s v="$0-$50"/>
    <n v="4.6616691654172919E-2"/>
    <s v="Up to $10"/>
    <n v="0.76"/>
    <n v="3.98"/>
  </r>
  <r>
    <x v="122"/>
    <s v="PEP"/>
    <x v="118"/>
    <x v="67"/>
    <n v="13260000"/>
    <n v="39560"/>
    <s v="1.0292E+11"/>
    <n v="3.843762145355616E-7"/>
    <n v="116"/>
    <s v="0-0.5"/>
    <s v="Above $50"/>
    <n v="1.2873563218390805E-4"/>
    <s v="&gt;= $10"/>
    <n v="2.04"/>
    <n v="49.23"/>
  </r>
  <r>
    <x v="123"/>
    <s v="AEON"/>
    <x v="119"/>
    <x v="32"/>
    <n v="13220000"/>
    <n v="20310000"/>
    <n v="233600000"/>
    <n v="8.6943493150684933E-2"/>
    <n v="118"/>
    <s v="0-0.5"/>
    <s v="$0-$50"/>
    <n v="5.6435051340843381E-2"/>
    <s v="Up to $10"/>
    <n v="6.19"/>
    <n v="37.61"/>
  </r>
  <r>
    <x v="124"/>
    <s v="rINTC"/>
    <x v="120"/>
    <x v="28"/>
    <n v="13210000"/>
    <n v="384300"/>
    <n v="147530"/>
    <n v="2.6048939198807024"/>
    <n v="119"/>
    <s v="0-0.5"/>
    <s v="$0-$50"/>
    <n v="88.863523573200993"/>
    <s v="Up to $10"/>
    <n v="1.64"/>
    <n v="11.7"/>
  </r>
  <r>
    <x v="125"/>
    <s v="INX"/>
    <x v="121"/>
    <x v="79"/>
    <n v="13200000"/>
    <n v="1380000"/>
    <n v="1990000000"/>
    <n v="6.9346733668341706E-4"/>
    <n v="120"/>
    <s v="0-0.5"/>
    <s v="$0-$50"/>
    <n v="6.6041500399042306E-3"/>
    <s v="&gt;= $10"/>
    <n v="2.3199999999999998"/>
    <n v="18.97"/>
  </r>
  <r>
    <x v="126"/>
    <s v="ESPORTS"/>
    <x v="122"/>
    <x v="78"/>
    <n v="13070000"/>
    <n v="1310000"/>
    <n v="899980000"/>
    <n v="1.4555879019533767E-3"/>
    <n v="124"/>
    <s v="0-0.5"/>
    <s v="$0-$50"/>
    <n v="1.4498252621068396E-2"/>
    <s v="Up to $10"/>
    <n v="1.02"/>
    <n v="1.79"/>
  </r>
  <r>
    <x v="127"/>
    <s v="SOFIon"/>
    <x v="123"/>
    <x v="80"/>
    <n v="13130000"/>
    <n v="541280"/>
    <n v="712940"/>
    <n v="0.75922237495441414"/>
    <n v="121"/>
    <s v="0-0.5"/>
    <s v="$0-$50"/>
    <n v="18.366736464253666"/>
    <s v="Up to $10"/>
    <n v="2.2000000000000002"/>
    <n v="1.46"/>
  </r>
  <r>
    <x v="128"/>
    <s v="ZKC"/>
    <x v="124"/>
    <x v="70"/>
    <n v="13110000"/>
    <n v="3340000"/>
    <n v="316140000"/>
    <n v="1.0564939583728727E-2"/>
    <n v="122"/>
    <s v="0-0.5"/>
    <s v="$0-$50"/>
    <n v="4.1228506112712456E-2"/>
    <s v="Up to $10"/>
    <n v="1.34"/>
    <n v="13.29"/>
  </r>
  <r>
    <x v="129"/>
    <s v="BLEND"/>
    <x v="125"/>
    <x v="32"/>
    <n v="13110000"/>
    <n v="9280000"/>
    <n v="200000000"/>
    <n v="4.6399999999999997E-2"/>
    <n v="122"/>
    <s v="0-0.5"/>
    <s v="$0-$50"/>
    <n v="6.5347422988734916E-2"/>
    <s v="Up to $10"/>
    <n v="2.54"/>
    <n v="11.13"/>
  </r>
  <r>
    <x v="130"/>
    <s v="SOLV"/>
    <x v="126"/>
    <x v="0"/>
    <n v="13020000"/>
    <n v="7060000"/>
    <n v="4650000000"/>
    <n v="1.518279569892473E-3"/>
    <n v="125"/>
    <s v="0-0.5"/>
    <s v="$0-$50"/>
    <n v="2.7970420705506144E-3"/>
    <s v="Up to $10"/>
    <n v="10.61"/>
    <n v="22.96"/>
  </r>
  <r>
    <x v="131"/>
    <s v="GYEN"/>
    <x v="127"/>
    <x v="1"/>
    <n v="13020000"/>
    <n v="25.96"/>
    <s v="2089999999.9999998"/>
    <n v="1.2421052631579007E-8"/>
    <n v="125"/>
    <s v="0-0.5"/>
    <s v="$0-$50"/>
    <n v="6.1918546616091035E-3"/>
    <s v="Up to $10"/>
    <n v="1.1200000000000001"/>
    <n v="1.46"/>
  </r>
  <r>
    <x v="132"/>
    <s v="ROG"/>
    <x v="128"/>
    <x v="30"/>
    <n v="13010000"/>
    <n v="14040"/>
    <s v="66980000.00000001"/>
    <n v="2.0961481039116154E-4"/>
    <n v="127"/>
    <s v="0-0.5"/>
    <s v="$0-$50"/>
    <n v="0.19426114777044592"/>
    <s v="Up to $10"/>
    <n v="0.44"/>
    <n v="5.86"/>
  </r>
  <r>
    <x v="133"/>
    <s v="FIRO"/>
    <x v="129"/>
    <x v="13"/>
    <n v="12980000"/>
    <n v="245350"/>
    <n v="18950000"/>
    <n v="1.2947229551451188E-2"/>
    <n v="128"/>
    <s v="0-0.5"/>
    <s v="$0-$50"/>
    <n v="0.68428942634419354"/>
    <s v="Up to $10"/>
    <n v="2.42"/>
    <n v="10.63"/>
  </r>
  <r>
    <x v="134"/>
    <s v="MBL"/>
    <x v="130"/>
    <x v="81"/>
    <n v="12920000"/>
    <n v="1690000"/>
    <n v="19600000000"/>
    <n v="8.6224489795918362E-5"/>
    <n v="129"/>
    <s v="0-0.5"/>
    <s v="$0-$50"/>
    <n v="6.5332011892963338E-4"/>
    <s v="Up to $10"/>
    <n v="0.79"/>
    <n v="16.87"/>
  </r>
  <r>
    <x v="135"/>
    <s v="DIAM"/>
    <x v="131"/>
    <x v="3"/>
    <n v="10610000"/>
    <n v="252970"/>
    <s v="2089999999.9999998"/>
    <n v="1.2103827751196231E-4"/>
    <n v="130"/>
    <s v="0-0.5"/>
    <s v="$0-$50"/>
    <n v="5.0614938506149381E-3"/>
    <s v="Up to $10"/>
    <n v="0.31"/>
    <n v="1.53"/>
  </r>
  <r>
    <x v="136"/>
    <s v="RAMP"/>
    <x v="132"/>
    <x v="6"/>
    <n v="10580000"/>
    <m/>
    <n v="477830000"/>
    <n v="0"/>
    <n v="131"/>
    <s v="0-0.5"/>
    <s v="$0-$50"/>
    <n v="2.214E-2"/>
    <s v="Up to $10"/>
    <n v="3.37"/>
    <n v="26.96"/>
  </r>
  <r>
    <x v="137"/>
    <s v="DOLO"/>
    <x v="133"/>
    <x v="15"/>
    <n v="10580000"/>
    <n v="3500000"/>
    <n v="441620000"/>
    <n v="7.925365699017254E-3"/>
    <n v="131"/>
    <s v="0-0.5"/>
    <s v="$0-$50"/>
    <n v="2.3842707814833251E-2"/>
    <s v="Up to $10"/>
    <n v="0.61"/>
    <n v="3.45"/>
  </r>
  <r>
    <x v="138"/>
    <s v="LMTS"/>
    <x v="134"/>
    <x v="82"/>
    <n v="10570000"/>
    <s v="2029999.9999999998"/>
    <n v="131590000"/>
    <n v="1.5426704156850749E-2"/>
    <n v="133"/>
    <s v="0-0.5"/>
    <s v="$0-$50"/>
    <n v="7.949529935675409E-2"/>
    <s v="Up to $10"/>
    <n v="9.24"/>
    <n v="30.81"/>
  </r>
  <r>
    <x v="139"/>
    <s v="CYBERLEEK"/>
    <x v="135"/>
    <x v="83"/>
    <n v="10520000"/>
    <n v="21540000"/>
    <n v="729980000"/>
    <n v="2.9507657744047781E-2"/>
    <n v="134"/>
    <s v="0-0.5"/>
    <s v="$0-$50"/>
    <n v="1.3581526861451461E-2"/>
    <s v="Up to $10"/>
    <n v="31.52"/>
    <n v="25536.22"/>
  </r>
  <r>
    <x v="140"/>
    <s v="CRETA"/>
    <x v="136"/>
    <x v="84"/>
    <n v="10490000"/>
    <n v="127050"/>
    <n v="2990000000"/>
    <n v="4.2491638795986624E-5"/>
    <n v="135"/>
    <s v="0-0.5"/>
    <s v="$0-$50"/>
    <n v="3.4594114161564291E-3"/>
    <s v="Up to $10"/>
    <n v="5.84"/>
    <n v="145.86000000000001"/>
  </r>
  <r>
    <x v="141"/>
    <s v="HEI"/>
    <x v="137"/>
    <x v="11"/>
    <n v="10400000"/>
    <n v="10740000"/>
    <n v="81470000"/>
    <n v="0.13182766662575182"/>
    <n v="136"/>
    <s v="0-0.5"/>
    <s v="$0-$50"/>
    <n v="0.12688791732909382"/>
    <s v="Up to $10"/>
    <n v="2.33"/>
    <n v="0.12"/>
  </r>
  <r>
    <x v="142"/>
    <s v="RARE"/>
    <x v="138"/>
    <x v="85"/>
    <n v="10360000"/>
    <n v="11850000"/>
    <n v="825470000"/>
    <n v="1.4355458102656668E-2"/>
    <n v="137"/>
    <s v="0-0.5"/>
    <s v="$0-$50"/>
    <n v="1.2461523185383775E-2"/>
    <s v="Up to $10"/>
    <n v="3.14"/>
    <n v="3.26"/>
  </r>
  <r>
    <x v="143"/>
    <s v="ARIA"/>
    <x v="139"/>
    <x v="62"/>
    <n v="10300000"/>
    <n v="703790"/>
    <n v="359110000"/>
    <n v="1.9598173261674698E-3"/>
    <n v="138"/>
    <s v="0-0.5"/>
    <s v="$0-$50"/>
    <n v="2.8584238318222575E-2"/>
    <s v="Up to $10"/>
    <n v="0.08"/>
    <n v="9.0399999999999991"/>
  </r>
  <r>
    <x v="144"/>
    <s v="MIM"/>
    <x v="140"/>
    <x v="86"/>
    <n v="10290000"/>
    <n v="37780"/>
    <n v="21000000000"/>
    <n v="1.799047619047619E-6"/>
    <n v="139"/>
    <s v="0-0.5"/>
    <s v="$0-$50"/>
    <n v="4.5362828582006664E-4"/>
    <s v="Up to $10"/>
    <n v="35.24"/>
    <n v="123.75"/>
  </r>
  <r>
    <x v="145"/>
    <s v="QUID"/>
    <x v="141"/>
    <x v="73"/>
    <n v="10260000"/>
    <n v="6240000"/>
    <n v="143150000"/>
    <n v="4.3590639189661197E-2"/>
    <n v="140"/>
    <s v="0-0.5"/>
    <s v="$0-$50"/>
    <n v="7.1181899374813937E-2"/>
    <s v="Up to $10"/>
    <n v="2.19"/>
    <n v="12.68"/>
  </r>
  <r>
    <x v="146"/>
    <s v="TGC"/>
    <x v="142"/>
    <x v="77"/>
    <n v="10260000"/>
    <n v="30710"/>
    <n v="76390000"/>
    <n v="4.0201597067679017E-4"/>
    <n v="140"/>
    <s v="0-0.5"/>
    <s v="$0-$50"/>
    <n v="0.13378459088194306"/>
    <s v="Up to $10"/>
    <n v="1.97"/>
    <n v="4.4800000000000004"/>
  </r>
  <r>
    <x v="147"/>
    <s v="ACT"/>
    <x v="143"/>
    <x v="14"/>
    <n v="10240000"/>
    <n v="15020000"/>
    <n v="948230000"/>
    <n v="1.5840038809149679E-2"/>
    <n v="142"/>
    <s v="0-0.5"/>
    <s v="$0-$50"/>
    <n v="1.0661001877284852E-2"/>
    <s v="Up to $10"/>
    <n v="0.41"/>
    <n v="7.74"/>
  </r>
  <r>
    <x v="148"/>
    <s v="WALLET"/>
    <x v="144"/>
    <x v="87"/>
    <n v="10190000"/>
    <n v="51030"/>
    <n v="723870000"/>
    <n v="7.0496083550913838E-5"/>
    <n v="143"/>
    <s v="0-0.5"/>
    <s v="$0-$50"/>
    <n v="1.3639445897510415E-2"/>
    <s v="Up to $10"/>
    <n v="13.52"/>
    <n v="12.62"/>
  </r>
  <r>
    <x v="149"/>
    <s v="GUN"/>
    <x v="145"/>
    <x v="88"/>
    <n v="10170000"/>
    <n v="4590000"/>
    <n v="3120000000"/>
    <n v="1.4711538461538462E-3"/>
    <n v="144"/>
    <s v="0-0.5"/>
    <s v="$0-$50"/>
    <n v="3.2362008950770757E-3"/>
    <s v="Up to $10"/>
    <n v="3.89"/>
    <n v="9.7799999999999994"/>
  </r>
  <r>
    <x v="150"/>
    <s v="ANYONE"/>
    <x v="146"/>
    <x v="54"/>
    <n v="8490000"/>
    <n v="156610"/>
    <n v="97490000"/>
    <n v="1.6064211714021952E-3"/>
    <n v="145"/>
    <s v="0-0.5"/>
    <s v="$0-$50"/>
    <n v="8.6886717191862792E-2"/>
    <s v="Up to $10"/>
    <n v="2.78"/>
    <n v="72.92"/>
  </r>
  <r>
    <x v="151"/>
    <s v="PYTHIA"/>
    <x v="147"/>
    <x v="89"/>
    <n v="8480000"/>
    <n v="164380"/>
    <n v="998150000"/>
    <n v="1.6468466663327154E-4"/>
    <n v="146"/>
    <s v="0-0.5"/>
    <s v="$0-$50"/>
    <n v="8.2684824902723737E-3"/>
    <s v="Up to $10"/>
    <n v="0.08"/>
    <n v="2.4900000000000002"/>
  </r>
  <r>
    <x v="152"/>
    <s v="BAL"/>
    <x v="148"/>
    <x v="13"/>
    <n v="8440000"/>
    <n v="242150"/>
    <n v="69780000"/>
    <n v="3.4701920321008883E-3"/>
    <n v="147"/>
    <s v="0-0.5"/>
    <s v="Above $50"/>
    <n v="0.12092744353387967"/>
    <s v="&gt;= $10"/>
    <n v="0.81"/>
    <n v="14.93"/>
  </r>
  <r>
    <x v="153"/>
    <s v="PSG"/>
    <x v="149"/>
    <x v="78"/>
    <n v="8420000"/>
    <n v="2750000"/>
    <n v="16830000"/>
    <n v="0.16339869281045752"/>
    <n v="148"/>
    <s v="0-0.5"/>
    <s v="$0-$50"/>
    <n v="0.49935097353969043"/>
    <s v="Up to $10"/>
    <n v="0.81"/>
    <n v="8.59"/>
  </r>
  <r>
    <x v="154"/>
    <s v="METAX"/>
    <x v="150"/>
    <x v="26"/>
    <s v="8380000.000000001"/>
    <n v="4830000"/>
    <n v="14890"/>
    <n v="324.37877770315646"/>
    <e v="#N/A"/>
    <s v="0-0.5"/>
    <s v="$0-$50"/>
    <n v="562.51499400239902"/>
    <s v="Up to $10"/>
    <n v="2.02"/>
    <n v="0.67"/>
  </r>
  <r>
    <x v="155"/>
    <s v="TOWNS"/>
    <x v="151"/>
    <x v="11"/>
    <n v="8350000"/>
    <n v="3000000"/>
    <n v="3400000000"/>
    <n v="8.8235294117647062E-4"/>
    <n v="149"/>
    <s v="0-0.5"/>
    <s v="Above $50"/>
    <n v="2.4413751987281398E-3"/>
    <s v="&gt;= $10"/>
    <n v="0.82"/>
    <n v="9.6"/>
  </r>
  <r>
    <x v="156"/>
    <s v="GRS"/>
    <x v="152"/>
    <x v="6"/>
    <s v="8300000.000000001"/>
    <m/>
    <n v="90750000"/>
    <n v="0"/>
    <e v="#N/A"/>
    <s v="0-0.5"/>
    <s v="$0-$50"/>
    <n v="9.1539999999999996E-2"/>
    <s v="Up to $10"/>
    <n v="0"/>
    <n v="0"/>
  </r>
  <r>
    <x v="157"/>
    <s v="AAPLon"/>
    <x v="153"/>
    <x v="65"/>
    <s v="8300000.000000001"/>
    <n v="3080000"/>
    <n v="26750"/>
    <n v="115.14018691588785"/>
    <e v="#N/A"/>
    <s v="0-0.5"/>
    <s v="$0-$50"/>
    <n v="310.19980019980022"/>
    <s v="Up to $10"/>
    <n v="0.02"/>
    <n v="1.28"/>
  </r>
  <r>
    <x v="158"/>
    <s v="PRIME"/>
    <x v="154"/>
    <x v="4"/>
    <s v="8289999.999999999"/>
    <n v="304090"/>
    <n v="35770000"/>
    <n v="8.5012580374615593E-3"/>
    <e v="#N/A"/>
    <s v="0-0.5"/>
    <s v="$0-$50"/>
    <n v="0.23074626865671644"/>
    <s v="Up to $10"/>
    <n v="0.21"/>
    <n v="0.17"/>
  </r>
  <r>
    <x v="159"/>
    <s v="PPC"/>
    <x v="155"/>
    <x v="45"/>
    <s v="8279999.999999999"/>
    <n v="1090"/>
    <n v="30380000"/>
    <n v="3.5878867676102697E-5"/>
    <e v="#N/A"/>
    <s v="0-0.5"/>
    <s v="Above $50"/>
    <n v="0.27231875374475734"/>
    <s v="&gt;= $10"/>
    <n v="0.41"/>
    <n v="22.09"/>
  </r>
  <r>
    <x v="160"/>
    <s v="RSC"/>
    <x v="156"/>
    <x v="8"/>
    <s v="8279999.999999999"/>
    <n v="246480"/>
    <s v="129550000.00000001"/>
    <n v="1.9025858741798533E-3"/>
    <e v="#N/A"/>
    <s v="0-0.5"/>
    <s v="$0-$50"/>
    <n v="6.3890832750174945E-2"/>
    <s v="Up to $10"/>
    <n v="0.13"/>
    <n v="8.32"/>
  </r>
  <r>
    <x v="161"/>
    <s v="NBISB"/>
    <x v="157"/>
    <x v="90"/>
    <n v="8250000"/>
    <n v="5120000"/>
    <n v="38040"/>
    <n v="134.59516298633017"/>
    <n v="150"/>
    <s v="0-0.5"/>
    <s v="$0-$50"/>
    <n v="216.51366992616246"/>
    <s v="Up to $10"/>
    <n v="2.96"/>
    <n v="18.64"/>
  </r>
  <r>
    <x v="162"/>
    <s v="SD"/>
    <x v="158"/>
    <x v="71"/>
    <s v="8220000.000000001"/>
    <n v="1090000"/>
    <n v="70750000"/>
    <n v="1.5406360424028268E-2"/>
    <e v="#N/A"/>
    <s v="0-0.5"/>
    <s v="$0-$50"/>
    <n v="0.11604913612304003"/>
    <s v="Up to $10"/>
    <n v="4.1900000000000004"/>
    <n v="24.31"/>
  </r>
  <r>
    <x v="163"/>
    <s v="ARTX"/>
    <x v="159"/>
    <x v="91"/>
    <s v="8220000.000000001"/>
    <n v="778160"/>
    <n v="75750000"/>
    <n v="1.0272739273927392E-2"/>
    <e v="#N/A"/>
    <s v="0-0.5"/>
    <s v="$0-$50"/>
    <n v="0.10806772908366534"/>
    <s v="Up to $10"/>
    <n v="5.03"/>
    <n v="37.49"/>
  </r>
  <r>
    <x v="164"/>
    <s v="SURE"/>
    <x v="160"/>
    <x v="92"/>
    <s v="8199999.999999999"/>
    <n v="54.96"/>
    <n v="26790000000"/>
    <n v="2.051511758118701E-9"/>
    <e v="#N/A"/>
    <s v="0-0.5"/>
    <s v="$0-$50"/>
    <n v="3.0091364574123195E-4"/>
    <s v="Up to $10"/>
    <n v="1.94"/>
    <n v="60.78"/>
  </r>
  <r>
    <x v="165"/>
    <s v="BRISE"/>
    <x v="161"/>
    <x v="57"/>
    <n v="6580000"/>
    <n v="200070"/>
    <s v="395690000000000.0"/>
    <n v="5.0562308878162197E-10"/>
    <n v="151"/>
    <s v="0-0.5"/>
    <s v="$0-$50"/>
    <n v="7.1585256218160018E-2"/>
    <s v="Up to $10"/>
    <n v="3.1"/>
    <n v="22.36"/>
  </r>
  <r>
    <x v="166"/>
    <s v="MNSRY"/>
    <x v="162"/>
    <x v="93"/>
    <n v="6530000"/>
    <n v="295930"/>
    <n v="899980000"/>
    <n v="3.2881841818707084E-4"/>
    <n v="152"/>
    <s v="0-0.5"/>
    <s v="$0-$50"/>
    <n v="7.2361208013555257E-3"/>
    <s v="Up to $10"/>
    <n v="2.35"/>
    <n v="8.6999999999999993"/>
  </r>
  <r>
    <x v="167"/>
    <s v="WRX"/>
    <x v="163"/>
    <x v="94"/>
    <n v="6510000"/>
    <n v="18640"/>
    <n v="381850000"/>
    <n v="4.881497970407228E-5"/>
    <n v="153"/>
    <s v="0-0.5"/>
    <s v="$0-$50"/>
    <n v="1.7018943170488535E-2"/>
    <s v="Up to $10"/>
    <n v="1.52"/>
    <n v="23.06"/>
  </r>
  <r>
    <x v="168"/>
    <s v="SUPRA"/>
    <x v="164"/>
    <x v="71"/>
    <n v="6500000"/>
    <n v="441840"/>
    <s v="33619999999.999996"/>
    <n v="1.3142177275431329E-5"/>
    <n v="154"/>
    <s v="0-0.5"/>
    <s v="$0-$50"/>
    <n v="1.9304903625287127E-4"/>
    <s v="Up to $10"/>
    <n v="3.45"/>
    <n v="6.16"/>
  </r>
  <r>
    <x v="169"/>
    <s v="MCDULL"/>
    <x v="165"/>
    <x v="6"/>
    <n v="6480000"/>
    <m/>
    <s v="7550000000000.0"/>
    <n v="0"/>
    <n v="155"/>
    <s v="0-0.5"/>
    <s v="$0-$50"/>
    <n v="6.8585999999999994E-2"/>
    <s v="Up to $10"/>
    <n v="3.16"/>
    <n v="27.78"/>
  </r>
  <r>
    <x v="170"/>
    <s v="EDEL"/>
    <x v="166"/>
    <x v="95"/>
    <n v="6470000"/>
    <n v="1650000"/>
    <n v="621500000"/>
    <n v="2.6548672566371681E-3"/>
    <n v="156"/>
    <s v="0-0.5"/>
    <s v="$0-$50"/>
    <n v="1.030795128230518E-2"/>
    <s v="Up to $10"/>
    <n v="19.920000000000002"/>
    <n v="35.950000000000003"/>
  </r>
  <r>
    <x v="171"/>
    <s v="AVICI"/>
    <x v="167"/>
    <x v="96"/>
    <n v="6450000"/>
    <n v="492610"/>
    <n v="12890000"/>
    <n v="3.8216446858029482E-2"/>
    <n v="157"/>
    <s v="0-0.5"/>
    <s v="$0-$50"/>
    <n v="0.49618396273168808"/>
    <s v="Up to $10"/>
    <n v="0.31"/>
    <n v="15.52"/>
  </r>
  <r>
    <x v="172"/>
    <s v="ELA"/>
    <x v="168"/>
    <x v="8"/>
    <n v="6440000"/>
    <n v="158690"/>
    <n v="23080000"/>
    <n v="6.8756499133448877E-3"/>
    <n v="158"/>
    <s v="0-0.5"/>
    <s v="Above $50"/>
    <n v="0.27891632510246928"/>
    <s v="&gt;= $10"/>
    <n v="1.38"/>
    <n v="9.3000000000000007"/>
  </r>
  <r>
    <x v="173"/>
    <s v="PTB"/>
    <x v="169"/>
    <x v="97"/>
    <n v="6440000"/>
    <n v="1920000"/>
    <s v="8109999999.999999"/>
    <n v="2.3674475955610385E-4"/>
    <n v="158"/>
    <s v="0-0.5"/>
    <s v="$0-$50"/>
    <n v="7.8085964394610018E-4"/>
    <s v="Up to $10"/>
    <n v="8.4"/>
    <n v="6.62"/>
  </r>
  <r>
    <x v="174"/>
    <s v="MU"/>
    <x v="170"/>
    <x v="62"/>
    <n v="6440000"/>
    <n v="1540000"/>
    <n v="6950"/>
    <n v="221.58273381294964"/>
    <n v="158"/>
    <s v="0-0.5"/>
    <s v="$0-$50"/>
    <n v="923.00488193683361"/>
    <s v="Up to $10"/>
    <n v="1"/>
    <n v="5.63"/>
  </r>
  <r>
    <x v="175"/>
    <s v="MBX"/>
    <x v="171"/>
    <x v="33"/>
    <n v="6400000"/>
    <n v="795250"/>
    <n v="278120000"/>
    <n v="2.8593772472314109E-3"/>
    <n v="161"/>
    <s v="0-0.5"/>
    <s v="$0-$50"/>
    <n v="2.3019282645618946E-2"/>
    <s v="Up to $10"/>
    <n v="0.43"/>
    <n v="12.37"/>
  </r>
  <r>
    <x v="176"/>
    <s v="EL"/>
    <x v="172"/>
    <x v="98"/>
    <n v="6380000"/>
    <n v="431220"/>
    <n v="5100000000"/>
    <n v="8.4552941176470594E-5"/>
    <n v="162"/>
    <s v="0-0.5"/>
    <s v="$0-$50"/>
    <n v="1.1907029910459134E-3"/>
    <s v="Up to $10"/>
    <n v="5.72"/>
    <n v="19.489999999999998"/>
  </r>
  <r>
    <x v="177"/>
    <s v="NAVX"/>
    <x v="173"/>
    <x v="99"/>
    <n v="6360000"/>
    <n v="370990"/>
    <n v="816160000"/>
    <n v="4.5455547931778082E-4"/>
    <n v="163"/>
    <s v="0-0.5"/>
    <s v="$0-$50"/>
    <n v="7.7139182906321106E-3"/>
    <s v="Up to $10"/>
    <n v="1.35"/>
    <n v="12"/>
  </r>
  <r>
    <x v="178"/>
    <s v="PAYAI"/>
    <x v="174"/>
    <x v="70"/>
    <n v="6360000"/>
    <n v="808880"/>
    <n v="999940000"/>
    <n v="8.0892853571214271E-4"/>
    <n v="163"/>
    <s v="0-0.5"/>
    <s v="$0-$50"/>
    <n v="6.3244210317065898E-3"/>
    <s v="Up to $10"/>
    <n v="11.74"/>
    <n v="63.34"/>
  </r>
  <r>
    <x v="179"/>
    <s v="DNT"/>
    <x v="175"/>
    <x v="0"/>
    <n v="6340000"/>
    <n v="12990"/>
    <n v="1000000000"/>
    <n v="1.2989999999999999E-5"/>
    <n v="165"/>
    <s v="0-0.5"/>
    <s v="$0-$50"/>
    <n v="6.3405616068751879E-3"/>
    <s v="Up to $10"/>
    <n v="13.24"/>
    <n v="24.42"/>
  </r>
  <r>
    <x v="180"/>
    <s v="PUPS"/>
    <x v="176"/>
    <x v="100"/>
    <n v="5300000"/>
    <n v="182130"/>
    <n v="968440000"/>
    <n v="1.8806534219982654E-4"/>
    <n v="167"/>
    <s v="0-0.5"/>
    <s v="$0-$50"/>
    <n v="5.2468129972203584E-3"/>
    <s v="Up to $10"/>
    <n v="57.04"/>
    <n v="163.86"/>
  </r>
  <r>
    <x v="181"/>
    <s v="MPC"/>
    <x v="177"/>
    <x v="69"/>
    <n v="5290000"/>
    <n v="2420"/>
    <n v="506920000"/>
    <n v="4.7739288250611532E-6"/>
    <n v="168"/>
    <s v="0-0.5"/>
    <s v="$0-$50"/>
    <n v="1.0403587443946188E-2"/>
    <s v="Up to $10"/>
    <n v="0.3"/>
    <n v="4.76"/>
  </r>
  <r>
    <x v="182"/>
    <s v="JUV"/>
    <x v="178"/>
    <x v="30"/>
    <n v="5260000"/>
    <n v="2430000"/>
    <n v="16040000"/>
    <n v="0.15149625935162095"/>
    <n v="169"/>
    <s v="0-0.5"/>
    <s v="$0-$50"/>
    <n v="0.3282343531293741"/>
    <s v="Up to $10"/>
    <n v="1.6"/>
    <n v="12.07"/>
  </r>
  <r>
    <x v="183"/>
    <s v="AMO"/>
    <x v="179"/>
    <x v="90"/>
    <n v="5240000"/>
    <n v="31020"/>
    <n v="21200000000"/>
    <n v="1.4632075471698112E-6"/>
    <n v="170"/>
    <s v="0-0.5"/>
    <s v="$0-$50"/>
    <n v="2.4675713430453002E-4"/>
    <s v="Up to $10"/>
    <n v="3.72"/>
    <n v="19.149999999999999"/>
  </r>
  <r>
    <x v="184"/>
    <s v="LAZIO"/>
    <x v="180"/>
    <x v="65"/>
    <n v="5210000"/>
    <n v="1460000"/>
    <n v="13170000"/>
    <n v="0.1108580106302202"/>
    <n v="171"/>
    <s v="0-0.5"/>
    <s v="$0-$50"/>
    <n v="0.39560439560439564"/>
    <s v="Up to $10"/>
    <n v="2.46"/>
    <n v="17.47"/>
  </r>
  <r>
    <x v="185"/>
    <s v="FAR"/>
    <x v="181"/>
    <x v="3"/>
    <n v="5210000"/>
    <n v="47790"/>
    <n v="4830000000"/>
    <n v="9.8944099378881992E-6"/>
    <n v="171"/>
    <s v="0-0.5"/>
    <s v="$0-$50"/>
    <n v="1.0788921107889211E-3"/>
    <s v="Up to $10"/>
    <n v="0.32"/>
    <n v="13.64"/>
  </r>
  <r>
    <x v="186"/>
    <s v="CITY"/>
    <x v="182"/>
    <x v="20"/>
    <n v="5180000"/>
    <n v="1690000"/>
    <n v="13930000"/>
    <n v="0.12132089016511127"/>
    <n v="173"/>
    <s v="0-0.5"/>
    <s v="Above $50"/>
    <n v="0.37170263788968827"/>
    <s v="&gt;= $10"/>
    <n v="0.4"/>
    <n v="8.48"/>
  </r>
  <r>
    <x v="187"/>
    <s v="RHEA"/>
    <x v="183"/>
    <x v="90"/>
    <n v="5160000"/>
    <n v="334040"/>
    <n v="384340000"/>
    <n v="8.6912629442680955E-4"/>
    <n v="174"/>
    <s v="0-0.5"/>
    <s v="$0-$50"/>
    <n v="1.3400518858511274E-2"/>
    <s v="Up to $10"/>
    <n v="2.68"/>
    <n v="19.059999999999999"/>
  </r>
  <r>
    <x v="188"/>
    <s v="BCN"/>
    <x v="184"/>
    <x v="3"/>
    <n v="5150000"/>
    <n v="0.78369999999999995"/>
    <s v="1.8406E+11"/>
    <n v="4.2578507008584156E-12"/>
    <n v="175"/>
    <s v="0-0.5"/>
    <s v="$0-$50"/>
    <n v="2.7977202279772024E-5"/>
    <s v="Up to $10"/>
    <n v="0.02"/>
    <n v="0.06"/>
  </r>
  <r>
    <x v="189"/>
    <s v="MDT"/>
    <x v="185"/>
    <x v="101"/>
    <n v="5120000"/>
    <n v="4930000"/>
    <n v="676150000"/>
    <n v="7.2912815203726982E-3"/>
    <n v="178"/>
    <s v="0-0.5"/>
    <s v="$0-$50"/>
    <n v="6.3393006525012544E-3"/>
    <s v="Up to $10"/>
    <n v="150.69"/>
    <n v="176"/>
  </r>
  <r>
    <x v="190"/>
    <s v="KRL"/>
    <x v="186"/>
    <x v="6"/>
    <n v="5140000"/>
    <n v="100600"/>
    <n v="39900000"/>
    <n v="2.5213032581453635E-3"/>
    <n v="176"/>
    <s v="0-0.5"/>
    <s v="$0-$50"/>
    <n v="0.1288"/>
    <s v="Up to $10"/>
    <n v="1.63"/>
    <n v="5.25"/>
  </r>
  <r>
    <x v="191"/>
    <s v="LINGO"/>
    <x v="187"/>
    <x v="13"/>
    <n v="5130000"/>
    <n v="153700"/>
    <n v="486200000"/>
    <n v="3.1612505141916905E-4"/>
    <n v="177"/>
    <s v="0-0.5"/>
    <s v="Above $50"/>
    <n v="1.0543673795722568E-2"/>
    <s v="&gt;= $10"/>
    <n v="0.98"/>
    <n v="24.77"/>
  </r>
  <r>
    <x v="192"/>
    <s v="P"/>
    <x v="188"/>
    <x v="13"/>
    <n v="5100000"/>
    <n v="250180"/>
    <n v="140000000"/>
    <n v="1.787E-3"/>
    <n v="179"/>
    <s v="0-0.5"/>
    <s v="$0-$50"/>
    <n v="3.6428143114131527E-2"/>
    <s v="Up to $10"/>
    <n v="5.8"/>
    <n v="19.93"/>
  </r>
  <r>
    <x v="193"/>
    <s v="SOXLx"/>
    <x v="189"/>
    <x v="102"/>
    <n v="5090000"/>
    <n v="5290000"/>
    <n v="43890"/>
    <n v="120.52859421280473"/>
    <n v="180"/>
    <s v="0-0.5"/>
    <s v="$0-$50"/>
    <n v="115.20444620881301"/>
    <s v="Up to $10"/>
    <n v="1.68"/>
    <n v="20.34"/>
  </r>
  <r>
    <x v="194"/>
    <s v="MITO"/>
    <x v="190"/>
    <x v="55"/>
    <n v="5090000"/>
    <n v="5910000"/>
    <n v="181270000"/>
    <n v="3.2603298946323162E-2"/>
    <n v="180"/>
    <s v="0-0.5"/>
    <s v="$0-$50"/>
    <n v="2.7947467913640431E-2"/>
    <s v="Up to $10"/>
    <n v="0.46"/>
    <n v="10.35"/>
  </r>
  <r>
    <x v="195"/>
    <s v="TRUU"/>
    <x v="191"/>
    <x v="103"/>
    <n v="4050000"/>
    <n v="99160"/>
    <n v="12140000000"/>
    <n v="8.1680395387149911E-6"/>
    <n v="182"/>
    <s v="0-0.5"/>
    <s v="$0-$50"/>
    <n v="3.2835233975619341E-4"/>
    <s v="Up to $10"/>
    <n v="4.3600000000000003"/>
    <n v="17.79"/>
  </r>
  <r>
    <x v="196"/>
    <s v="AFC"/>
    <x v="192"/>
    <x v="71"/>
    <n v="4050000"/>
    <n v="345800"/>
    <n v="23610000"/>
    <n v="1.4646336298178738E-2"/>
    <n v="182"/>
    <s v="0-0.5"/>
    <s v="$0-$50"/>
    <n v="0.17127733945870369"/>
    <s v="Up to $10"/>
    <n v="0.13"/>
    <n v="4.21"/>
  </r>
  <r>
    <x v="197"/>
    <s v="HOPR"/>
    <x v="193"/>
    <x v="6"/>
    <n v="3990000"/>
    <n v="35260"/>
    <n v="341170000"/>
    <n v="1.0335023595275083E-4"/>
    <n v="184"/>
    <s v="0-0.5"/>
    <s v="$0-$50"/>
    <n v="1.1690000000000001E-2"/>
    <s v="Up to $10"/>
    <n v="4.29"/>
    <n v="7.06"/>
  </r>
  <r>
    <x v="198"/>
    <s v="???"/>
    <x v="194"/>
    <x v="104"/>
    <n v="3960000"/>
    <n v="205710"/>
    <n v="1000000000"/>
    <n v="2.0571000000000001E-4"/>
    <n v="185"/>
    <s v="0-0.5"/>
    <s v="Above $50"/>
    <n v="3.948416650069707E-3"/>
    <s v="&gt;= $10"/>
    <n v="3.8"/>
    <n v="0.61"/>
  </r>
  <r>
    <x v="199"/>
    <s v="HONEY"/>
    <x v="195"/>
    <x v="105"/>
    <n v="3950000"/>
    <n v="115140"/>
    <n v="6100000000"/>
    <n v="1.8875409836065575E-5"/>
    <n v="186"/>
    <s v="0-0.5"/>
    <s v="$0-$50"/>
    <n v="6.3873829472646635E-4"/>
    <s v="Up to $10"/>
    <n v="3.77"/>
    <n v="15.26"/>
  </r>
  <r>
    <x v="200"/>
    <s v="AMDx"/>
    <x v="196"/>
    <x v="1"/>
    <n v="3950000"/>
    <n v="443810"/>
    <n v="8560"/>
    <n v="51.846962616822431"/>
    <n v="186"/>
    <s v="0-0.5"/>
    <s v="$0-$50"/>
    <n v="461.40946296665999"/>
    <s v="Up to $10"/>
    <n v="0.33"/>
    <n v="7.55"/>
  </r>
  <r>
    <x v="201"/>
    <s v="VITA"/>
    <x v="197"/>
    <x v="60"/>
    <n v="3940000"/>
    <n v="1280"/>
    <n v="14460000"/>
    <n v="8.8520055325034579E-5"/>
    <n v="188"/>
    <s v="0-0.5"/>
    <s v="$0-$50"/>
    <n v="0.27090367428003975"/>
    <s v="Up to $10"/>
    <n v="3.78"/>
    <n v="46.46"/>
  </r>
  <r>
    <x v="202"/>
    <s v="YEE"/>
    <x v="198"/>
    <x v="106"/>
    <n v="3930000"/>
    <n v="472690"/>
    <n v="1000000000"/>
    <n v="4.7269E-4"/>
    <n v="189"/>
    <s v="0-0.5"/>
    <s v="$0-$50"/>
    <n v="3.9197530864197539E-3"/>
    <s v="Up to $10"/>
    <n v="3.71"/>
    <n v="44.81"/>
  </r>
  <r>
    <x v="203"/>
    <s v="WEXO"/>
    <x v="199"/>
    <x v="107"/>
    <n v="3930000"/>
    <n v="94600"/>
    <n v="293190000"/>
    <n v="3.2265766226678943E-4"/>
    <n v="189"/>
    <s v="0-0.5"/>
    <s v="$0-$50"/>
    <n v="1.3136755485893417E-2"/>
    <s v="Up to $10"/>
    <n v="0.01"/>
    <n v="3.67"/>
  </r>
  <r>
    <x v="204"/>
    <s v="LAT"/>
    <x v="200"/>
    <x v="75"/>
    <n v="3920000"/>
    <n v="1260000"/>
    <n v="6970000000"/>
    <n v="1.8077474892395982E-4"/>
    <n v="191"/>
    <s v="0-0.5"/>
    <s v="$0-$50"/>
    <n v="5.6173270785507534E-4"/>
    <s v="Up to $10"/>
    <n v="5.44"/>
    <n v="9.39"/>
  </r>
  <r>
    <x v="205"/>
    <s v="SWAP"/>
    <x v="201"/>
    <x v="47"/>
    <n v="3910000"/>
    <n v="183400"/>
    <n v="99990000"/>
    <n v="1.8341834183418341E-3"/>
    <n v="192"/>
    <s v="0-0.5"/>
    <s v="$0-$50"/>
    <n v="3.9087915377706818E-2"/>
    <s v="Up to $10"/>
    <n v="0.81"/>
    <n v="20.39"/>
  </r>
  <r>
    <x v="206"/>
    <s v="METFI"/>
    <x v="202"/>
    <x v="67"/>
    <n v="3900000"/>
    <n v="3100"/>
    <n v="330540000"/>
    <n v="9.3785926060386043E-6"/>
    <n v="193"/>
    <s v="0-0.5"/>
    <s v="$0-$50"/>
    <n v="1.1804097951024488E-2"/>
    <s v="Up to $10"/>
    <n v="0.72"/>
    <n v="16.39"/>
  </r>
  <r>
    <x v="207"/>
    <s v="VTC"/>
    <x v="203"/>
    <x v="33"/>
    <n v="3890000"/>
    <n v="4900"/>
    <n v="74430000"/>
    <n v="6.5833669219400779E-5"/>
    <n v="194"/>
    <s v="0-0.5"/>
    <s v="$0-$50"/>
    <n v="5.2322909381556607E-2"/>
    <s v="Up to $10"/>
    <n v="3.36"/>
    <n v="23.22"/>
  </r>
  <r>
    <x v="208"/>
    <s v="ANT"/>
    <x v="204"/>
    <x v="6"/>
    <n v="3890000"/>
    <m/>
    <n v="43190000"/>
    <n v="0"/>
    <n v="194"/>
    <s v="0-0.5"/>
    <s v="$0-$50"/>
    <n v="9.0090000000000003E-2"/>
    <s v="Up to $10"/>
    <n v="14.21"/>
    <n v="2.5"/>
  </r>
  <r>
    <x v="209"/>
    <s v="BTR"/>
    <x v="205"/>
    <x v="15"/>
    <n v="3880000"/>
    <n v="525000"/>
    <n v="356400000"/>
    <n v="1.4730639730639731E-3"/>
    <n v="196"/>
    <s v="0-0.5"/>
    <s v="Above $50"/>
    <n v="1.0861124937779991E-2"/>
    <s v="&gt;= $10"/>
    <n v="4.47"/>
    <n v="18.149999999999999"/>
  </r>
  <r>
    <x v="210"/>
    <s v="LOT"/>
    <x v="206"/>
    <x v="108"/>
    <n v="3150000"/>
    <n v="363850"/>
    <n v="491940000"/>
    <n v="7.3962271821766882E-4"/>
    <n v="197"/>
    <s v="0-0.5"/>
    <s v="$0-$50"/>
    <n v="6.3950124688279307E-3"/>
    <s v="Up to $10"/>
    <n v="2.37"/>
    <n v="14.08"/>
  </r>
  <r>
    <x v="211"/>
    <s v="AMDB"/>
    <x v="207"/>
    <x v="47"/>
    <n v="3140000"/>
    <n v="2510000"/>
    <n v="6800"/>
    <n v="369.11764705882354"/>
    <n v="198"/>
    <s v="0-0.5"/>
    <s v="Above $50"/>
    <n v="461.57070152679375"/>
    <s v="&gt;= $10"/>
    <n v="0.2"/>
    <n v="7.4"/>
  </r>
  <r>
    <x v="212"/>
    <s v="GRIN"/>
    <x v="208"/>
    <x v="109"/>
    <n v="3120000"/>
    <n v="1690"/>
    <n v="239380000"/>
    <n v="7.0599047539476983E-6"/>
    <n v="199"/>
    <s v="0-0.5"/>
    <s v="$0-$50"/>
    <n v="1.2509578544061303E-2"/>
    <s v="Up to $10"/>
    <n v="4.5199999999999996"/>
    <n v="0.52"/>
  </r>
  <r>
    <x v="213"/>
    <s v="IJHon"/>
    <x v="209"/>
    <x v="3"/>
    <n v="3120000"/>
    <n v="387310"/>
    <n v="40500"/>
    <n v="9.5632098765432101"/>
    <n v="199"/>
    <s v="0-0.5"/>
    <s v="$0-$50"/>
    <n v="77.062293770622929"/>
    <s v="Up to $10"/>
    <n v="1.22"/>
    <n v="2.08"/>
  </r>
  <r>
    <x v="214"/>
    <s v="ODOS"/>
    <x v="210"/>
    <x v="110"/>
    <n v="3110000"/>
    <n v="280330"/>
    <n v="3740000000"/>
    <n v="7.4954545454545451E-5"/>
    <n v="201"/>
    <s v="0-0.5"/>
    <s v="$0-$50"/>
    <n v="8.2557331480194581E-4"/>
    <s v="Up to $10"/>
    <n v="2.2000000000000002"/>
    <n v="15.43"/>
  </r>
  <r>
    <x v="215"/>
    <s v="GFAL"/>
    <x v="211"/>
    <x v="6"/>
    <n v="3090000"/>
    <m/>
    <n v="4260000000"/>
    <n v="0"/>
    <n v="202"/>
    <s v="0-0.5"/>
    <s v="$0-$50"/>
    <n v="7.2610000000000003E-4"/>
    <s v="Up to $10"/>
    <n v="0.26"/>
    <n v="5.69"/>
  </r>
  <r>
    <x v="216"/>
    <s v="ZTC"/>
    <x v="212"/>
    <x v="15"/>
    <n v="3090000"/>
    <n v="404430"/>
    <n v="5570000000"/>
    <n v="7.2608617594254932E-5"/>
    <n v="202"/>
    <s v="0-0.5"/>
    <s v="$0-$50"/>
    <n v="5.5201592832254849E-4"/>
    <s v="Up to $10"/>
    <n v="0.09"/>
    <n v="1.58"/>
  </r>
  <r>
    <x v="217"/>
    <s v="VANRY"/>
    <x v="213"/>
    <x v="33"/>
    <n v="3060000"/>
    <n v="1150000"/>
    <n v="3800000000"/>
    <n v="3.0263157894736844E-4"/>
    <n v="204"/>
    <s v="0-0.5"/>
    <s v="$0-$50"/>
    <n v="8.0507543211110009E-4"/>
    <s v="Up to $10"/>
    <n v="2.89"/>
    <n v="5.23"/>
  </r>
  <r>
    <x v="218"/>
    <s v="PEIPEI"/>
    <x v="214"/>
    <x v="111"/>
    <n v="3060000"/>
    <n v="44160"/>
    <s v="420680000000000.0"/>
    <n v="1.049729010174004E-10"/>
    <n v="204"/>
    <s v="0-0.5"/>
    <s v="$0-$50"/>
    <n v="8.6052060737527122E-2"/>
    <s v="Up to $10"/>
    <n v="2.56"/>
    <n v="21.99"/>
  </r>
  <r>
    <x v="219"/>
    <s v="POLIS"/>
    <x v="215"/>
    <x v="112"/>
    <n v="3040000"/>
    <n v="35160"/>
    <n v="293470000"/>
    <n v="1.1980781681262139E-4"/>
    <n v="206"/>
    <s v="0-0.5"/>
    <s v="$0-$50"/>
    <n v="1.0220559275305238E-2"/>
    <s v="Up to $10"/>
    <n v="1.9"/>
    <n v="17.12"/>
  </r>
  <r>
    <x v="220"/>
    <s v="ARROW"/>
    <x v="216"/>
    <x v="113"/>
    <n v="3030000"/>
    <n v="1660000"/>
    <n v="9000000"/>
    <n v="0.18444444444444444"/>
    <n v="207"/>
    <s v="0-0.5"/>
    <s v="Above $50"/>
    <n v="0.23217600550017189"/>
    <s v="&gt;= $10"/>
    <n v="23.83"/>
    <n v="93.08"/>
  </r>
  <r>
    <x v="221"/>
    <s v="AVL"/>
    <x v="217"/>
    <x v="114"/>
    <n v="3010000"/>
    <n v="2360000"/>
    <n v="161680000"/>
    <n v="1.4596734289955468E-2"/>
    <n v="208"/>
    <s v="0-0.5"/>
    <s v="$0-$50"/>
    <n v="1.8020280057943022E-2"/>
    <s v="Up to $10"/>
    <n v="2.5099999999999998"/>
    <n v="14.07"/>
  </r>
  <r>
    <x v="222"/>
    <s v="CRTS"/>
    <x v="218"/>
    <x v="81"/>
    <n v="3000000"/>
    <n v="655500"/>
    <n v="63870000000"/>
    <n v="1.0263034288398309E-5"/>
    <n v="209"/>
    <s v="0-0.5"/>
    <s v="$0-$50"/>
    <n v="4.6669970267591677E-5"/>
    <s v="Up to $10"/>
    <n v="3.03"/>
    <n v="20.82"/>
  </r>
  <r>
    <x v="223"/>
    <s v="SHIDO"/>
    <x v="219"/>
    <x v="73"/>
    <n v="3000000"/>
    <n v="51500"/>
    <n v="23690000000"/>
    <n v="2.1739130434782607E-6"/>
    <n v="209"/>
    <s v="0-0.5"/>
    <s v="$0-$50"/>
    <n v="1.2593033640964573E-4"/>
    <s v="Up to $10"/>
    <n v="5.95"/>
    <n v="15.1"/>
  </r>
  <r>
    <x v="224"/>
    <s v="BILLY"/>
    <x v="220"/>
    <x v="115"/>
    <n v="3000000"/>
    <n v="119080"/>
    <n v="1000000000"/>
    <n v="1.1908000000000001E-4"/>
    <n v="209"/>
    <s v="0-0.5"/>
    <s v="$0-$50"/>
    <n v="2.7395510129585689E-3"/>
    <s v="&gt;= $10"/>
    <n v="111.97"/>
    <n v="179.93"/>
  </r>
  <r>
    <x v="225"/>
    <s v="AZERO"/>
    <x v="221"/>
    <x v="116"/>
    <n v="2450000"/>
    <n v="157920"/>
    <s v="266769999.99999997"/>
    <n v="5.9197061138808939E-4"/>
    <n v="212"/>
    <s v="0-0.5"/>
    <s v="$0-$50"/>
    <n v="8.7002175763882337E-3"/>
    <s v="Up to $10"/>
    <n v="1.82"/>
    <n v="10.119999999999999"/>
  </r>
  <r>
    <x v="226"/>
    <s v="NVOon"/>
    <x v="222"/>
    <x v="29"/>
    <n v="2440000"/>
    <n v="1440000"/>
    <n v="50850"/>
    <n v="28.318584070796462"/>
    <n v="213"/>
    <s v="0-0.5"/>
    <s v="$0-$50"/>
    <n v="47.95409181636726"/>
    <s v="Up to $10"/>
    <n v="0.56000000000000005"/>
    <n v="5.01"/>
  </r>
  <r>
    <x v="227"/>
    <s v="IMU"/>
    <x v="223"/>
    <x v="117"/>
    <n v="2420000"/>
    <n v="459410"/>
    <n v="1040000000"/>
    <n v="4.4174038461538461E-4"/>
    <n v="214"/>
    <s v="0-0.5"/>
    <s v="$0-$50"/>
    <n v="2.2720581018745704E-3"/>
    <s v="Up to $10"/>
    <n v="0.57999999999999996"/>
    <n v="4.2300000000000004"/>
  </r>
  <r>
    <x v="228"/>
    <s v="PX"/>
    <x v="224"/>
    <x v="118"/>
    <n v="2420000"/>
    <n v="11360"/>
    <n v="195420000"/>
    <n v="5.8131204584996421E-5"/>
    <n v="214"/>
    <s v="0-0.5"/>
    <s v="Above $50"/>
    <n v="1.2039646292877272E-2"/>
    <s v="&gt;= $10"/>
    <n v="5.4"/>
    <n v="12.13"/>
  </r>
  <r>
    <x v="229"/>
    <s v="WOD"/>
    <x v="225"/>
    <x v="119"/>
    <n v="2400000"/>
    <n v="956950"/>
    <n v="584760000"/>
    <n v="1.636483343593953E-3"/>
    <n v="217"/>
    <s v="0-0.5"/>
    <s v="Above $50"/>
    <n v="3.9741112828438948E-3"/>
    <s v="&gt;= $10"/>
    <n v="3.22"/>
    <n v="0.33"/>
  </r>
  <r>
    <x v="230"/>
    <s v="rDRAM"/>
    <x v="226"/>
    <x v="0"/>
    <n v="2410000"/>
    <n v="180860"/>
    <n v="43380"/>
    <n v="4.1692023974181653"/>
    <n v="216"/>
    <s v="0-0.5"/>
    <s v="$0-$50"/>
    <n v="55.58109323473569"/>
    <s v="Up to $10"/>
    <n v="0.2"/>
    <n v="4.3899999999999997"/>
  </r>
  <r>
    <x v="231"/>
    <s v="ORCLX"/>
    <x v="227"/>
    <x v="3"/>
    <n v="2400000"/>
    <n v="330500"/>
    <n v="16780"/>
    <n v="19.696066746126341"/>
    <n v="217"/>
    <s v="0-0.5"/>
    <s v="$0-$50"/>
    <n v="143.52564743525647"/>
    <s v="Up to $10"/>
    <n v="1.02"/>
    <n v="0.06"/>
  </r>
  <r>
    <x v="232"/>
    <s v="MYTH"/>
    <x v="228"/>
    <x v="3"/>
    <n v="2400000"/>
    <n v="24.15"/>
    <n v="862520000"/>
    <n v="2.7999350739692992E-8"/>
    <n v="217"/>
    <s v="0-0.5"/>
    <s v="$0-$50"/>
    <n v="2.7897210278972104E-3"/>
    <s v="Up to $10"/>
    <n v="0.4"/>
    <n v="16.2"/>
  </r>
  <r>
    <x v="233"/>
    <s v="VAL"/>
    <x v="229"/>
    <x v="47"/>
    <n v="2390000"/>
    <n v="16850"/>
    <n v="5100000"/>
    <n v="3.3039215686274511E-3"/>
    <n v="220"/>
    <s v="0-0.5"/>
    <s v="$0-$50"/>
    <n v="0.4686159065961481"/>
    <s v="Up to $10"/>
    <n v="4.57"/>
    <n v="7.07"/>
  </r>
  <r>
    <x v="234"/>
    <s v="ALEPH"/>
    <x v="230"/>
    <x v="96"/>
    <n v="2380000"/>
    <n v="166310"/>
    <n v="247220000"/>
    <n v="6.7272065366879707E-4"/>
    <n v="221"/>
    <s v="0-0.5"/>
    <s v="$0-$50"/>
    <n v="9.5807314897413034E-3"/>
    <s v="Up to $10"/>
    <n v="5.45"/>
    <n v="3.01"/>
  </r>
  <r>
    <x v="235"/>
    <s v="RUSSELL"/>
    <x v="231"/>
    <x v="120"/>
    <n v="2380000"/>
    <n v="176220"/>
    <n v="970980000"/>
    <n v="1.8148674535005871E-4"/>
    <n v="221"/>
    <s v="0-0.5"/>
    <s v="$0-$50"/>
    <n v="2.3359330416587408E-3"/>
    <s v="Up to $10"/>
    <n v="13.93"/>
    <n v="33.57"/>
  </r>
  <r>
    <x v="236"/>
    <s v="ZEUS"/>
    <x v="232"/>
    <x v="65"/>
    <n v="2380000"/>
    <n v="1850000"/>
    <n v="931390000"/>
    <n v="1.986278572885687E-3"/>
    <n v="221"/>
    <s v="0-0.5"/>
    <s v="$0-$50"/>
    <n v="2.5554445554445558E-3"/>
    <s v="Up to $10"/>
    <n v="2.73"/>
    <n v="13.51"/>
  </r>
  <r>
    <x v="237"/>
    <s v="CEEK"/>
    <x v="233"/>
    <x v="121"/>
    <n v="2370000"/>
    <n v="61210"/>
    <n v="805710000"/>
    <n v="7.5970262253168013E-5"/>
    <n v="224"/>
    <s v="0-0.5"/>
    <s v="$0-$50"/>
    <n v="2.9109555270683367E-3"/>
    <s v="Up to $10"/>
    <n v="2.63"/>
    <n v="13.99"/>
  </r>
  <r>
    <x v="238"/>
    <s v="OFC"/>
    <x v="234"/>
    <x v="10"/>
    <n v="2370000"/>
    <n v="848100"/>
    <n v="264930000"/>
    <n v="3.2012229645566755E-3"/>
    <n v="224"/>
    <s v="0-0.5"/>
    <s v="$0-$50"/>
    <n v="8.9028991262907059E-3"/>
    <s v="Up to $10"/>
    <n v="1.73"/>
    <n v="3.67"/>
  </r>
  <r>
    <x v="239"/>
    <s v="REI"/>
    <x v="235"/>
    <x v="70"/>
    <n v="2360000"/>
    <n v="165450"/>
    <n v="950000000"/>
    <n v="1.741578947368421E-4"/>
    <n v="226"/>
    <s v="0-0.5"/>
    <s v="$0-$50"/>
    <n v="2.4749030911440217E-3"/>
    <s v="Up to $10"/>
    <n v="24.39"/>
    <n v="74.989999999999995"/>
  </r>
  <r>
    <x v="240"/>
    <s v="BFIC"/>
    <x v="236"/>
    <x v="6"/>
    <n v="1950000"/>
    <m/>
    <n v="10570000"/>
    <n v="0"/>
    <n v="227"/>
    <s v="0-0.5"/>
    <s v="Above $50"/>
    <n v="0.18490000000000001"/>
    <s v="&gt;= $10"/>
    <n v="0"/>
    <n v="7.0000000000000007E-2"/>
  </r>
  <r>
    <x v="241"/>
    <s v="WINR"/>
    <x v="237"/>
    <x v="97"/>
    <n v="1940000"/>
    <n v="36640"/>
    <n v="712760000"/>
    <n v="5.1405802794769626E-5"/>
    <n v="228"/>
    <s v="0-0.5"/>
    <s v="$0-$50"/>
    <n v="2.6851578636766008E-3"/>
    <s v="Up to $10"/>
    <n v="11.92"/>
    <n v="21.88"/>
  </r>
  <r>
    <x v="242"/>
    <s v="TQQQB"/>
    <x v="238"/>
    <x v="93"/>
    <n v="1940000"/>
    <n v="2750000"/>
    <n v="27680"/>
    <n v="99.349710982658962"/>
    <n v="228"/>
    <s v="0-0.5"/>
    <s v="$0-$50"/>
    <n v="69.929233529353127"/>
    <s v="Up to $10"/>
    <n v="0.98"/>
    <n v="6.09"/>
  </r>
  <r>
    <x v="243"/>
    <n v="67"/>
    <x v="239"/>
    <x v="40"/>
    <n v="1930000"/>
    <n v="1100000"/>
    <n v="999680000"/>
    <n v="1.1003521126760564E-3"/>
    <n v="230"/>
    <s v="0-0.5"/>
    <s v="$0-$50"/>
    <n v="1.9160547727723753E-3"/>
    <s v="Up to $10"/>
    <n v="13.02"/>
    <n v="89.07"/>
  </r>
  <r>
    <x v="244"/>
    <s v="EURt"/>
    <x v="240"/>
    <x v="6"/>
    <n v="1920000"/>
    <m/>
    <n v="36380000"/>
    <n v="0"/>
    <n v="231"/>
    <s v="0-0.5"/>
    <s v="$0-$50"/>
    <n v="5.296E-2"/>
    <s v="Up to $10"/>
    <n v="0"/>
    <n v="4.71"/>
  </r>
  <r>
    <x v="245"/>
    <s v="AE"/>
    <x v="241"/>
    <x v="8"/>
    <n v="1920000"/>
    <n v="182.35"/>
    <n v="385100000"/>
    <n v="4.735133731498312E-7"/>
    <n v="231"/>
    <s v="0-0.5"/>
    <s v="$0-$50"/>
    <n v="4.9885034489653103E-3"/>
    <s v="Up to $10"/>
    <n v="7.0000000000000007E-2"/>
    <n v="3.55"/>
  </r>
  <r>
    <x v="246"/>
    <s v="NYA"/>
    <x v="242"/>
    <x v="58"/>
    <n v="1910000"/>
    <n v="12340"/>
    <s v="35230000000000.0"/>
    <n v="3.5026965654271928E-10"/>
    <n v="233"/>
    <s v="0-0.5"/>
    <s v="$0-$50"/>
    <n v="7.4841269841269834E-2"/>
    <s v="Up to $10"/>
    <n v="3.7"/>
    <n v="31.12"/>
  </r>
  <r>
    <x v="247"/>
    <s v="BIOT"/>
    <x v="243"/>
    <x v="3"/>
    <n v="1910000"/>
    <n v="9350"/>
    <n v="8790000000"/>
    <n v="1.0637087599544937E-6"/>
    <n v="233"/>
    <s v="0-0.5"/>
    <s v="Above $50"/>
    <n v="2.1737826217378263E-4"/>
    <s v="&gt;= $10"/>
    <n v="1.34"/>
    <n v="17.600000000000001"/>
  </r>
  <r>
    <x v="248"/>
    <s v="D"/>
    <x v="244"/>
    <x v="122"/>
    <n v="1900000"/>
    <n v="1170000"/>
    <n v="743510000"/>
    <n v="1.5736170327231645E-3"/>
    <n v="235"/>
    <s v="0-0.5"/>
    <s v="$0-$50"/>
    <n v="2.5310712172026042E-3"/>
    <s v="Up to $10"/>
    <n v="10.33"/>
    <n v="32.619999999999997"/>
  </r>
  <r>
    <x v="249"/>
    <s v="VRA"/>
    <x v="245"/>
    <x v="57"/>
    <n v="1890000"/>
    <n v="224720"/>
    <n v="93170000000"/>
    <n v="2.4119351722657509E-6"/>
    <n v="236"/>
    <s v="0-0.5"/>
    <s v="$0-$50"/>
    <n v="2.0337628608530617E-5"/>
    <s v="&gt;= $10"/>
    <n v="11.14"/>
    <n v="78.89"/>
  </r>
  <r>
    <x v="250"/>
    <s v="SCAM"/>
    <x v="246"/>
    <x v="123"/>
    <n v="1890000"/>
    <n v="232210"/>
    <n v="999950000"/>
    <n v="2.3222161108055404E-4"/>
    <n v="236"/>
    <s v="0-0.5"/>
    <s v="$0-$50"/>
    <n v="1.8554879246023956E-3"/>
    <s v="&gt;= $10"/>
    <n v="47.93"/>
    <n v="76.25"/>
  </r>
  <r>
    <x v="251"/>
    <s v="IRENB"/>
    <x v="247"/>
    <x v="47"/>
    <n v="1880000"/>
    <n v="1170000"/>
    <n v="46680"/>
    <n v="25.064267352185091"/>
    <n v="238"/>
    <s v="0-0.5"/>
    <s v="$0-$50"/>
    <n v="40.355253966669991"/>
    <s v="Up to $10"/>
    <n v="0.81"/>
    <n v="8.52"/>
  </r>
  <r>
    <x v="252"/>
    <s v="BMNRon"/>
    <x v="248"/>
    <x v="29"/>
    <n v="1880000"/>
    <n v="9350000"/>
    <n v="75630"/>
    <n v="123.62818987174401"/>
    <n v="238"/>
    <s v="0-0.5"/>
    <s v="$0-$50"/>
    <n v="24.870259481037927"/>
    <s v="&gt;= $10"/>
    <n v="9.11"/>
    <n v="34.31"/>
  </r>
  <r>
    <x v="253"/>
    <s v="XSWAP"/>
    <x v="249"/>
    <x v="6"/>
    <n v="1870000"/>
    <n v="1670"/>
    <n v="298250000"/>
    <n v="5.5993294216261528E-6"/>
    <n v="240"/>
    <s v="0-0.5"/>
    <s v="$0-$50"/>
    <n v="6.2940000000000001E-3"/>
    <s v="Up to $10"/>
    <n v="0.72"/>
    <n v="3.82"/>
  </r>
  <r>
    <x v="254"/>
    <s v="NOKB"/>
    <x v="250"/>
    <x v="2"/>
    <n v="1860000"/>
    <n v="1430000"/>
    <n v="185670"/>
    <n v="7.7018365918026603"/>
    <n v="241"/>
    <s v="0-0.5"/>
    <s v="Above $50"/>
    <n v="10.037954454654415"/>
    <s v="&gt;= $10"/>
    <n v="0.35"/>
    <n v="5.25"/>
  </r>
  <r>
    <x v="255"/>
    <s v="RBN"/>
    <x v="251"/>
    <x v="6"/>
    <n v="1560000"/>
    <m/>
    <n v="66660000"/>
    <n v="0"/>
    <n v="242"/>
    <s v="0-0.5"/>
    <s v="$0-$50"/>
    <n v="2.3480000000000001E-2"/>
    <s v="Up to $10"/>
    <n v="1.26"/>
    <n v="18.54"/>
  </r>
  <r>
    <x v="256"/>
    <s v="BSAI"/>
    <x v="252"/>
    <x v="30"/>
    <n v="1550000"/>
    <n v="144710"/>
    <n v="1400"/>
    <n v="103.36428571428571"/>
    <n v="243"/>
    <s v="0-0.5"/>
    <s v="$0-$50"/>
    <n v="1111.4577084583084"/>
    <s v="Up to $10"/>
    <n v="0.03"/>
    <n v="5.41"/>
  </r>
  <r>
    <x v="257"/>
    <s v="CTP"/>
    <x v="253"/>
    <x v="20"/>
    <n v="1550000"/>
    <n v="176440"/>
    <n v="1630000000"/>
    <n v="1.0824539877300613E-4"/>
    <n v="243"/>
    <s v="0-0.5"/>
    <s v="$0-$50"/>
    <n v="9.5283772981614718E-4"/>
    <s v="Up to $10"/>
    <n v="1.38"/>
    <n v="6.7"/>
  </r>
  <r>
    <x v="258"/>
    <s v="NODL"/>
    <x v="254"/>
    <x v="124"/>
    <n v="1550000"/>
    <n v="45430"/>
    <n v="5900000000"/>
    <n v="7.7000000000000008E-6"/>
    <n v="243"/>
    <s v="0-0.5"/>
    <s v="$0-$50"/>
    <n v="2.621920813802733E-4"/>
    <s v="Up to $10"/>
    <n v="1.69"/>
    <n v="8.4600000000000009"/>
  </r>
  <r>
    <x v="259"/>
    <s v="SC"/>
    <x v="255"/>
    <x v="125"/>
    <n v="1550000"/>
    <n v="85030"/>
    <n v="989890000"/>
    <n v="8.5898433159239918E-5"/>
    <n v="243"/>
    <s v="0-0.5"/>
    <s v="Above $50"/>
    <n v="1.4850922858495031E-3"/>
    <s v="&gt;= $10"/>
    <n v="38.1"/>
    <n v="73.209999999999994"/>
  </r>
  <r>
    <x v="260"/>
    <s v="NMT"/>
    <x v="256"/>
    <x v="45"/>
    <n v="1540000"/>
    <n v="4420"/>
    <s v="33450000.000000004"/>
    <n v="1.3213751868460389E-4"/>
    <n v="247"/>
    <s v="0-0.5"/>
    <s v="$0-$50"/>
    <n v="4.624525664070301E-2"/>
    <s v="Up to $10"/>
    <n v="4.37"/>
    <n v="15.49"/>
  </r>
  <r>
    <x v="261"/>
    <s v="AAPL"/>
    <x v="257"/>
    <x v="79"/>
    <n v="1540000"/>
    <n v="416440"/>
    <n v="5000"/>
    <n v="83.287999999999997"/>
    <n v="247"/>
    <s v="0-0.5"/>
    <s v="$0-$50"/>
    <n v="308.86871508379892"/>
    <s v="Up to $10"/>
    <n v="0.1"/>
    <n v="1.3"/>
  </r>
  <r>
    <x v="262"/>
    <s v="HOPPY"/>
    <x v="258"/>
    <x v="78"/>
    <n v="1540000"/>
    <s v="65370.00000000001"/>
    <s v="4.2069E+11"/>
    <n v="1.5538757755116594E-7"/>
    <n v="247"/>
    <s v="0-0.5"/>
    <s v="$0-$50"/>
    <n v="5.359261108337493E-2"/>
    <s v="Up to $10"/>
    <n v="1.18"/>
    <n v="33.450000000000003"/>
  </r>
  <r>
    <x v="263"/>
    <s v="LIBERTY"/>
    <x v="259"/>
    <x v="79"/>
    <n v="1540000"/>
    <n v="45920"/>
    <n v="1000000000"/>
    <n v="4.5920000000000001E-5"/>
    <n v="247"/>
    <s v="0-0.5"/>
    <s v="$0-$50"/>
    <n v="1.5373104549082203E-3"/>
    <s v="Up to $10"/>
    <n v="0.26"/>
    <n v="17.78"/>
  </r>
  <r>
    <x v="264"/>
    <s v="VADER"/>
    <x v="260"/>
    <x v="126"/>
    <n v="1530000"/>
    <n v="28710"/>
    <n v="996730000"/>
    <n v="2.8804189700320045E-5"/>
    <n v="251"/>
    <s v="0-0.5"/>
    <s v="$0-$50"/>
    <n v="1.4875314131065145E-3"/>
    <s v="Up to $10"/>
    <n v="24.55"/>
    <n v="57.39"/>
  </r>
  <r>
    <x v="265"/>
    <s v="GAFI"/>
    <x v="261"/>
    <x v="2"/>
    <n v="1530000"/>
    <n v="155190"/>
    <n v="14950000"/>
    <n v="1.0380602006688963E-2"/>
    <n v="251"/>
    <s v="0-0.5"/>
    <s v="$0-$50"/>
    <n v="0.10237714742309227"/>
    <s v="Up to $10"/>
    <n v="1.32"/>
    <n v="17.04"/>
  </r>
  <r>
    <x v="266"/>
    <s v="LIME"/>
    <x v="262"/>
    <x v="30"/>
    <n v="1530000"/>
    <n v="131850"/>
    <n v="754340000"/>
    <n v="1.7478855688416364E-4"/>
    <n v="251"/>
    <s v="0-0.5"/>
    <s v="$0-$50"/>
    <n v="2.0295940811837633E-3"/>
    <s v="Up to $10"/>
    <n v="0.75"/>
    <n v="0.6"/>
  </r>
  <r>
    <x v="267"/>
    <s v="OCICAT"/>
    <x v="263"/>
    <x v="127"/>
    <n v="1520000"/>
    <n v="5790"/>
    <s v="318290000000000.0"/>
    <n v="1.8190957931446164E-11"/>
    <n v="254"/>
    <s v="0-0.5"/>
    <s v="Above $50"/>
    <n v="8.2577911959485786E-2"/>
    <s v="&gt;= $10"/>
    <n v="2.2599999999999998"/>
    <n v="3.2"/>
  </r>
  <r>
    <x v="268"/>
    <s v="AL"/>
    <x v="264"/>
    <x v="9"/>
    <n v="1510000"/>
    <n v="694850"/>
    <n v="934960000"/>
    <n v="7.4318687430478304E-4"/>
    <n v="255"/>
    <s v="0-0.5"/>
    <s v="$0-$50"/>
    <n v="1.6197885497705965E-3"/>
    <s v="Up to $10"/>
    <n v="3.22"/>
    <n v="10.039999999999999"/>
  </r>
  <r>
    <x v="269"/>
    <s v="SKHYon"/>
    <x v="265"/>
    <x v="31"/>
    <n v="1510000"/>
    <n v="1560000"/>
    <n v="9550"/>
    <n v="163.35078534031413"/>
    <n v="255"/>
    <s v="0-0.5"/>
    <s v="$0-$50"/>
    <n v="158.36323763955343"/>
    <s v="Up to $10"/>
    <n v="0.08"/>
    <n v="4.7"/>
  </r>
  <r>
    <x v="270"/>
    <s v="WELF"/>
    <x v="266"/>
    <x v="3"/>
    <n v="1250000"/>
    <n v="28830"/>
    <n v="12650000"/>
    <n v="2.2790513833992093E-3"/>
    <n v="257"/>
    <s v="0-0.5"/>
    <s v="$0-$50"/>
    <n v="9.8750124987501256E-2"/>
    <s v="Up to $10"/>
    <n v="7.49"/>
    <n v="15.36"/>
  </r>
  <r>
    <x v="271"/>
    <s v="SLX"/>
    <x v="267"/>
    <x v="3"/>
    <n v="1240000"/>
    <n v="15210"/>
    <n v="1730000000"/>
    <n v="8.7919075144508667E-6"/>
    <n v="258"/>
    <s v="0-0.5"/>
    <s v="$0-$50"/>
    <n v="7.1902809719028092E-4"/>
    <s v="Up to $10"/>
    <n v="1.29"/>
    <n v="2.31"/>
  </r>
  <r>
    <x v="272"/>
    <s v="ZFI"/>
    <x v="268"/>
    <x v="6"/>
    <n v="1240000"/>
    <n v="11250"/>
    <n v="185930000"/>
    <n v="6.0506642284730812E-5"/>
    <n v="258"/>
    <s v="0-0.5"/>
    <s v="Above $50"/>
    <n v="6.6930000000000002E-3"/>
    <s v="&gt;= $10"/>
    <n v="4.5"/>
    <n v="28.68"/>
  </r>
  <r>
    <x v="273"/>
    <s v="EURAU"/>
    <x v="112"/>
    <x v="30"/>
    <n v="1240000"/>
    <m/>
    <n v="1060000"/>
    <n v="0"/>
    <n v="258"/>
    <s v="0-0.5"/>
    <s v="Above $50"/>
    <n v="1.1597680463907218"/>
    <s v="&gt;= $10"/>
    <n v="0.18"/>
    <n v="0.66"/>
  </r>
  <r>
    <x v="274"/>
    <s v="QQQ"/>
    <x v="269"/>
    <x v="128"/>
    <n v="1230000"/>
    <n v="191590"/>
    <n v="1740"/>
    <n v="110.10919540229885"/>
    <n v="261"/>
    <s v="0-0.5"/>
    <s v="$0-$50"/>
    <n v="709.55471246006391"/>
    <s v="Up to $10"/>
    <n v="0.28999999999999998"/>
    <n v="1.9"/>
  </r>
  <r>
    <x v="275"/>
    <s v="COSTon"/>
    <x v="270"/>
    <x v="3"/>
    <n v="1230000"/>
    <n v="4610000"/>
    <n v="1260"/>
    <n v="3658.7301587301586"/>
    <n v="261"/>
    <s v="0-0.5"/>
    <s v="Above $50"/>
    <n v="973.28267173282677"/>
    <s v="&gt;= $10"/>
    <n v="1.87"/>
    <n v="1.04"/>
  </r>
  <r>
    <x v="276"/>
    <s v="JOBY"/>
    <x v="271"/>
    <x v="129"/>
    <n v="1230000"/>
    <n v="58370"/>
    <n v="999980000"/>
    <n v="5.8371167423348467E-5"/>
    <n v="261"/>
    <s v="0-0.5"/>
    <s v="$0-$50"/>
    <n v="1.2166962699822379E-3"/>
    <s v="Up to $10"/>
    <n v="8.06"/>
    <n v="38.26"/>
  </r>
  <r>
    <x v="277"/>
    <s v="DELLx"/>
    <x v="272"/>
    <x v="130"/>
    <n v="1230000"/>
    <s v="128770.00000000001"/>
    <n v="2800"/>
    <n v="45.989285714285714"/>
    <n v="261"/>
    <s v="0-0.5"/>
    <s v="$0-$50"/>
    <n v="437.58837000896153"/>
    <s v="Up to $10"/>
    <n v="1.25"/>
    <n v="6.74"/>
  </r>
  <r>
    <x v="278"/>
    <s v="TSUKA"/>
    <x v="273"/>
    <x v="6"/>
    <n v="1220000"/>
    <m/>
    <n v="1000000000"/>
    <n v="0"/>
    <n v="265"/>
    <s v="0-0.5"/>
    <s v="$0-$50"/>
    <n v="1.2290000000000001E-3"/>
    <s v="Up to $10"/>
    <n v="0.85"/>
    <n v="32.39"/>
  </r>
  <r>
    <x v="279"/>
    <s v="TKP"/>
    <x v="274"/>
    <x v="6"/>
    <n v="1220000"/>
    <m/>
    <n v="28710000"/>
    <n v="0"/>
    <n v="265"/>
    <s v="0-0.5"/>
    <s v="$0-$50"/>
    <n v="4.2610000000000002E-2"/>
    <s v="Up to $10"/>
    <n v="0.35"/>
    <n v="13.77"/>
  </r>
  <r>
    <x v="280"/>
    <s v="SHPING"/>
    <x v="275"/>
    <x v="3"/>
    <n v="1210000"/>
    <n v="149760"/>
    <n v="2280000000"/>
    <n v="6.5684210526315785E-5"/>
    <n v="267"/>
    <s v="0-0.5"/>
    <s v="$0-$50"/>
    <n v="5.3334666533346657E-4"/>
    <s v="Up to $10"/>
    <n v="2.21"/>
    <n v="13.37"/>
  </r>
  <r>
    <x v="281"/>
    <s v="RENEC"/>
    <x v="276"/>
    <x v="3"/>
    <n v="1210000"/>
    <m/>
    <n v="35890000"/>
    <n v="0"/>
    <n v="267"/>
    <s v="0-0.5"/>
    <s v="$0-$50"/>
    <n v="3.3976602339766029E-2"/>
    <s v="Up to $10"/>
    <n v="2.38"/>
    <n v="4.95"/>
  </r>
  <r>
    <x v="282"/>
    <s v="SCP"/>
    <x v="277"/>
    <x v="3"/>
    <n v="1210000"/>
    <n v="2900"/>
    <n v="48090000"/>
    <n v="6.030359742150135E-5"/>
    <n v="267"/>
    <s v="0-0.5"/>
    <s v="$0-$50"/>
    <n v="2.5227477252274772E-2"/>
    <s v="Up to $10"/>
    <n v="1.26"/>
    <n v="14.21"/>
  </r>
  <r>
    <x v="283"/>
    <s v="CHKN"/>
    <x v="278"/>
    <x v="6"/>
    <n v="1210000"/>
    <m/>
    <s v="64230000000000.01"/>
    <n v="0"/>
    <n v="267"/>
    <s v="0-0.5"/>
    <s v="$0-$50"/>
    <n v="7.1887000000000006E-2"/>
    <s v="Up to $10"/>
    <n v="2.76"/>
    <n v="31.02"/>
  </r>
  <r>
    <x v="284"/>
    <s v="RICE"/>
    <x v="279"/>
    <x v="131"/>
    <n v="1210000"/>
    <n v="163140"/>
    <n v="211520000"/>
    <n v="7.7127458396369138E-4"/>
    <n v="267"/>
    <s v="0-0.5"/>
    <s v="$0-$50"/>
    <n v="5.7010647825654296E-3"/>
    <s v="Up to $10"/>
    <n v="1.54"/>
    <n v="72.790000000000006"/>
  </r>
  <r>
    <x v="285"/>
    <s v="GRG"/>
    <x v="280"/>
    <x v="23"/>
    <n v="1040000"/>
    <m/>
    <n v="2700000"/>
    <n v="0"/>
    <n v="272"/>
    <s v="0-0.5"/>
    <s v="$0-$50"/>
    <n v="0.38710964781003693"/>
    <s v="Up to $10"/>
    <n v="1.1200000000000001"/>
    <n v="43.32"/>
  </r>
  <r>
    <x v="286"/>
    <s v="SKEY"/>
    <x v="281"/>
    <x v="9"/>
    <n v="1040000"/>
    <n v="6910"/>
    <n v="552480000"/>
    <n v="1.2507240081088907E-5"/>
    <n v="272"/>
    <s v="0-0.5"/>
    <s v="$0-$50"/>
    <n v="1.8880909634949132E-3"/>
    <s v="&gt;= $10"/>
    <n v="3.81"/>
    <n v="4"/>
  </r>
  <r>
    <x v="287"/>
    <s v="CAS"/>
    <x v="282"/>
    <x v="8"/>
    <n v="1040000"/>
    <n v="1.26"/>
    <n v="1000000000"/>
    <n v="1.26E-9"/>
    <n v="272"/>
    <s v="0-0.5"/>
    <s v="Above $50"/>
    <n v="1.0436868939318205E-3"/>
    <s v="&gt;= $10"/>
    <n v="0.33"/>
    <n v="0.33"/>
  </r>
  <r>
    <x v="288"/>
    <s v="NOKon"/>
    <x v="283"/>
    <x v="75"/>
    <n v="1030000"/>
    <n v="557250"/>
    <n v="103080"/>
    <n v="5.4059953434225845"/>
    <n v="275"/>
    <s v="0-0.5"/>
    <s v="$0-$50"/>
    <n v="10.040922247729315"/>
    <s v="Up to $10"/>
    <n v="0.12"/>
    <n v="5.85"/>
  </r>
  <r>
    <x v="289"/>
    <s v="ASTSB"/>
    <x v="284"/>
    <x v="90"/>
    <n v="1030000"/>
    <n v="1130000"/>
    <n v="16360"/>
    <n v="69.070904645476773"/>
    <n v="275"/>
    <s v="0-0.5"/>
    <s v="Above $50"/>
    <n v="63.210935940929957"/>
    <s v="&gt;= $10"/>
    <n v="5.56"/>
    <n v="9.69"/>
  </r>
  <r>
    <x v="290"/>
    <s v="MNW"/>
    <x v="285"/>
    <x v="81"/>
    <n v="1030000"/>
    <n v="272.37"/>
    <n v="47890000"/>
    <n v="5.6874086448110251E-6"/>
    <n v="275"/>
    <s v="0-0.5"/>
    <s v="Above $50"/>
    <n v="2.1337958374628346E-2"/>
    <s v="&gt;= $10"/>
    <n v="17.86"/>
    <n v="47.17"/>
  </r>
  <r>
    <x v="291"/>
    <s v="FLQLon"/>
    <x v="286"/>
    <x v="26"/>
    <n v="1030000"/>
    <n v="162320"/>
    <n v="13090"/>
    <n v="12.400305576776166"/>
    <n v="275"/>
    <s v="0-0.5"/>
    <s v="Above $50"/>
    <n v="78.638544582167142"/>
    <s v="&gt;= $10"/>
    <n v="0.28000000000000003"/>
    <n v="1.6"/>
  </r>
  <r>
    <x v="292"/>
    <s v="DISon"/>
    <x v="287"/>
    <x v="30"/>
    <n v="1020000"/>
    <n v="221800"/>
    <n v="9200"/>
    <n v="24.108695652173914"/>
    <n v="279"/>
    <s v="0-0.5"/>
    <s v="$0-$50"/>
    <n v="111.72765446910618"/>
    <s v="Up to $10"/>
    <n v="2.63"/>
    <n v="6.26"/>
  </r>
  <r>
    <x v="293"/>
    <s v="PANDORA"/>
    <x v="288"/>
    <x v="6"/>
    <n v="1020000"/>
    <m/>
    <n v="10000"/>
    <n v="0"/>
    <n v="279"/>
    <s v="0-0.5"/>
    <s v="$0-$50"/>
    <n v="102.68"/>
    <s v="Up to $10"/>
    <n v="1.1200000000000001"/>
    <n v="2.86"/>
  </r>
  <r>
    <x v="294"/>
    <s v="SHRAP"/>
    <x v="289"/>
    <x v="6"/>
    <n v="1020000"/>
    <m/>
    <n v="2900000000"/>
    <n v="0"/>
    <n v="279"/>
    <s v="0-0.5"/>
    <s v="$0-$50"/>
    <n v="3.5349999999999997E-4"/>
    <s v="Up to $10"/>
    <n v="1.36"/>
    <n v="29.87"/>
  </r>
  <r>
    <x v="295"/>
    <s v="NXRA"/>
    <x v="290"/>
    <x v="3"/>
    <n v="1020000"/>
    <n v="1310"/>
    <n v="1240000000"/>
    <n v="1.0564516129032257E-6"/>
    <n v="279"/>
    <s v="0-0.5"/>
    <s v="$0-$50"/>
    <n v="8.2001799820017999E-4"/>
    <s v="Up to $10"/>
    <n v="2.04"/>
    <n v="42.26"/>
  </r>
  <r>
    <x v="296"/>
    <s v="BTX"/>
    <x v="291"/>
    <x v="6"/>
    <n v="1010000"/>
    <m/>
    <n v="19950000"/>
    <n v="0"/>
    <n v="283"/>
    <s v="0-0.5"/>
    <s v="$0-$50"/>
    <n v="5.0970000000000001E-2"/>
    <s v="Up to $10"/>
    <n v="4.46"/>
    <n v="45.49"/>
  </r>
  <r>
    <x v="297"/>
    <s v="WCO"/>
    <x v="292"/>
    <x v="30"/>
    <n v="1010000"/>
    <n v="10650"/>
    <n v="6510000000"/>
    <n v="1.6359447004608296E-6"/>
    <n v="283"/>
    <s v="0-0.5"/>
    <s v="$0-$50"/>
    <n v="1.5596880623875225E-4"/>
    <s v="Up to $10"/>
    <n v="12.88"/>
    <n v="10.49"/>
  </r>
  <r>
    <x v="298"/>
    <s v="TRIAS"/>
    <x v="293"/>
    <x v="30"/>
    <n v="1010000"/>
    <n v="1180"/>
    <n v="5000000"/>
    <n v="2.3599999999999999E-4"/>
    <n v="283"/>
    <s v="0-0.5"/>
    <s v="$0-$50"/>
    <n v="0.20235952809438112"/>
    <s v="Up to $10"/>
    <n v="0.03"/>
    <n v="0.06"/>
  </r>
  <r>
    <x v="299"/>
    <s v="PWEASE"/>
    <x v="294"/>
    <x v="88"/>
    <n v="1000000"/>
    <n v="69140"/>
    <n v="999920000"/>
    <n v="6.9145531642531406E-5"/>
    <n v="286"/>
    <s v="0-0.5"/>
    <s v="$0-$50"/>
    <n v="1.0034808552958725E-3"/>
    <s v="Up to $10"/>
    <n v="4.22"/>
    <n v="35.7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x v="0"/>
    <x v="0"/>
    <n v="165.6"/>
    <n v="7.0000000000000007E-2"/>
    <n v="3.78"/>
    <n v="27.04"/>
    <n v="5.9058487874465051"/>
    <s v="N/A"/>
    <x v="0"/>
    <n v="10.296666666666667"/>
  </r>
  <r>
    <x v="1"/>
    <x v="1"/>
    <n v="80509.13"/>
    <n v="0.18"/>
    <n v="3.94"/>
    <n v="25.22"/>
    <n v="3070.5236460717015"/>
    <s v="N/A"/>
    <x v="0"/>
    <n v="9.7799999999999994"/>
  </r>
  <r>
    <x v="2"/>
    <x v="2"/>
    <n v="2502.7199999999998"/>
    <n v="0.12"/>
    <n v="2.04"/>
    <n v="31.57"/>
    <n v="76.841264967761731"/>
    <s v="N/A"/>
    <x v="0"/>
    <n v="11.243333333333334"/>
  </r>
  <r>
    <x v="3"/>
    <x v="3"/>
    <n v="0.99960000000000004"/>
    <n v="0.01"/>
    <n v="0.05"/>
    <n v="0.06"/>
    <n v="0.94301886792452827"/>
    <n v="1.0522105263157895"/>
    <x v="1"/>
    <n v="0.04"/>
  </r>
  <r>
    <x v="4"/>
    <x v="4"/>
    <n v="713.29"/>
    <n v="0.5"/>
    <n v="2.08"/>
    <n v="18.03"/>
    <n v="37.482396216500256"/>
    <s v="N/A"/>
    <x v="0"/>
    <n v="6.87"/>
  </r>
  <r>
    <x v="5"/>
    <x v="5"/>
    <n v="1.5"/>
    <n v="0.97"/>
    <n v="2.21"/>
    <n v="50.9"/>
    <n v="2.8901734104046242E-2"/>
    <s v="N/A"/>
    <x v="1"/>
    <n v="18.026666666666667"/>
  </r>
  <r>
    <x v="6"/>
    <x v="6"/>
    <n v="0.99990000000000001"/>
    <n v="0"/>
    <n v="0.01"/>
    <n v="0.01"/>
    <n v="0.99"/>
    <n v="1.01"/>
    <x v="1"/>
    <n v="6.6666666666666671E-3"/>
  </r>
  <r>
    <x v="7"/>
    <x v="7"/>
    <n v="101.09"/>
    <n v="0.62"/>
    <n v="7.48"/>
    <n v="33.18"/>
    <n v="2.9575775307197194"/>
    <s v="N/A"/>
    <x v="0"/>
    <n v="13.76"/>
  </r>
  <r>
    <x v="8"/>
    <x v="8"/>
    <n v="0.34449999999999997"/>
    <n v="0.03"/>
    <n v="7.0000000000000007E-2"/>
    <n v="3.74"/>
    <n v="7.2679324894514757E-2"/>
    <n v="0.37043010752688171"/>
    <x v="2"/>
    <n v="1.28"/>
  </r>
  <r>
    <x v="9"/>
    <x v="9"/>
    <n v="80.900000000000006"/>
    <n v="0.26"/>
    <n v="1.93"/>
    <n v="34.770000000000003"/>
    <n v="2.2616717920044729"/>
    <s v="N/A"/>
    <x v="0"/>
    <n v="12.32"/>
  </r>
  <r>
    <x v="10"/>
    <x v="10"/>
    <n v="9.2090000000000005E-2"/>
    <n v="0.72"/>
    <n v="0.76"/>
    <n v="31.61"/>
    <n v="2.8239803741183689E-3"/>
    <n v="0.38370833333333337"/>
    <x v="2"/>
    <n v="11.03"/>
  </r>
  <r>
    <x v="11"/>
    <x v="11"/>
    <n v="848.04"/>
    <n v="0.64"/>
    <n v="1.26"/>
    <n v="65.95"/>
    <n v="12.666766243465272"/>
    <s v="N/A"/>
    <x v="0"/>
    <n v="22.616666666666671"/>
  </r>
  <r>
    <x v="12"/>
    <x v="12"/>
    <n v="11.76"/>
    <n v="0.17"/>
    <n v="2.39"/>
    <n v="23.96"/>
    <n v="0.47115384615384615"/>
    <s v="N/A"/>
    <x v="3"/>
    <n v="8.84"/>
  </r>
  <r>
    <x v="13"/>
    <x v="13"/>
    <n v="9.35"/>
    <n v="0.06"/>
    <n v="0.48"/>
    <n v="0.75"/>
    <n v="5.3428571428571425"/>
    <n v="17.98076923076923"/>
    <x v="3"/>
    <n v="0.43"/>
  </r>
  <r>
    <x v="14"/>
    <x v="14"/>
    <n v="445.16"/>
    <n v="1.21"/>
    <n v="6.81"/>
    <n v="5.89"/>
    <n v="64.60957910014514"/>
    <s v="N/A"/>
    <x v="0"/>
    <n v="4.6366666666666667"/>
  </r>
  <r>
    <x v="15"/>
    <x v="15"/>
    <n v="124.1"/>
    <n v="0.45"/>
    <n v="0.61"/>
    <n v="19.47"/>
    <n v="6.0625305324865657"/>
    <n v="318.20512820512818"/>
    <x v="0"/>
    <n v="6.8433333333333328"/>
  </r>
  <r>
    <x v="16"/>
    <x v="16"/>
    <n v="0.37619999999999998"/>
    <n v="1.66"/>
    <n v="2.27"/>
    <n v="24.21"/>
    <n v="1.4922649742165806E-2"/>
    <s v="N/A"/>
    <x v="2"/>
    <n v="9.3800000000000008"/>
  </r>
  <r>
    <x v="17"/>
    <x v="17"/>
    <n v="1.79"/>
    <n v="1.63"/>
    <n v="0.94"/>
    <n v="32.85"/>
    <n v="5.2880354505169869E-2"/>
    <n v="29.833333333333307"/>
    <x v="1"/>
    <n v="11.806666666666667"/>
  </r>
  <r>
    <x v="18"/>
    <x v="18"/>
    <s v="5.508e-05"/>
    <n v="1.37"/>
    <n v="1.8"/>
    <n v="17.899999999999999"/>
    <n v="2.9142857142857146E-6"/>
    <s v="N/A"/>
    <x v="0"/>
    <n v="7.0233333333333334"/>
  </r>
  <r>
    <x v="19"/>
    <x v="19"/>
    <n v="1.02"/>
    <n v="0.26"/>
    <n v="7.39"/>
    <n v="11.36"/>
    <n v="8.2524271844660199E-2"/>
    <s v="N/A"/>
    <x v="1"/>
    <n v="6.336666666666666"/>
  </r>
  <r>
    <x v="20"/>
    <x v="20"/>
    <n v="0.57689999999999997"/>
    <n v="1.85"/>
    <n v="0.57999999999999996"/>
    <n v="0.8"/>
    <n v="0.32049999999999995"/>
    <n v="1.3735714285714284"/>
    <x v="1"/>
    <n v="1.0766666666666669"/>
  </r>
  <r>
    <x v="21"/>
    <x v="21"/>
    <n v="6.2956999999999999E-2"/>
    <n v="0.08"/>
    <n v="0.2"/>
    <n v="13.97"/>
    <n v="4.2055444221776881E-3"/>
    <n v="7.8696249999999995E-2"/>
    <x v="2"/>
    <n v="4.75"/>
  </r>
  <r>
    <x v="22"/>
    <x v="22"/>
    <n v="5.3266000000000001E-2"/>
    <n v="1.98"/>
    <n v="3.18"/>
    <n v="42.35"/>
    <n v="1.2287427912341406E-3"/>
    <s v="N/A"/>
    <x v="2"/>
    <n v="15.836666666666668"/>
  </r>
  <r>
    <x v="23"/>
    <x v="23"/>
    <n v="9.0190000000000006E-2"/>
    <n v="1.69"/>
    <n v="0.56000000000000005"/>
    <n v="39.86"/>
    <n v="2.2072931962799805E-3"/>
    <n v="0.20497727272727276"/>
    <x v="2"/>
    <n v="14.036666666666667"/>
  </r>
  <r>
    <x v="24"/>
    <x v="24"/>
    <n v="6.2762999999999999E-2"/>
    <n v="0.23"/>
    <n v="1.23"/>
    <n v="1.1000000000000001"/>
    <n v="2.9887142857142855E-2"/>
    <s v="N/A"/>
    <x v="2"/>
    <n v="0.85333333333333339"/>
  </r>
  <r>
    <x v="25"/>
    <x v="25"/>
    <n v="9.8059999999999994E-2"/>
    <n v="0.91"/>
    <n v="1.63"/>
    <n v="28.9"/>
    <n v="3.2795986622073578E-3"/>
    <s v="N/A"/>
    <x v="2"/>
    <n v="10.479999999999999"/>
  </r>
  <r>
    <x v="26"/>
    <x v="26"/>
    <n v="0.1331"/>
    <n v="1.1299999999999999"/>
    <n v="5.04"/>
    <n v="31.4"/>
    <n v="4.1080246913580247E-3"/>
    <s v="N/A"/>
    <x v="2"/>
    <n v="12.523333333333333"/>
  </r>
  <r>
    <x v="27"/>
    <x v="27"/>
    <n v="5.0340000000000003E-2"/>
    <n v="0.04"/>
    <n v="4.6100000000000003"/>
    <n v="20.5"/>
    <n v="2.3413953488372096E-3"/>
    <s v="N/A"/>
    <x v="2"/>
    <n v="8.3833333333333329"/>
  </r>
  <r>
    <x v="28"/>
    <x v="28"/>
    <s v="2.758e-05"/>
    <n v="1.36"/>
    <n v="2.85"/>
    <n v="37.950000000000003"/>
    <n v="7.0808729139922971E-7"/>
    <s v="N/A"/>
    <x v="0"/>
    <n v="14.053333333333335"/>
  </r>
  <r>
    <x v="29"/>
    <x v="29"/>
    <n v="0.23350000000000001"/>
    <n v="0.75"/>
    <n v="2.0499999999999998"/>
    <n v="14.42"/>
    <n v="1.5142671854734113E-2"/>
    <s v="N/A"/>
    <x v="2"/>
    <n v="5.7399999999999993"/>
  </r>
  <r>
    <x v="30"/>
    <x v="30"/>
    <n v="1.468E-2"/>
    <n v="0.2"/>
    <n v="5.33"/>
    <n v="12.27"/>
    <n v="1.1062547098718916E-3"/>
    <s v="N/A"/>
    <x v="4"/>
    <n v="5.9333333333333336"/>
  </r>
  <r>
    <x v="31"/>
    <x v="31"/>
    <n v="0.59330000000000005"/>
    <n v="0.12"/>
    <n v="0.38"/>
    <n v="1.9"/>
    <n v="0.20458620689655174"/>
    <n v="0.95693548387096783"/>
    <x v="1"/>
    <n v="0.79999999999999993"/>
  </r>
  <r>
    <x v="32"/>
    <x v="32"/>
    <n v="1.1399999999999999"/>
    <n v="0.02"/>
    <n v="0.03"/>
    <n v="0.19"/>
    <n v="0.95798319327731085"/>
    <n v="1.1752577319587627"/>
    <x v="1"/>
    <n v="0.08"/>
  </r>
  <r>
    <x v="33"/>
    <x v="33"/>
    <n v="5.1766E-2"/>
    <n v="0.03"/>
    <n v="0.61"/>
    <n v="0.28000000000000003"/>
    <n v="4.0442187499999997E-2"/>
    <n v="0.13273333333333331"/>
    <x v="2"/>
    <n v="0.3066666666666667"/>
  </r>
  <r>
    <x v="34"/>
    <x v="34"/>
    <n v="0.45639999999999997"/>
    <n v="0.32"/>
    <n v="7.03"/>
    <n v="28.73"/>
    <n v="1.5351496804574503E-2"/>
    <s v="N/A"/>
    <x v="2"/>
    <n v="12.026666666666666"/>
  </r>
  <r>
    <x v="35"/>
    <x v="35"/>
    <n v="1"/>
    <n v="0"/>
    <n v="0.02"/>
    <n v="0"/>
    <n v="1"/>
    <n v="1.0204081632653061"/>
    <x v="1"/>
    <n v="6.6666666666666671E-3"/>
  </r>
  <r>
    <x v="36"/>
    <x v="36"/>
    <n v="0.99529999999999996"/>
    <n v="0.08"/>
    <n v="0.05"/>
    <n v="0.04"/>
    <n v="0.95701923076923068"/>
    <n v="1.0476842105263158"/>
    <x v="1"/>
    <n v="5.6666666666666671E-2"/>
  </r>
  <r>
    <x v="37"/>
    <x v="37"/>
    <n v="0.22070000000000001"/>
    <n v="0.62"/>
    <n v="2.0699999999999998"/>
    <n v="11.45"/>
    <n v="1.7726907630522089E-2"/>
    <s v="N/A"/>
    <x v="2"/>
    <n v="4.7133333333333329"/>
  </r>
  <r>
    <x v="38"/>
    <x v="38"/>
    <n v="4.41"/>
    <n v="0.31"/>
    <n v="4.22"/>
    <n v="20.96"/>
    <n v="0.20081967213114754"/>
    <s v="N/A"/>
    <x v="1"/>
    <n v="8.4966666666666679"/>
  </r>
  <r>
    <x v="39"/>
    <x v="39"/>
    <n v="0.99860000000000004"/>
    <n v="0.02"/>
    <n v="0.04"/>
    <n v="0.01"/>
    <n v="0.9887128712871287"/>
    <n v="1.0402083333333334"/>
    <x v="1"/>
    <n v="2.3333333333333331E-2"/>
  </r>
  <r>
    <x v="40"/>
    <x v="40"/>
    <n v="8.3150000000000002E-2"/>
    <n v="0.09"/>
    <n v="0.7"/>
    <n v="0.18"/>
    <n v="7.0466101694915254E-2"/>
    <n v="0.27716666666666662"/>
    <x v="2"/>
    <n v="0.32333333333333331"/>
  </r>
  <r>
    <x v="41"/>
    <x v="41"/>
    <n v="0.99870000000000003"/>
    <n v="0.01"/>
    <n v="0.01"/>
    <n v="0"/>
    <n v="0.99870000000000003"/>
    <n v="1.0087878787878788"/>
    <x v="1"/>
    <n v="6.6666666666666671E-3"/>
  </r>
  <r>
    <x v="42"/>
    <x v="42"/>
    <n v="0.99990000000000001"/>
    <n v="0.01"/>
    <n v="0.01"/>
    <n v="0.01"/>
    <n v="0.99"/>
    <n v="1.01"/>
    <x v="1"/>
    <n v="0.01"/>
  </r>
  <r>
    <x v="43"/>
    <x v="43"/>
    <n v="1"/>
    <n v="0.01"/>
    <n v="0.01"/>
    <n v="0.06"/>
    <n v="0.94339622641509424"/>
    <n v="1.0101010101010102"/>
    <x v="1"/>
    <n v="2.6666666666666668E-2"/>
  </r>
  <r>
    <x v="44"/>
    <x v="44"/>
    <n v="0.12909999999999999"/>
    <n v="2.34"/>
    <n v="9.14"/>
    <n v="14.11"/>
    <n v="8.5440105890138979E-3"/>
    <s v="N/A"/>
    <x v="2"/>
    <n v="8.5299999999999994"/>
  </r>
  <r>
    <x v="45"/>
    <x v="45"/>
    <n v="0.3377"/>
    <n v="45.45"/>
    <n v="23.83"/>
    <n v="93.08"/>
    <n v="3.5894982993197279E-3"/>
    <s v="N/A"/>
    <x v="2"/>
    <n v="54.120000000000005"/>
  </r>
  <r>
    <x v="46"/>
    <x v="46"/>
    <n v="1638.11"/>
    <n v="0.48"/>
    <n v="1.02"/>
    <n v="6.35"/>
    <n v="222.8721088435374"/>
    <s v="N/A"/>
    <x v="0"/>
    <n v="2.6166666666666667"/>
  </r>
  <r>
    <x v="47"/>
    <x v="47"/>
    <n v="2.2159999999999999E-4"/>
    <n v="2.36"/>
    <n v="6.3"/>
    <n v="15.51"/>
    <n v="1.3422168382798305E-5"/>
    <s v="N/A"/>
    <x v="4"/>
    <n v="8.0566666666666666"/>
  </r>
  <r>
    <x v="48"/>
    <x v="48"/>
    <n v="0.99950000000000006"/>
    <n v="0"/>
    <n v="0.01"/>
    <n v="0.03"/>
    <n v="0.9703883495145631"/>
    <n v="1.0095959595959596"/>
    <x v="1"/>
    <n v="1.3333333333333334E-2"/>
  </r>
  <r>
    <x v="49"/>
    <x v="49"/>
    <n v="9.7219999999999997E-3"/>
    <n v="0.69"/>
    <n v="2.72"/>
    <n v="19.010000000000002"/>
    <n v="4.8585707146426779E-4"/>
    <s v="N/A"/>
    <x v="4"/>
    <n v="7.4733333333333336"/>
  </r>
  <r>
    <x v="50"/>
    <x v="50"/>
    <n v="0.20619999999999999"/>
    <n v="0.47"/>
    <n v="0.3"/>
    <n v="0.9"/>
    <n v="0.10852631578947369"/>
    <n v="0.2945714285714286"/>
    <x v="2"/>
    <n v="0.55666666666666664"/>
  </r>
  <r>
    <x v="51"/>
    <x v="51"/>
    <n v="2.4729999999999999E-2"/>
    <n v="0.78"/>
    <n v="4.4400000000000004"/>
    <n v="3.96"/>
    <n v="4.9858870967741933E-3"/>
    <s v="N/A"/>
    <x v="4"/>
    <n v="3.06"/>
  </r>
  <r>
    <x v="52"/>
    <x v="52"/>
    <n v="6.2579999999999997E-2"/>
    <n v="1.2"/>
    <n v="11.24"/>
    <n v="51.31"/>
    <n v="1.196329573695278E-3"/>
    <s v="N/A"/>
    <x v="2"/>
    <n v="21.25"/>
  </r>
  <r>
    <x v="53"/>
    <x v="53"/>
    <n v="6.1429999999999998E-2"/>
    <n v="0.36"/>
    <n v="1.38"/>
    <n v="9.56"/>
    <n v="5.8172348484848485E-3"/>
    <s v="N/A"/>
    <x v="2"/>
    <n v="3.7666666666666671"/>
  </r>
  <r>
    <x v="54"/>
    <x v="54"/>
    <n v="1.7440000000000001E-2"/>
    <n v="30.91"/>
    <n v="95.95"/>
    <n v="168.45"/>
    <n v="1.0292121569784598E-4"/>
    <s v="N/A"/>
    <x v="4"/>
    <n v="98.436666666666667"/>
  </r>
  <r>
    <x v="55"/>
    <x v="55"/>
    <n v="13.79"/>
    <n v="0.63"/>
    <n v="1.34"/>
    <n v="28.86"/>
    <n v="0.46182183523107834"/>
    <s v="N/A"/>
    <x v="3"/>
    <n v="10.276666666666666"/>
  </r>
  <r>
    <x v="56"/>
    <x v="56"/>
    <n v="3.54"/>
    <n v="0.14000000000000001"/>
    <n v="1.31"/>
    <n v="1.64"/>
    <n v="1.3409090909090911"/>
    <s v="N/A"/>
    <x v="1"/>
    <n v="1.03"/>
  </r>
  <r>
    <x v="57"/>
    <x v="57"/>
    <n v="0.999"/>
    <n v="0.01"/>
    <n v="0.01"/>
    <n v="0.09"/>
    <n v="0.91651376146788988"/>
    <n v="1.009090909090909"/>
    <x v="1"/>
    <n v="3.6666666666666667E-2"/>
  </r>
  <r>
    <x v="58"/>
    <x v="58"/>
    <n v="2.2349999999999998E-2"/>
    <n v="0.03"/>
    <n v="0.01"/>
    <n v="0.23"/>
    <n v="1.8170731707317072E-2"/>
    <n v="2.2575757575757575E-2"/>
    <x v="4"/>
    <n v="9.0000000000000011E-2"/>
  </r>
  <r>
    <x v="59"/>
    <x v="59"/>
    <n v="6.4241000000000006E-2"/>
    <n v="0.38"/>
    <n v="0.6"/>
    <n v="2.99"/>
    <n v="1.6100501253132834E-2"/>
    <n v="0.16060250000000001"/>
    <x v="2"/>
    <n v="1.3233333333333335"/>
  </r>
  <r>
    <x v="60"/>
    <x v="60"/>
    <n v="0.43259999999999998"/>
    <n v="0.21"/>
    <n v="3"/>
    <n v="24.32"/>
    <n v="1.7085308056872039E-2"/>
    <s v="N/A"/>
    <x v="2"/>
    <n v="9.1766666666666676"/>
  </r>
  <r>
    <x v="61"/>
    <x v="61"/>
    <n v="3.9129999999999998E-3"/>
    <n v="0.5"/>
    <n v="2.09"/>
    <n v="0.64"/>
    <n v="2.3859756097560974E-3"/>
    <s v="N/A"/>
    <x v="4"/>
    <n v="1.0766666666666667"/>
  </r>
  <r>
    <x v="62"/>
    <x v="62"/>
    <n v="2.19"/>
    <n v="0.36"/>
    <n v="3.51"/>
    <n v="15.38"/>
    <n v="0.13369963369963367"/>
    <s v="N/A"/>
    <x v="1"/>
    <n v="6.416666666666667"/>
  </r>
  <r>
    <x v="63"/>
    <x v="63"/>
    <n v="0.12989999999999999"/>
    <n v="1.88"/>
    <n v="2.2799999999999998"/>
    <n v="50.32"/>
    <n v="2.531176929072486E-3"/>
    <s v="N/A"/>
    <x v="2"/>
    <n v="18.16"/>
  </r>
  <r>
    <x v="64"/>
    <x v="64"/>
    <n v="0.22650000000000001"/>
    <n v="0.91"/>
    <n v="1.75"/>
    <n v="40.950000000000003"/>
    <n v="5.3992848629320616E-3"/>
    <s v="N/A"/>
    <x v="2"/>
    <n v="14.536666666666667"/>
  </r>
  <r>
    <x v="65"/>
    <x v="65"/>
    <n v="7.718E-3"/>
    <n v="0.75"/>
    <n v="3.48"/>
    <n v="54.87"/>
    <n v="1.3814211562555935E-4"/>
    <s v="N/A"/>
    <x v="4"/>
    <n v="19.7"/>
  </r>
  <r>
    <x v="66"/>
    <x v="66"/>
    <n v="1.489E-2"/>
    <n v="7.0000000000000007E-2"/>
    <n v="6.67"/>
    <n v="28.37"/>
    <n v="5.0697991147429346E-4"/>
    <s v="N/A"/>
    <x v="4"/>
    <n v="11.703333333333333"/>
  </r>
  <r>
    <x v="67"/>
    <x v="67"/>
    <n v="2.594E-3"/>
    <n v="0.84"/>
    <n v="1.58"/>
    <n v="31.06"/>
    <n v="8.0910792264504052E-5"/>
    <s v="N/A"/>
    <x v="4"/>
    <n v="11.159999999999998"/>
  </r>
  <r>
    <x v="68"/>
    <x v="68"/>
    <n v="7.2410000000000002E-2"/>
    <n v="0.34"/>
    <n v="6.77"/>
    <n v="21.99"/>
    <n v="3.1496302740321881E-3"/>
    <s v="N/A"/>
    <x v="2"/>
    <n v="9.6999999999999993"/>
  </r>
  <r>
    <x v="69"/>
    <x v="69"/>
    <n v="2.68"/>
    <n v="1.33"/>
    <n v="3.59"/>
    <n v="23.97"/>
    <n v="0.10732879455346417"/>
    <s v="N/A"/>
    <x v="1"/>
    <n v="9.6300000000000008"/>
  </r>
  <r>
    <x v="70"/>
    <x v="70"/>
    <n v="0.1208"/>
    <n v="1.19"/>
    <n v="1.82"/>
    <n v="17.420000000000002"/>
    <n v="6.5580890336590656E-3"/>
    <s v="N/A"/>
    <x v="2"/>
    <n v="6.81"/>
  </r>
  <r>
    <x v="71"/>
    <x v="71"/>
    <n v="1.24"/>
    <n v="0.02"/>
    <n v="0.23"/>
    <n v="0.87"/>
    <n v="0.66310160427807485"/>
    <n v="1.6103896103896103"/>
    <x v="1"/>
    <n v="0.37333333333333335"/>
  </r>
  <r>
    <x v="72"/>
    <x v="72"/>
    <n v="0.28749999999999998"/>
    <n v="1.3"/>
    <n v="3.25"/>
    <n v="54.56"/>
    <n v="5.1745860331173501E-3"/>
    <s v="N/A"/>
    <x v="2"/>
    <n v="19.703333333333333"/>
  </r>
  <r>
    <x v="73"/>
    <x v="73"/>
    <n v="3.7659999999999998E-3"/>
    <n v="0.28000000000000003"/>
    <n v="1.35"/>
    <n v="17.11"/>
    <n v="2.0795140806184427E-4"/>
    <s v="N/A"/>
    <x v="4"/>
    <n v="6.2466666666666661"/>
  </r>
  <r>
    <x v="74"/>
    <x v="74"/>
    <n v="4.1990000000000001E-4"/>
    <n v="0.51"/>
    <n v="0.85"/>
    <n v="12.02"/>
    <n v="3.2250384024577577E-5"/>
    <n v="2.7993333333333329E-3"/>
    <x v="4"/>
    <n v="4.46"/>
  </r>
  <r>
    <x v="75"/>
    <x v="75"/>
    <n v="7.37"/>
    <n v="1.5"/>
    <n v="13.34"/>
    <n v="30.68"/>
    <n v="0.2326388888888889"/>
    <s v="N/A"/>
    <x v="3"/>
    <n v="15.173333333333332"/>
  </r>
  <r>
    <x v="76"/>
    <x v="76"/>
    <n v="1.02"/>
    <n v="0.5"/>
    <n v="2.92"/>
    <n v="21.14"/>
    <n v="4.6070460704607047E-2"/>
    <s v="N/A"/>
    <x v="1"/>
    <n v="8.1866666666666674"/>
  </r>
  <r>
    <x v="77"/>
    <x v="77"/>
    <n v="0.99960000000000004"/>
    <n v="0.01"/>
    <n v="0.02"/>
    <n v="0.06"/>
    <n v="0.94301886792452827"/>
    <n v="1.02"/>
    <x v="1"/>
    <n v="0.03"/>
  </r>
  <r>
    <x v="78"/>
    <x v="78"/>
    <n v="3.5490000000000001E-2"/>
    <n v="0.11"/>
    <n v="2.4500000000000002"/>
    <n v="17.87"/>
    <n v="1.8807631160572336E-3"/>
    <s v="N/A"/>
    <x v="4"/>
    <n v="6.81"/>
  </r>
  <r>
    <x v="79"/>
    <x v="79"/>
    <n v="6.93E-2"/>
    <n v="0.8"/>
    <n v="1.38"/>
    <n v="16.78"/>
    <n v="3.8976377952755904E-3"/>
    <s v="N/A"/>
    <x v="2"/>
    <n v="6.32"/>
  </r>
  <r>
    <x v="80"/>
    <x v="80"/>
    <n v="6.8320000000000004E-3"/>
    <n v="2.2799999999999998"/>
    <n v="1.22"/>
    <n v="42.3"/>
    <n v="1.5778290993071595E-4"/>
    <s v="N/A"/>
    <x v="4"/>
    <n v="15.266666666666666"/>
  </r>
  <r>
    <x v="81"/>
    <x v="81"/>
    <n v="7.61"/>
    <n v="0.7"/>
    <n v="2.98"/>
    <n v="20.56"/>
    <n v="0.35296846011131727"/>
    <s v="N/A"/>
    <x v="3"/>
    <n v="8.08"/>
  </r>
  <r>
    <x v="82"/>
    <x v="82"/>
    <n v="5.4539999999999996E-3"/>
    <n v="1.22"/>
    <n v="2.86"/>
    <n v="15.22"/>
    <n v="3.3625154130702837E-4"/>
    <s v="N/A"/>
    <x v="4"/>
    <n v="6.4333333333333336"/>
  </r>
  <r>
    <x v="83"/>
    <x v="83"/>
    <n v="0.27939999999999998"/>
    <n v="0.37"/>
    <n v="2.2400000000000002"/>
    <n v="17.78"/>
    <n v="1.4877529286474971E-2"/>
    <s v="N/A"/>
    <x v="2"/>
    <n v="6.7966666666666669"/>
  </r>
  <r>
    <x v="84"/>
    <x v="84"/>
    <n v="0.2215"/>
    <n v="7.0000000000000007E-2"/>
    <n v="0.89"/>
    <n v="19.059999999999999"/>
    <n v="1.1041874376869393E-2"/>
    <n v="2.0136363636363641"/>
    <x v="2"/>
    <n v="6.6733333333333329"/>
  </r>
  <r>
    <x v="85"/>
    <x v="85"/>
    <n v="1.3480000000000001E-2"/>
    <n v="1.3"/>
    <n v="0.72"/>
    <n v="1.05"/>
    <n v="6.5756097560975618E-3"/>
    <n v="4.814285714285714E-2"/>
    <x v="4"/>
    <n v="1.0233333333333334"/>
  </r>
  <r>
    <x v="86"/>
    <x v="86"/>
    <n v="8.3149999999999995E-3"/>
    <n v="0.8"/>
    <n v="1.34"/>
    <n v="14.74"/>
    <n v="5.2827191867852602E-4"/>
    <s v="N/A"/>
    <x v="4"/>
    <n v="5.626666666666666"/>
  </r>
  <r>
    <x v="87"/>
    <x v="87"/>
    <n v="1.184E-2"/>
    <n v="1.46"/>
    <n v="4.1900000000000004"/>
    <n v="12.25"/>
    <n v="8.9358490566037731E-4"/>
    <s v="N/A"/>
    <x v="4"/>
    <n v="5.9666666666666659"/>
  </r>
  <r>
    <x v="88"/>
    <x v="88"/>
    <n v="6.1570000000000001E-3"/>
    <n v="0.38"/>
    <n v="1.77"/>
    <n v="23.03"/>
    <n v="2.5622138992925512E-4"/>
    <s v="N/A"/>
    <x v="4"/>
    <n v="8.3933333333333326"/>
  </r>
  <r>
    <x v="89"/>
    <x v="89"/>
    <n v="9.8820000000000006E-4"/>
    <n v="0"/>
    <n v="0.96"/>
    <n v="0.22"/>
    <n v="8.1000000000000006E-4"/>
    <n v="2.470499999999998E-2"/>
    <x v="4"/>
    <n v="0.39333333333333331"/>
  </r>
  <r>
    <x v="90"/>
    <x v="90"/>
    <n v="4.9919999999999999E-4"/>
    <n v="1.2"/>
    <n v="3.25"/>
    <n v="19.47"/>
    <n v="2.4386907669760625E-5"/>
    <s v="N/A"/>
    <x v="4"/>
    <n v="7.9733333333333327"/>
  </r>
  <r>
    <x v="91"/>
    <x v="91"/>
    <n v="7.4009999999999996E-3"/>
    <n v="1.07"/>
    <n v="1.69"/>
    <n v="24.98"/>
    <n v="2.8487297921478058E-4"/>
    <s v="N/A"/>
    <x v="4"/>
    <n v="9.2466666666666679"/>
  </r>
  <r>
    <x v="92"/>
    <x v="92"/>
    <n v="5.092E-2"/>
    <n v="0.1"/>
    <n v="2.2000000000000002"/>
    <n v="5.97"/>
    <n v="7.3055954088952655E-3"/>
    <s v="N/A"/>
    <x v="2"/>
    <n v="2.7566666666666664"/>
  </r>
  <r>
    <x v="93"/>
    <x v="93"/>
    <n v="9.6890000000000004E-2"/>
    <n v="0.93"/>
    <n v="2.5499999999999998"/>
    <n v="17.71"/>
    <n v="5.178514163548904E-3"/>
    <s v="N/A"/>
    <x v="2"/>
    <n v="7.0633333333333335"/>
  </r>
  <r>
    <x v="94"/>
    <x v="94"/>
    <n v="0.22869999999999999"/>
    <n v="0.05"/>
    <n v="0.09"/>
    <n v="0.06"/>
    <n v="0.21575471698113205"/>
    <n v="0.25131868131868129"/>
    <x v="2"/>
    <n v="6.6666666666666666E-2"/>
  </r>
  <r>
    <x v="95"/>
    <x v="95"/>
    <n v="1.196E-2"/>
    <n v="1.44"/>
    <n v="1.96"/>
    <n v="37.79"/>
    <n v="3.0832688837329207E-4"/>
    <s v="N/A"/>
    <x v="4"/>
    <n v="13.729999999999999"/>
  </r>
  <r>
    <x v="96"/>
    <x v="96"/>
    <n v="8.8480000000000003E-2"/>
    <n v="0.35"/>
    <n v="2.39"/>
    <n v="21.71"/>
    <n v="3.8960810215763982E-3"/>
    <s v="N/A"/>
    <x v="2"/>
    <n v="8.15"/>
  </r>
  <r>
    <x v="97"/>
    <x v="97"/>
    <n v="0.1595"/>
    <n v="0.37"/>
    <n v="1.21"/>
    <n v="12.9"/>
    <n v="1.1474820143884892E-2"/>
    <s v="N/A"/>
    <x v="2"/>
    <n v="4.8266666666666671"/>
  </r>
  <r>
    <x v="98"/>
    <x v="98"/>
    <n v="3.24"/>
    <n v="0.61"/>
    <n v="2.35"/>
    <n v="18.47"/>
    <n v="0.16640986132511559"/>
    <s v="N/A"/>
    <x v="1"/>
    <n v="7.1433333333333335"/>
  </r>
  <r>
    <x v="99"/>
    <x v="99"/>
    <n v="223.04"/>
    <n v="0.13"/>
    <n v="17.260000000000002"/>
    <n v="8.2200000000000006"/>
    <n v="24.190889370932751"/>
    <s v="N/A"/>
    <x v="0"/>
    <n v="8.5366666666666671"/>
  </r>
  <r>
    <x v="100"/>
    <x v="100"/>
    <n v="764.74"/>
    <n v="0.06"/>
    <n v="7.0000000000000007E-2"/>
    <n v="0.61"/>
    <n v="474.99378881987582"/>
    <n v="822.30107526881727"/>
    <x v="0"/>
    <n v="0.24666666666666667"/>
  </r>
  <r>
    <x v="101"/>
    <x v="101"/>
    <n v="2.84"/>
    <n v="0.34"/>
    <n v="4.0199999999999996"/>
    <n v="23.48"/>
    <n v="0.11601307189542483"/>
    <s v="N/A"/>
    <x v="1"/>
    <n v="9.2799999999999994"/>
  </r>
  <r>
    <x v="102"/>
    <x v="102"/>
    <n v="1.174E-2"/>
    <n v="0.7"/>
    <n v="0.06"/>
    <n v="13.29"/>
    <n v="8.2155353393981818E-4"/>
    <n v="1.2489361702127661E-2"/>
    <x v="4"/>
    <n v="4.6833333333333327"/>
  </r>
  <r>
    <x v="103"/>
    <x v="103"/>
    <n v="2.99"/>
    <n v="0.39"/>
    <n v="18.940000000000001"/>
    <n v="57.24"/>
    <n v="5.1339285714285719E-2"/>
    <s v="N/A"/>
    <x v="1"/>
    <n v="25.523333333333337"/>
  </r>
  <r>
    <x v="104"/>
    <x v="104"/>
    <n v="0.26469999999999999"/>
    <n v="0.77"/>
    <n v="1.6"/>
    <n v="30.89"/>
    <n v="8.3004076513013472E-3"/>
    <s v="N/A"/>
    <x v="2"/>
    <n v="11.086666666666666"/>
  </r>
  <r>
    <x v="105"/>
    <x v="105"/>
    <n v="0.26550000000000001"/>
    <n v="0.02"/>
    <n v="2.69"/>
    <n v="4.9000000000000004"/>
    <n v="4.4999999999999998E-2"/>
    <s v="N/A"/>
    <x v="2"/>
    <n v="2.5366666666666666"/>
  </r>
  <r>
    <x v="106"/>
    <x v="106"/>
    <n v="0.64970000000000006"/>
    <n v="0"/>
    <n v="0.05"/>
    <n v="3.28"/>
    <n v="0.15179906542056079"/>
    <n v="0.68389473684210533"/>
    <x v="1"/>
    <n v="1.1099999999999999"/>
  </r>
  <r>
    <x v="107"/>
    <x v="107"/>
    <n v="2.503E-2"/>
    <n v="1.18"/>
    <n v="3.38"/>
    <n v="1.89"/>
    <n v="8.6608996539792402E-3"/>
    <s v="N/A"/>
    <x v="4"/>
    <n v="2.15"/>
  </r>
  <r>
    <x v="108"/>
    <x v="108"/>
    <n v="5.4050000000000001E-2"/>
    <n v="0.19"/>
    <n v="4.78"/>
    <n v="11.81"/>
    <n v="4.2193598750975801E-3"/>
    <s v="N/A"/>
    <x v="2"/>
    <n v="5.5933333333333337"/>
  </r>
  <r>
    <x v="109"/>
    <x v="109"/>
    <n v="148.4"/>
    <n v="0"/>
    <n v="0.22"/>
    <n v="5.6"/>
    <n v="22.484848484848488"/>
    <n v="190.25641025641025"/>
    <x v="0"/>
    <n v="1.9399999999999997"/>
  </r>
  <r>
    <x v="110"/>
    <x v="110"/>
    <n v="7.5779999999999997E-3"/>
    <n v="19.54"/>
    <n v="150.69"/>
    <n v="176"/>
    <n v="4.2813559322033897E-5"/>
    <s v="N/A"/>
    <x v="4"/>
    <n v="115.41000000000001"/>
  </r>
  <r>
    <x v="111"/>
    <x v="111"/>
    <n v="0.84640000000000004"/>
    <n v="0.93"/>
    <n v="1.02"/>
    <n v="4.9000000000000004"/>
    <n v="0.14345762711864407"/>
    <s v="N/A"/>
    <x v="1"/>
    <n v="2.2833333333333337"/>
  </r>
  <r>
    <x v="112"/>
    <x v="112"/>
    <n v="0.17349999999999999"/>
    <n v="0.05"/>
    <n v="0.24"/>
    <n v="11.96"/>
    <n v="1.3387345679012343E-2"/>
    <n v="0.22828947368421051"/>
    <x v="2"/>
    <n v="4.083333333333333"/>
  </r>
  <r>
    <x v="113"/>
    <x v="113"/>
    <n v="6.9309999999999997E-3"/>
    <n v="0.97"/>
    <n v="3.1"/>
    <n v="3.5"/>
    <n v="1.5402222222222221E-3"/>
    <s v="N/A"/>
    <x v="4"/>
    <n v="2.5233333333333334"/>
  </r>
  <r>
    <x v="114"/>
    <x v="114"/>
    <n v="4631.91"/>
    <n v="0.14000000000000001"/>
    <n v="0.05"/>
    <n v="5.91"/>
    <n v="670.31982633863959"/>
    <n v="4875.6947368421052"/>
    <x v="0"/>
    <n v="2.0333333333333337"/>
  </r>
  <r>
    <x v="115"/>
    <x v="115"/>
    <s v="8.813e-05"/>
    <n v="0.38"/>
    <n v="5.46"/>
    <n v="15.91"/>
    <n v="5.21170904790065E-6"/>
    <s v="N/A"/>
    <x v="0"/>
    <n v="7.25"/>
  </r>
  <r>
    <x v="116"/>
    <x v="116"/>
    <n v="1.1599999999999999"/>
    <n v="0.21"/>
    <n v="3.82"/>
    <n v="23.7"/>
    <n v="4.6963562753036432E-2"/>
    <s v="N/A"/>
    <x v="1"/>
    <n v="9.2433333333333341"/>
  </r>
  <r>
    <x v="117"/>
    <x v="117"/>
    <n v="7.3509999999999999E-3"/>
    <n v="0.17"/>
    <n v="2.0699999999999998"/>
    <n v="6.91"/>
    <n v="9.2932996207332487E-4"/>
    <s v="N/A"/>
    <x v="4"/>
    <n v="3.0500000000000003"/>
  </r>
  <r>
    <x v="118"/>
    <x v="118"/>
    <n v="2.8680000000000001E-2"/>
    <n v="0.13"/>
    <n v="5.22"/>
    <n v="5.98"/>
    <n v="4.1088825214899713E-3"/>
    <s v="N/A"/>
    <x v="4"/>
    <n v="3.7766666666666668"/>
  </r>
  <r>
    <x v="119"/>
    <x v="119"/>
    <n v="1.243E-2"/>
    <n v="0.46"/>
    <n v="1.42"/>
    <n v="4.1399999999999997"/>
    <n v="2.4182879377431907E-3"/>
    <s v="N/A"/>
    <x v="4"/>
    <n v="2.0066666666666664"/>
  </r>
  <r>
    <x v="120"/>
    <x v="120"/>
    <n v="2.5420000000000002E-2"/>
    <n v="0.15"/>
    <n v="0.09"/>
    <n v="0.12"/>
    <n v="2.2696428571428572E-2"/>
    <n v="2.7934065934065933E-2"/>
    <x v="4"/>
    <n v="0.12"/>
  </r>
  <r>
    <x v="121"/>
    <x v="121"/>
    <n v="4.6640000000000001E-2"/>
    <n v="0.05"/>
    <n v="0.76"/>
    <n v="3.98"/>
    <n v="9.3654618473895581E-3"/>
    <n v="0.19433333333333336"/>
    <x v="4"/>
    <n v="1.5966666666666667"/>
  </r>
  <r>
    <x v="122"/>
    <x v="122"/>
    <n v="1.2879999999999999E-4"/>
    <n v="0.05"/>
    <n v="2.04"/>
    <n v="49.23"/>
    <n v="2.5642046585705751E-6"/>
    <s v="N/A"/>
    <x v="4"/>
    <n v="17.106666666666666"/>
  </r>
  <r>
    <x v="123"/>
    <x v="123"/>
    <n v="5.6610000000000001E-2"/>
    <n v="0.31"/>
    <n v="6.19"/>
    <n v="37.61"/>
    <n v="1.4662004662004662E-3"/>
    <s v="N/A"/>
    <x v="2"/>
    <n v="14.703333333333333"/>
  </r>
  <r>
    <x v="124"/>
    <x v="124"/>
    <n v="89.53"/>
    <n v="0.75"/>
    <n v="1.64"/>
    <n v="11.7"/>
    <n v="7.0496062992125985"/>
    <s v="N/A"/>
    <x v="0"/>
    <n v="4.6966666666666663"/>
  </r>
  <r>
    <x v="125"/>
    <x v="125"/>
    <n v="6.62E-3"/>
    <n v="0.24"/>
    <n v="2.3199999999999998"/>
    <n v="18.97"/>
    <n v="3.3149724586880322E-4"/>
    <s v="N/A"/>
    <x v="4"/>
    <n v="7.1766666666666659"/>
  </r>
  <r>
    <x v="126"/>
    <x v="126"/>
    <n v="1.452E-2"/>
    <n v="0.15"/>
    <n v="1.02"/>
    <n v="1.79"/>
    <n v="5.2043010752688169E-3"/>
    <s v="N/A"/>
    <x v="4"/>
    <n v="0.98666666666666669"/>
  </r>
  <r>
    <x v="127"/>
    <x v="127"/>
    <n v="18.420000000000002"/>
    <n v="0.28999999999999998"/>
    <n v="2.2000000000000002"/>
    <n v="1.46"/>
    <n v="7.4878048780487809"/>
    <s v="N/A"/>
    <x v="3"/>
    <n v="1.3166666666666667"/>
  </r>
  <r>
    <x v="128"/>
    <x v="128"/>
    <n v="4.1480000000000003E-2"/>
    <n v="0.61"/>
    <n v="1.34"/>
    <n v="13.29"/>
    <n v="2.9027291812456267E-3"/>
    <s v="N/A"/>
    <x v="4"/>
    <n v="5.0799999999999992"/>
  </r>
  <r>
    <x v="129"/>
    <x v="129"/>
    <n v="6.5549999999999997E-2"/>
    <n v="0.31"/>
    <n v="2.54"/>
    <n v="11.13"/>
    <n v="5.4039571310799664E-3"/>
    <s v="N/A"/>
    <x v="2"/>
    <n v="4.66"/>
  </r>
  <r>
    <x v="130"/>
    <x v="130"/>
    <n v="2.7989999999999998E-3"/>
    <n v="7.0000000000000007E-2"/>
    <n v="10.61"/>
    <n v="22.96"/>
    <n v="1.1681969949916526E-4"/>
    <s v="N/A"/>
    <x v="4"/>
    <n v="11.213333333333333"/>
  </r>
  <r>
    <x v="131"/>
    <x v="131"/>
    <n v="6.2030000000000002E-3"/>
    <n v="0.18"/>
    <n v="1.1200000000000001"/>
    <n v="1.46"/>
    <n v="2.5215447154471548E-3"/>
    <s v="N/A"/>
    <x v="4"/>
    <n v="0.91999999999999993"/>
  </r>
  <r>
    <x v="132"/>
    <x v="132"/>
    <n v="0.1943"/>
    <n v="0.02"/>
    <n v="0.44"/>
    <n v="5.86"/>
    <n v="2.8323615160349851E-2"/>
    <n v="0.34696428571428567"/>
    <x v="2"/>
    <n v="2.1066666666666669"/>
  </r>
  <r>
    <x v="133"/>
    <x v="133"/>
    <n v="0.68469999999999998"/>
    <n v="0.06"/>
    <n v="2.42"/>
    <n v="10.63"/>
    <n v="5.8873602751504724E-2"/>
    <s v="N/A"/>
    <x v="1"/>
    <n v="4.37"/>
  </r>
  <r>
    <x v="134"/>
    <x v="134"/>
    <n v="6.5919999999999998E-4"/>
    <n v="0.9"/>
    <n v="0.79"/>
    <n v="16.87"/>
    <n v="3.6888640179071067E-5"/>
    <n v="3.1390476190476194E-3"/>
    <x v="4"/>
    <n v="6.1866666666666674"/>
  </r>
  <r>
    <x v="135"/>
    <x v="135"/>
    <n v="5.0619999999999997E-3"/>
    <n v="0.01"/>
    <n v="0.31"/>
    <n v="1.53"/>
    <n v="2.000790513833992E-3"/>
    <n v="7.3362318840579713E-3"/>
    <x v="4"/>
    <n v="0.6166666666666667"/>
  </r>
  <r>
    <x v="136"/>
    <x v="136"/>
    <n v="2.214E-2"/>
    <n v="0"/>
    <n v="3.37"/>
    <n v="26.96"/>
    <n v="7.9184549356223178E-4"/>
    <s v="N/A"/>
    <x v="4"/>
    <n v="10.110000000000001"/>
  </r>
  <r>
    <x v="137"/>
    <x v="137"/>
    <n v="2.3949999999999999E-2"/>
    <n v="0.45"/>
    <n v="0.61"/>
    <n v="3.45"/>
    <n v="5.3820224719101119E-3"/>
    <n v="6.1410256410256409E-2"/>
    <x v="4"/>
    <n v="1.5033333333333332"/>
  </r>
  <r>
    <x v="138"/>
    <x v="138"/>
    <n v="8.0329999999999999E-2"/>
    <n v="1.05"/>
    <n v="9.24"/>
    <n v="30.81"/>
    <n v="2.5253065073876139E-3"/>
    <s v="N/A"/>
    <x v="2"/>
    <n v="13.700000000000001"/>
  </r>
  <r>
    <x v="139"/>
    <x v="139"/>
    <n v="3.0019999999999999E-3"/>
    <n v="9.58"/>
    <n v="111.97"/>
    <n v="179.93"/>
    <n v="1.659205217487426E-5"/>
    <s v="N/A"/>
    <x v="4"/>
    <n v="100.49333333333334"/>
  </r>
  <r>
    <x v="140"/>
    <x v="140"/>
    <n v="3.503E-3"/>
    <n v="1.26"/>
    <n v="5.84"/>
    <n v="145.86000000000001"/>
    <n v="2.3852648781152114E-5"/>
    <s v="N/A"/>
    <x v="4"/>
    <n v="50.986666666666672"/>
  </r>
  <r>
    <x v="141"/>
    <x v="141"/>
    <n v="0.12770000000000001"/>
    <n v="0.64"/>
    <n v="2.33"/>
    <n v="0.12"/>
    <n v="0.11401785714285714"/>
    <s v="N/A"/>
    <x v="2"/>
    <n v="1.03"/>
  </r>
  <r>
    <x v="142"/>
    <x v="142"/>
    <n v="1.255E-2"/>
    <n v="0.71"/>
    <n v="3.14"/>
    <n v="3.26"/>
    <n v="2.9460093896713619E-3"/>
    <s v="N/A"/>
    <x v="4"/>
    <n v="2.3699999999999997"/>
  </r>
  <r>
    <x v="143"/>
    <x v="143"/>
    <n v="2.869E-2"/>
    <n v="0.37"/>
    <n v="0.08"/>
    <n v="9.0399999999999991"/>
    <n v="2.8575697211155383E-3"/>
    <n v="3.1184782608695651E-2"/>
    <x v="4"/>
    <n v="3.1633333333333327"/>
  </r>
  <r>
    <x v="144"/>
    <x v="144"/>
    <n v="4.9010000000000004E-4"/>
    <n v="8.0399999999999991"/>
    <n v="35.24"/>
    <n v="123.75"/>
    <n v="3.9286573146292592E-6"/>
    <s v="N/A"/>
    <x v="4"/>
    <n v="55.676666666666669"/>
  </r>
  <r>
    <x v="145"/>
    <x v="145"/>
    <n v="7.1730000000000002E-2"/>
    <n v="0.77"/>
    <n v="2.19"/>
    <n v="12.68"/>
    <n v="5.2434210526315795E-3"/>
    <s v="N/A"/>
    <x v="2"/>
    <n v="5.2133333333333338"/>
  </r>
  <r>
    <x v="146"/>
    <x v="146"/>
    <n v="0.13439999999999999"/>
    <n v="0.46"/>
    <n v="1.97"/>
    <n v="4.4800000000000004"/>
    <n v="2.452554744525547E-2"/>
    <s v="N/A"/>
    <x v="2"/>
    <n v="2.3033333333333332"/>
  </r>
  <r>
    <x v="147"/>
    <x v="147"/>
    <n v="1.0789999999999999E-2"/>
    <n v="1.21"/>
    <n v="0.41"/>
    <n v="7.74"/>
    <n v="1.2345537757437069E-3"/>
    <n v="1.8288135593220334E-2"/>
    <x v="4"/>
    <n v="3.1199999999999997"/>
  </r>
  <r>
    <x v="148"/>
    <x v="148"/>
    <n v="1.4080000000000001E-2"/>
    <n v="3.23"/>
    <n v="13.52"/>
    <n v="12.62"/>
    <n v="1.0337738619676947E-3"/>
    <s v="N/A"/>
    <x v="4"/>
    <n v="9.7899999999999991"/>
  </r>
  <r>
    <x v="149"/>
    <x v="149"/>
    <n v="3.2539999999999999E-3"/>
    <n v="0.55000000000000004"/>
    <n v="3.89"/>
    <n v="9.7799999999999994"/>
    <n v="3.0185528756957331E-4"/>
    <s v="N/A"/>
    <x v="4"/>
    <n v="4.7399999999999993"/>
  </r>
  <r>
    <x v="150"/>
    <x v="150"/>
    <n v="8.7129999999999999E-2"/>
    <n v="0.28000000000000003"/>
    <n v="2.78"/>
    <n v="72.92"/>
    <n v="1.17870670995671E-3"/>
    <s v="N/A"/>
    <x v="2"/>
    <n v="25.326666666666668"/>
  </r>
  <r>
    <x v="151"/>
    <x v="151"/>
    <n v="8.5000000000000006E-3"/>
    <n v="2.8"/>
    <n v="0.08"/>
    <n v="2.4900000000000002"/>
    <n v="2.4355300859598855E-3"/>
    <n v="9.2391304347826091E-3"/>
    <x v="4"/>
    <n v="1.79"/>
  </r>
  <r>
    <x v="152"/>
    <x v="152"/>
    <n v="0.121"/>
    <n v="0.06"/>
    <n v="0.81"/>
    <n v="14.93"/>
    <n v="7.5957313245448837E-3"/>
    <n v="0.6368421052631581"/>
    <x v="2"/>
    <n v="5.2666666666666666"/>
  </r>
  <r>
    <x v="153"/>
    <x v="153"/>
    <n v="0.50009999999999999"/>
    <n v="0.15"/>
    <n v="0.81"/>
    <n v="8.59"/>
    <n v="5.2148070907194997E-2"/>
    <n v="2.6321052631578956"/>
    <x v="1"/>
    <n v="3.1833333333333336"/>
  </r>
  <r>
    <x v="154"/>
    <x v="154"/>
    <n v="562.74"/>
    <n v="0.04"/>
    <n v="2.02"/>
    <n v="0.67"/>
    <n v="336.97005988023955"/>
    <s v="N/A"/>
    <x v="0"/>
    <n v="0.91"/>
  </r>
  <r>
    <x v="155"/>
    <x v="155"/>
    <n v="2.457E-3"/>
    <n v="0.64"/>
    <n v="0.82"/>
    <n v="9.6"/>
    <n v="2.3179245283018869E-4"/>
    <n v="1.3649999999999995E-2"/>
    <x v="4"/>
    <n v="3.6866666666666661"/>
  </r>
  <r>
    <x v="156"/>
    <x v="156"/>
    <n v="9.1539999999999996E-2"/>
    <n v="0"/>
    <n v="0"/>
    <n v="0"/>
    <n v="9.1539999999999996E-2"/>
    <n v="9.1539999999999996E-2"/>
    <x v="2"/>
    <n v="0"/>
  </r>
  <r>
    <x v="157"/>
    <x v="157"/>
    <n v="310.51"/>
    <n v="0.1"/>
    <n v="0.02"/>
    <n v="1.28"/>
    <n v="136.18859649122805"/>
    <n v="316.84693877551018"/>
    <x v="0"/>
    <n v="0.46666666666666673"/>
  </r>
  <r>
    <x v="158"/>
    <x v="158"/>
    <n v="0.2319"/>
    <n v="0.5"/>
    <n v="0.21"/>
    <n v="0.17"/>
    <n v="0.1982051282051282"/>
    <n v="0.29354430379746832"/>
    <x v="2"/>
    <n v="0.29333333333333333"/>
  </r>
  <r>
    <x v="159"/>
    <x v="159"/>
    <n v="0.2727"/>
    <n v="0.14000000000000001"/>
    <n v="0.41"/>
    <n v="22.09"/>
    <n v="1.1810307492420961E-2"/>
    <n v="0.4622033898305084"/>
    <x v="2"/>
    <n v="7.5466666666666669"/>
  </r>
  <r>
    <x v="160"/>
    <x v="160"/>
    <n v="6.3909999999999995E-2"/>
    <n v="0.03"/>
    <n v="0.13"/>
    <n v="8.32"/>
    <n v="6.8572961373390548E-3"/>
    <n v="7.3459770114942521E-2"/>
    <x v="2"/>
    <n v="2.8266666666666667"/>
  </r>
  <r>
    <x v="161"/>
    <x v="161"/>
    <n v="216.99"/>
    <n v="0.22"/>
    <n v="2.96"/>
    <n v="18.64"/>
    <n v="11.048370672097759"/>
    <s v="N/A"/>
    <x v="0"/>
    <n v="7.2733333333333334"/>
  </r>
  <r>
    <x v="162"/>
    <x v="162"/>
    <n v="0.1162"/>
    <n v="0.13"/>
    <n v="4.1900000000000004"/>
    <n v="24.31"/>
    <n v="4.5910707230343737E-3"/>
    <s v="N/A"/>
    <x v="2"/>
    <n v="9.543333333333333"/>
  </r>
  <r>
    <x v="163"/>
    <x v="163"/>
    <n v="0.1085"/>
    <n v="0.4"/>
    <n v="5.03"/>
    <n v="37.49"/>
    <n v="2.8189140036373084E-3"/>
    <s v="N/A"/>
    <x v="2"/>
    <n v="14.306666666666667"/>
  </r>
  <r>
    <x v="164"/>
    <x v="164"/>
    <n v="3.0630000000000002E-4"/>
    <n v="1.79"/>
    <n v="1.94"/>
    <n v="60.78"/>
    <n v="4.9579151829070899E-6"/>
    <s v="N/A"/>
    <x v="4"/>
    <n v="21.503333333333334"/>
  </r>
  <r>
    <x v="165"/>
    <x v="165"/>
    <n v="7.1664000000000005E-2"/>
    <n v="0.11"/>
    <n v="3.1"/>
    <n v="22.36"/>
    <n v="3.0678082191780824E-3"/>
    <s v="N/A"/>
    <x v="2"/>
    <n v="8.5233333333333334"/>
  </r>
  <r>
    <x v="166"/>
    <x v="166"/>
    <n v="7.26E-3"/>
    <n v="0.33"/>
    <n v="2.35"/>
    <n v="8.6999999999999993"/>
    <n v="7.4845360824742275E-4"/>
    <s v="N/A"/>
    <x v="4"/>
    <n v="3.793333333333333"/>
  </r>
  <r>
    <x v="167"/>
    <x v="167"/>
    <n v="1.7069999999999998E-2"/>
    <n v="0.3"/>
    <n v="1.52"/>
    <n v="23.06"/>
    <n v="7.0947630922693259E-4"/>
    <s v="N/A"/>
    <x v="4"/>
    <n v="8.293333333333333"/>
  </r>
  <r>
    <x v="168"/>
    <x v="168"/>
    <n v="1.9330000000000001E-4"/>
    <n v="0.13"/>
    <n v="3.45"/>
    <n v="6.16"/>
    <n v="2.6997206703910616E-5"/>
    <s v="N/A"/>
    <x v="4"/>
    <n v="3.2466666666666666"/>
  </r>
  <r>
    <x v="169"/>
    <x v="169"/>
    <n v="6.8585999999999994E-2"/>
    <n v="0"/>
    <n v="3.16"/>
    <n v="27.78"/>
    <n v="2.3831132731063237E-3"/>
    <s v="N/A"/>
    <x v="2"/>
    <n v="10.313333333333334"/>
  </r>
  <r>
    <x v="170"/>
    <x v="170"/>
    <n v="1.0410000000000001E-2"/>
    <n v="0.99"/>
    <n v="19.920000000000002"/>
    <n v="35.950000000000003"/>
    <n v="2.8173207036535859E-4"/>
    <s v="N/A"/>
    <x v="4"/>
    <n v="18.953333333333333"/>
  </r>
  <r>
    <x v="171"/>
    <x v="171"/>
    <n v="0.50060000000000004"/>
    <n v="0.89"/>
    <n v="0.31"/>
    <n v="15.52"/>
    <n v="3.0302663438256661E-2"/>
    <n v="0.72550724637681174"/>
    <x v="1"/>
    <n v="5.5733333333333333"/>
  </r>
  <r>
    <x v="172"/>
    <x v="172"/>
    <n v="0.27900000000000003"/>
    <n v="0.03"/>
    <n v="1.38"/>
    <n v="9.3000000000000007"/>
    <n v="2.7087378640776701E-2"/>
    <s v="N/A"/>
    <x v="2"/>
    <n v="3.5700000000000003"/>
  </r>
  <r>
    <x v="173"/>
    <x v="173"/>
    <n v="7.9390000000000005E-4"/>
    <n v="1.67"/>
    <n v="8.4"/>
    <n v="6.62"/>
    <n v="1.0418635170603675E-4"/>
    <s v="N/A"/>
    <x v="4"/>
    <n v="5.5633333333333335"/>
  </r>
  <r>
    <x v="174"/>
    <x v="174"/>
    <n v="926.42"/>
    <n v="0.37"/>
    <n v="1"/>
    <n v="5.63"/>
    <n v="139.73152337858221"/>
    <s v="N/A"/>
    <x v="0"/>
    <n v="2.3333333333333335"/>
  </r>
  <r>
    <x v="175"/>
    <x v="175"/>
    <n v="2.3040000000000001E-2"/>
    <n v="0.09"/>
    <n v="0.43"/>
    <n v="12.37"/>
    <n v="1.723261032161556E-3"/>
    <n v="4.0421052631578948E-2"/>
    <x v="4"/>
    <n v="4.296666666666666"/>
  </r>
  <r>
    <x v="176"/>
    <x v="176"/>
    <n v="1.25E-3"/>
    <n v="4.9800000000000004"/>
    <n v="5.72"/>
    <n v="19.489999999999998"/>
    <n v="6.1005368472425582E-5"/>
    <s v="N/A"/>
    <x v="4"/>
    <n v="10.063333333333333"/>
  </r>
  <r>
    <x v="177"/>
    <x v="177"/>
    <n v="7.7980000000000002E-3"/>
    <n v="1.0900000000000001"/>
    <n v="1.35"/>
    <n v="12"/>
    <n v="5.9984615384615382E-4"/>
    <s v="N/A"/>
    <x v="4"/>
    <n v="4.8133333333333335"/>
  </r>
  <r>
    <x v="178"/>
    <x v="178"/>
    <n v="6.3629999999999997E-3"/>
    <n v="0.61"/>
    <n v="11.74"/>
    <n v="63.34"/>
    <n v="9.8896487410631017E-5"/>
    <s v="N/A"/>
    <x v="4"/>
    <n v="25.23"/>
  </r>
  <r>
    <x v="179"/>
    <x v="179"/>
    <n v="6.3449999999999999E-3"/>
    <n v="7.0000000000000007E-2"/>
    <n v="13.24"/>
    <n v="24.42"/>
    <n v="2.4960660896931549E-4"/>
    <s v="N/A"/>
    <x v="4"/>
    <n v="12.576666666666668"/>
  </r>
  <r>
    <x v="180"/>
    <x v="180"/>
    <n v="5.4739999999999997E-3"/>
    <n v="4.33"/>
    <n v="57.04"/>
    <n v="163.86"/>
    <n v="3.3203930607788421E-5"/>
    <s v="N/A"/>
    <x v="4"/>
    <n v="75.076666666666668"/>
  </r>
  <r>
    <x v="181"/>
    <x v="181"/>
    <n v="1.044E-2"/>
    <n v="0.35"/>
    <n v="0.3"/>
    <n v="4.76"/>
    <n v="1.8125000000000001E-3"/>
    <n v="1.4914285714285715E-2"/>
    <x v="4"/>
    <n v="1.8033333333333335"/>
  </r>
  <r>
    <x v="182"/>
    <x v="182"/>
    <n v="0.32829999999999998"/>
    <n v="0.02"/>
    <n v="1.6"/>
    <n v="12.07"/>
    <n v="2.51185921958684E-2"/>
    <s v="N/A"/>
    <x v="2"/>
    <n v="4.5633333333333335"/>
  </r>
  <r>
    <x v="183"/>
    <x v="183"/>
    <n v="2.4729999999999999E-4"/>
    <n v="0.22"/>
    <n v="3.72"/>
    <n v="19.149999999999999"/>
    <n v="1.2272952853598015E-5"/>
    <s v="N/A"/>
    <x v="4"/>
    <n v="7.6966666666666663"/>
  </r>
  <r>
    <x v="184"/>
    <x v="184"/>
    <n v="0.39600000000000002"/>
    <n v="0.1"/>
    <n v="2.46"/>
    <n v="17.47"/>
    <n v="2.1440173253925287E-2"/>
    <s v="N/A"/>
    <x v="2"/>
    <n v="6.6766666666666659"/>
  </r>
  <r>
    <x v="185"/>
    <x v="185"/>
    <n v="1.0790000000000001E-3"/>
    <n v="0.01"/>
    <n v="0.32"/>
    <n v="13.64"/>
    <n v="7.3702185792349733E-5"/>
    <n v="1.5867647058823533E-3"/>
    <x v="4"/>
    <n v="4.6566666666666672"/>
  </r>
  <r>
    <x v="186"/>
    <x v="186"/>
    <n v="0.372"/>
    <n v="0.08"/>
    <n v="0.4"/>
    <n v="8.48"/>
    <n v="3.9240506329113925E-2"/>
    <n v="0.62"/>
    <x v="2"/>
    <n v="2.9866666666666668"/>
  </r>
  <r>
    <x v="187"/>
    <x v="187"/>
    <n v="1.3429999999999999E-2"/>
    <n v="0.22"/>
    <n v="2.68"/>
    <n v="19.059999999999999"/>
    <n v="6.6949152542372886E-4"/>
    <s v="N/A"/>
    <x v="4"/>
    <n v="7.32"/>
  </r>
  <r>
    <x v="188"/>
    <x v="188"/>
    <s v="2.798e-05"/>
    <n v="0.01"/>
    <n v="0.02"/>
    <n v="0.06"/>
    <n v="2.6396226415094338E-5"/>
    <n v="2.8551020408163266E-5"/>
    <x v="0"/>
    <n v="0.03"/>
  </r>
  <r>
    <x v="189"/>
    <x v="189"/>
    <n v="1.4409999999999999E-2"/>
    <n v="6.1"/>
    <n v="31.52"/>
    <n v="25536.22"/>
    <n v="5.6427441984679609E-7"/>
    <s v="N/A"/>
    <x v="4"/>
    <n v="8524.6133333333328"/>
  </r>
  <r>
    <x v="190"/>
    <x v="190"/>
    <n v="0.1288"/>
    <n v="0"/>
    <n v="1.63"/>
    <n v="5.25"/>
    <n v="2.0608000000000001E-2"/>
    <s v="N/A"/>
    <x v="2"/>
    <n v="2.2933333333333334"/>
  </r>
  <r>
    <x v="191"/>
    <x v="191"/>
    <n v="1.055E-2"/>
    <n v="0.06"/>
    <n v="0.98"/>
    <n v="24.77"/>
    <n v="4.0939076445479242E-4"/>
    <n v="0.52749999999999952"/>
    <x v="4"/>
    <n v="8.6033333333333335"/>
  </r>
  <r>
    <x v="192"/>
    <x v="192"/>
    <n v="3.6450000000000003E-2"/>
    <n v="0.06"/>
    <n v="5.8"/>
    <n v="19.93"/>
    <n v="1.7415193502150026E-3"/>
    <s v="N/A"/>
    <x v="4"/>
    <n v="8.5966666666666658"/>
  </r>
  <r>
    <x v="193"/>
    <x v="193"/>
    <n v="116.08"/>
    <n v="0.76"/>
    <n v="1.68"/>
    <n v="20.34"/>
    <n v="5.4395501405810682"/>
    <s v="N/A"/>
    <x v="0"/>
    <n v="7.5933333333333337"/>
  </r>
  <r>
    <x v="194"/>
    <x v="194"/>
    <n v="2.809E-2"/>
    <n v="0.51"/>
    <n v="0.46"/>
    <n v="10.35"/>
    <n v="2.4748898678414099E-3"/>
    <n v="5.2018518518518513E-2"/>
    <x v="4"/>
    <n v="3.7733333333333334"/>
  </r>
  <r>
    <x v="195"/>
    <x v="195"/>
    <n v="3.3399999999999999E-4"/>
    <n v="1.72"/>
    <n v="4.3600000000000003"/>
    <n v="17.79"/>
    <n v="1.7775412453432677E-5"/>
    <s v="N/A"/>
    <x v="4"/>
    <n v="7.9566666666666661"/>
  </r>
  <r>
    <x v="196"/>
    <x v="196"/>
    <n v="0.17150000000000001"/>
    <n v="0.13"/>
    <n v="0.13"/>
    <n v="4.21"/>
    <n v="3.2917466410748566E-2"/>
    <n v="0.19712643678160921"/>
    <x v="2"/>
    <n v="1.49"/>
  </r>
  <r>
    <x v="197"/>
    <x v="197"/>
    <n v="1.1690000000000001E-2"/>
    <n v="0"/>
    <n v="4.29"/>
    <n v="7.06"/>
    <n v="1.4503722084367248E-3"/>
    <s v="N/A"/>
    <x v="4"/>
    <n v="3.7833333333333332"/>
  </r>
  <r>
    <x v="198"/>
    <x v="198"/>
    <n v="3.9649999999999998E-3"/>
    <n v="0.42"/>
    <n v="3.8"/>
    <n v="0.61"/>
    <n v="2.4627329192546585E-3"/>
    <s v="N/A"/>
    <x v="4"/>
    <n v="1.61"/>
  </r>
  <r>
    <x v="199"/>
    <x v="199"/>
    <n v="6.4800000000000003E-4"/>
    <n v="1.45"/>
    <n v="3.77"/>
    <n v="15.26"/>
    <n v="3.9852398523985246E-5"/>
    <s v="N/A"/>
    <x v="4"/>
    <n v="6.8266666666666671"/>
  </r>
  <r>
    <x v="200"/>
    <x v="200"/>
    <n v="462.24"/>
    <n v="0.18"/>
    <n v="0.33"/>
    <n v="7.55"/>
    <n v="54.06315789473684"/>
    <n v="689.91044776119406"/>
    <x v="0"/>
    <n v="2.686666666666667"/>
  </r>
  <r>
    <x v="201"/>
    <x v="201"/>
    <n v="0.27279999999999999"/>
    <n v="0.7"/>
    <n v="3.78"/>
    <n v="46.46"/>
    <n v="5.7479983143699951E-3"/>
    <s v="N/A"/>
    <x v="2"/>
    <n v="16.98"/>
  </r>
  <r>
    <x v="202"/>
    <x v="202"/>
    <n v="3.9370000000000004E-3"/>
    <n v="0.44"/>
    <n v="3.71"/>
    <n v="44.81"/>
    <n v="8.5941934075529363E-5"/>
    <s v="N/A"/>
    <x v="4"/>
    <n v="16.32"/>
  </r>
  <r>
    <x v="203"/>
    <x v="203"/>
    <n v="1.341E-2"/>
    <n v="2.08"/>
    <n v="0.01"/>
    <n v="3.67"/>
    <n v="2.8715203426124196E-3"/>
    <n v="1.3545454545454546E-2"/>
    <x v="4"/>
    <n v="1.92"/>
  </r>
  <r>
    <x v="204"/>
    <x v="204"/>
    <n v="5.6280000000000002E-4"/>
    <n v="0.19"/>
    <n v="5.44"/>
    <n v="9.39"/>
    <n v="5.4167468719923001E-5"/>
    <s v="N/A"/>
    <x v="4"/>
    <n v="5.0066666666666668"/>
  </r>
  <r>
    <x v="205"/>
    <x v="205"/>
    <n v="3.9170000000000003E-2"/>
    <n v="0.21"/>
    <n v="0.81"/>
    <n v="20.39"/>
    <n v="1.8312295465170642E-3"/>
    <n v="0.20615789473684218"/>
    <x v="4"/>
    <n v="7.1366666666666667"/>
  </r>
  <r>
    <x v="206"/>
    <x v="206"/>
    <n v="1.1809999999999999E-2"/>
    <n v="0.05"/>
    <n v="0.72"/>
    <n v="16.39"/>
    <n v="6.7912593444508331E-4"/>
    <n v="4.2178571428571419E-2"/>
    <x v="4"/>
    <n v="5.72"/>
  </r>
  <r>
    <x v="207"/>
    <x v="207"/>
    <n v="5.237E-2"/>
    <n v="0.09"/>
    <n v="3.36"/>
    <n v="23.22"/>
    <n v="2.1622625928984312E-3"/>
    <s v="N/A"/>
    <x v="2"/>
    <n v="8.8899999999999988"/>
  </r>
  <r>
    <x v="208"/>
    <x v="208"/>
    <n v="9.0090000000000003E-2"/>
    <n v="0"/>
    <n v="14.21"/>
    <n v="2.5"/>
    <n v="2.5740000000000002E-2"/>
    <s v="N/A"/>
    <x v="2"/>
    <n v="5.57"/>
  </r>
  <r>
    <x v="209"/>
    <x v="209"/>
    <n v="1.091E-2"/>
    <n v="0.45"/>
    <n v="4.47"/>
    <n v="18.149999999999999"/>
    <n v="5.6971279373368153E-4"/>
    <s v="N/A"/>
    <x v="4"/>
    <n v="7.69"/>
  </r>
  <r>
    <x v="210"/>
    <x v="210"/>
    <n v="6.411E-3"/>
    <n v="0.25"/>
    <n v="2.37"/>
    <n v="14.08"/>
    <n v="4.2513262599469499E-4"/>
    <s v="N/A"/>
    <x v="4"/>
    <n v="5.5666666666666664"/>
  </r>
  <r>
    <x v="211"/>
    <x v="211"/>
    <n v="462.54"/>
    <n v="0.21"/>
    <n v="0.2"/>
    <n v="7.4"/>
    <n v="55.064285714285717"/>
    <n v="578.17499999999995"/>
    <x v="0"/>
    <n v="2.6033333333333335"/>
  </r>
  <r>
    <x v="212"/>
    <x v="212"/>
    <n v="1.306E-2"/>
    <n v="4.4000000000000004"/>
    <n v="4.5199999999999996"/>
    <n v="0.52"/>
    <n v="8.5921052631578957E-3"/>
    <s v="N/A"/>
    <x v="4"/>
    <n v="3.1466666666666665"/>
  </r>
  <r>
    <x v="213"/>
    <x v="213"/>
    <n v="77.069999999999993"/>
    <n v="0.01"/>
    <n v="1.22"/>
    <n v="2.08"/>
    <n v="25.02272727272727"/>
    <s v="N/A"/>
    <x v="0"/>
    <n v="1.1033333333333333"/>
  </r>
  <r>
    <x v="214"/>
    <x v="214"/>
    <n v="8.3160000000000005E-4"/>
    <n v="0.73"/>
    <n v="2.2000000000000002"/>
    <n v="15.43"/>
    <n v="5.0614729153986613E-5"/>
    <s v="N/A"/>
    <x v="4"/>
    <n v="6.12"/>
  </r>
  <r>
    <x v="215"/>
    <x v="215"/>
    <n v="7.2610000000000003E-4"/>
    <n v="0"/>
    <n v="0.26"/>
    <n v="5.69"/>
    <n v="1.0853512705530642E-4"/>
    <n v="9.8121621621621619E-4"/>
    <x v="4"/>
    <n v="1.9833333333333334"/>
  </r>
  <r>
    <x v="216"/>
    <x v="216"/>
    <n v="5.5449999999999998E-4"/>
    <n v="0.45"/>
    <n v="0.09"/>
    <n v="1.58"/>
    <n v="2.1492248062015502E-4"/>
    <n v="6.0934065934065932E-4"/>
    <x v="4"/>
    <n v="0.70666666666666667"/>
  </r>
  <r>
    <x v="217"/>
    <x v="217"/>
    <n v="8.0579999999999996E-4"/>
    <n v="0.09"/>
    <n v="2.89"/>
    <n v="5.23"/>
    <n v="1.2934189406099518E-4"/>
    <s v="N/A"/>
    <x v="4"/>
    <n v="2.7366666666666668"/>
  </r>
  <r>
    <x v="218"/>
    <x v="218"/>
    <n v="8.7274000000000004E-2"/>
    <n v="1.42"/>
    <n v="2.56"/>
    <n v="21.99"/>
    <n v="3.7961722488038282E-3"/>
    <s v="N/A"/>
    <x v="2"/>
    <n v="8.6566666666666663"/>
  </r>
  <r>
    <x v="219"/>
    <x v="219"/>
    <n v="1.038E-2"/>
    <n v="1.56"/>
    <n v="1.9"/>
    <n v="17.12"/>
    <n v="5.7284768211920533E-4"/>
    <s v="N/A"/>
    <x v="4"/>
    <n v="6.86"/>
  </r>
  <r>
    <x v="220"/>
    <x v="220"/>
    <n v="9.1970000000000003E-3"/>
    <n v="5.71"/>
    <n v="1.82"/>
    <n v="10.119999999999999"/>
    <n v="8.270683453237411E-4"/>
    <s v="N/A"/>
    <x v="4"/>
    <n v="5.8833333333333329"/>
  </r>
  <r>
    <x v="221"/>
    <x v="221"/>
    <n v="1.866E-2"/>
    <n v="3.55"/>
    <n v="2.5099999999999998"/>
    <n v="14.07"/>
    <n v="1.2382216323822163E-3"/>
    <s v="N/A"/>
    <x v="4"/>
    <n v="6.71"/>
  </r>
  <r>
    <x v="222"/>
    <x v="222"/>
    <s v="4.709e-05"/>
    <n v="0.9"/>
    <n v="3.03"/>
    <n v="20.82"/>
    <n v="2.1581118240146654E-6"/>
    <s v="N/A"/>
    <x v="0"/>
    <n v="8.25"/>
  </r>
  <r>
    <x v="223"/>
    <x v="223"/>
    <n v="1.2689999999999999E-4"/>
    <n v="0.77"/>
    <n v="5.95"/>
    <n v="15.1"/>
    <n v="7.8819875776397507E-6"/>
    <s v="N/A"/>
    <x v="4"/>
    <n v="7.2733333333333334"/>
  </r>
  <r>
    <x v="224"/>
    <x v="224"/>
    <n v="1.5690000000000001E-3"/>
    <n v="5.65"/>
    <n v="38.1"/>
    <n v="73.209999999999994"/>
    <n v="2.1142703139738581E-5"/>
    <s v="N/A"/>
    <x v="4"/>
    <n v="38.986666666666665"/>
  </r>
  <r>
    <x v="225"/>
    <x v="225"/>
    <n v="8.9980000000000004E-2"/>
    <n v="5.64"/>
    <n v="29.03"/>
    <n v="213.73"/>
    <n v="4.1903786150048904E-4"/>
    <s v="N/A"/>
    <x v="2"/>
    <n v="82.8"/>
  </r>
  <r>
    <x v="226"/>
    <x v="226"/>
    <n v="48.05"/>
    <n v="0.2"/>
    <n v="0.56000000000000005"/>
    <n v="5.01"/>
    <n v="7.9950083194675541"/>
    <n v="109.20454545454547"/>
    <x v="3"/>
    <n v="1.9233333333333331"/>
  </r>
  <r>
    <x v="227"/>
    <x v="227"/>
    <n v="2.3149999999999998E-3"/>
    <n v="1.89"/>
    <n v="0.57999999999999996"/>
    <n v="4.2300000000000004"/>
    <n v="4.4263862332695979E-4"/>
    <n v="5.5119047619047613E-3"/>
    <x v="4"/>
    <n v="2.2333333333333334"/>
  </r>
  <r>
    <x v="228"/>
    <x v="228"/>
    <n v="1.239E-2"/>
    <n v="2.91"/>
    <n v="5.4"/>
    <n v="12.13"/>
    <n v="9.4364051789794354E-4"/>
    <s v="N/A"/>
    <x v="4"/>
    <n v="6.8133333333333335"/>
  </r>
  <r>
    <x v="229"/>
    <x v="229"/>
    <n v="4.1139999999999996E-3"/>
    <n v="3.52"/>
    <n v="3.22"/>
    <n v="0.33"/>
    <n v="3.0932330827067663E-3"/>
    <s v="N/A"/>
    <x v="4"/>
    <n v="2.3566666666666669"/>
  </r>
  <r>
    <x v="230"/>
    <x v="230"/>
    <n v="55.62"/>
    <n v="7.0000000000000007E-2"/>
    <n v="0.2"/>
    <n v="4.3899999999999997"/>
    <n v="10.319109461966605"/>
    <n v="69.524999999999991"/>
    <x v="0"/>
    <n v="1.5533333333333335"/>
  </r>
  <r>
    <x v="231"/>
    <x v="231"/>
    <n v="143.54"/>
    <n v="0.01"/>
    <n v="1.02"/>
    <n v="0.06"/>
    <n v="135.41509433962264"/>
    <s v="N/A"/>
    <x v="0"/>
    <n v="0.36333333333333334"/>
  </r>
  <r>
    <x v="232"/>
    <x v="232"/>
    <n v="2.7899999999999999E-3"/>
    <n v="0.01"/>
    <n v="0.4"/>
    <n v="16.2"/>
    <n v="1.6220930232558139E-4"/>
    <n v="4.6500000000000005E-3"/>
    <x v="4"/>
    <n v="5.5366666666666662"/>
  </r>
  <r>
    <x v="233"/>
    <x v="233"/>
    <n v="0.46960000000000002"/>
    <n v="0.21"/>
    <n v="4.57"/>
    <n v="7.07"/>
    <n v="5.8190830235439903E-2"/>
    <s v="N/A"/>
    <x v="2"/>
    <n v="3.9500000000000006"/>
  </r>
  <r>
    <x v="234"/>
    <x v="234"/>
    <n v="9.6659999999999992E-3"/>
    <n v="0.89"/>
    <n v="5.45"/>
    <n v="3.01"/>
    <n v="2.4104738154613467E-3"/>
    <s v="N/A"/>
    <x v="4"/>
    <n v="3.1166666666666667"/>
  </r>
  <r>
    <x v="235"/>
    <x v="235"/>
    <n v="2.4559999999999998E-3"/>
    <n v="5.14"/>
    <n v="13.93"/>
    <n v="33.57"/>
    <n v="7.1044258027191199E-5"/>
    <s v="N/A"/>
    <x v="4"/>
    <n v="17.546666666666667"/>
  </r>
  <r>
    <x v="236"/>
    <x v="236"/>
    <n v="2.5579999999999999E-3"/>
    <n v="0.1"/>
    <n v="2.73"/>
    <n v="13.51"/>
    <n v="1.762922122674018E-4"/>
    <s v="N/A"/>
    <x v="4"/>
    <n v="5.4466666666666663"/>
  </r>
  <r>
    <x v="237"/>
    <x v="237"/>
    <n v="2.9520000000000002E-3"/>
    <n v="1.41"/>
    <n v="2.63"/>
    <n v="13.99"/>
    <n v="1.969312875250167E-4"/>
    <s v="N/A"/>
    <x v="4"/>
    <n v="6.0100000000000007"/>
  </r>
  <r>
    <x v="238"/>
    <x v="238"/>
    <n v="8.9669999999999993E-3"/>
    <n v="0.72"/>
    <n v="1.73"/>
    <n v="3.67"/>
    <n v="1.9201284796573875E-3"/>
    <s v="N/A"/>
    <x v="4"/>
    <n v="2.04"/>
  </r>
  <r>
    <x v="239"/>
    <x v="239"/>
    <n v="2.49E-3"/>
    <n v="0.61"/>
    <n v="24.39"/>
    <n v="74.989999999999995"/>
    <n v="3.2767469403868931E-5"/>
    <s v="N/A"/>
    <x v="4"/>
    <n v="33.33"/>
  </r>
  <r>
    <x v="240"/>
    <x v="240"/>
    <n v="0.18490000000000001"/>
    <n v="0"/>
    <n v="0"/>
    <n v="7.0000000000000007E-2"/>
    <n v="0.172803738317757"/>
    <n v="0.18490000000000001"/>
    <x v="2"/>
    <n v="2.3333333333333334E-2"/>
  </r>
  <r>
    <x v="241"/>
    <x v="241"/>
    <n v="2.7299999999999998E-3"/>
    <n v="1.67"/>
    <n v="11.92"/>
    <n v="21.88"/>
    <n v="1.1931818181818182E-4"/>
    <s v="N/A"/>
    <x v="4"/>
    <n v="11.823333333333332"/>
  </r>
  <r>
    <x v="242"/>
    <x v="242"/>
    <n v="70.16"/>
    <n v="0.33"/>
    <n v="0.98"/>
    <n v="6.09"/>
    <n v="9.8956276445698155"/>
    <n v="3507.9999999999968"/>
    <x v="0"/>
    <n v="2.4666666666666668"/>
  </r>
  <r>
    <x v="243"/>
    <x v="243"/>
    <n v="1.931E-3"/>
    <n v="0.78"/>
    <n v="13.02"/>
    <n v="89.07"/>
    <n v="2.1438880870434107E-5"/>
    <s v="N/A"/>
    <x v="4"/>
    <n v="34.29"/>
  </r>
  <r>
    <x v="244"/>
    <x v="244"/>
    <n v="5.296E-2"/>
    <n v="0"/>
    <n v="0"/>
    <n v="4.71"/>
    <n v="9.2749562171628719E-3"/>
    <n v="5.296E-2"/>
    <x v="2"/>
    <n v="1.57"/>
  </r>
  <r>
    <x v="245"/>
    <x v="245"/>
    <n v="4.9899999999999996E-3"/>
    <n v="0.03"/>
    <n v="7.0000000000000007E-2"/>
    <n v="3.55"/>
    <n v="1.0967032967032966E-3"/>
    <n v="5.365591397849462E-3"/>
    <x v="4"/>
    <n v="1.2166666666666666"/>
  </r>
  <r>
    <x v="246"/>
    <x v="246"/>
    <n v="7.5439999999999993E-2"/>
    <n v="0.8"/>
    <n v="3.7"/>
    <n v="31.12"/>
    <n v="2.3486924034869234E-3"/>
    <s v="N/A"/>
    <x v="2"/>
    <n v="11.873333333333335"/>
  </r>
  <r>
    <x v="247"/>
    <x v="247"/>
    <n v="2.174E-4"/>
    <n v="0.01"/>
    <n v="1.34"/>
    <n v="17.600000000000001"/>
    <n v="1.1688172043010752E-5"/>
    <s v="N/A"/>
    <x v="4"/>
    <n v="6.3166666666666673"/>
  </r>
  <r>
    <x v="248"/>
    <x v="248"/>
    <n v="2.5660000000000001E-3"/>
    <n v="1.38"/>
    <n v="10.33"/>
    <n v="32.619999999999997"/>
    <n v="7.6323616894705546E-5"/>
    <s v="N/A"/>
    <x v="4"/>
    <n v="14.776666666666666"/>
  </r>
  <r>
    <x v="249"/>
    <x v="249"/>
    <s v="2.036e-05"/>
    <n v="0.11"/>
    <n v="11.14"/>
    <n v="78.89"/>
    <n v="2.5485041932657405E-7"/>
    <s v="N/A"/>
    <x v="0"/>
    <n v="30.046666666666667"/>
  </r>
  <r>
    <x v="250"/>
    <x v="250"/>
    <n v="1.89E-3"/>
    <n v="1.86"/>
    <n v="47.93"/>
    <n v="76.25"/>
    <n v="2.4466019417475727E-5"/>
    <s v="N/A"/>
    <x v="4"/>
    <n v="42.013333333333328"/>
  </r>
  <r>
    <x v="251"/>
    <x v="251"/>
    <n v="40.44"/>
    <n v="0.21"/>
    <n v="0.81"/>
    <n v="8.52"/>
    <n v="4.2478991596638656"/>
    <n v="212.84210526315795"/>
    <x v="3"/>
    <n v="3.1799999999999997"/>
  </r>
  <r>
    <x v="252"/>
    <x v="252"/>
    <n v="24.92"/>
    <n v="0.2"/>
    <n v="9.11"/>
    <n v="34.31"/>
    <n v="0.70574907958085531"/>
    <s v="N/A"/>
    <x v="3"/>
    <n v="14.540000000000001"/>
  </r>
  <r>
    <x v="253"/>
    <x v="253"/>
    <n v="6.2940000000000001E-3"/>
    <n v="0"/>
    <n v="0.72"/>
    <n v="3.82"/>
    <n v="1.3058091286307053E-3"/>
    <n v="2.2478571428571428E-2"/>
    <x v="4"/>
    <n v="1.5133333333333334"/>
  </r>
  <r>
    <x v="254"/>
    <x v="254"/>
    <n v="10.050000000000001"/>
    <n v="0.12"/>
    <n v="0.35"/>
    <n v="5.25"/>
    <n v="1.6080000000000001"/>
    <n v="15.461538461538462"/>
    <x v="3"/>
    <n v="1.9066666666666665"/>
  </r>
  <r>
    <x v="255"/>
    <x v="255"/>
    <n v="2.3480000000000001E-2"/>
    <n v="0"/>
    <n v="1.26"/>
    <n v="18.54"/>
    <n v="1.2016376663254863E-3"/>
    <s v="N/A"/>
    <x v="4"/>
    <n v="6.6000000000000005"/>
  </r>
  <r>
    <x v="256"/>
    <x v="256"/>
    <n v="1111.68"/>
    <n v="0.02"/>
    <n v="0.03"/>
    <n v="5.41"/>
    <n v="173.42901716068644"/>
    <n v="1146.0618556701031"/>
    <x v="0"/>
    <n v="1.82"/>
  </r>
  <r>
    <x v="257"/>
    <x v="257"/>
    <n v="9.5359999999999998E-4"/>
    <n v="0.08"/>
    <n v="1.38"/>
    <n v="6.7"/>
    <n v="1.2384415584415585E-4"/>
    <s v="N/A"/>
    <x v="4"/>
    <n v="2.72"/>
  </r>
  <r>
    <x v="258"/>
    <x v="258"/>
    <n v="2.6289999999999999E-4"/>
    <n v="0.27"/>
    <n v="1.69"/>
    <n v="8.4600000000000009"/>
    <n v="2.77906976744186E-5"/>
    <s v="N/A"/>
    <x v="4"/>
    <n v="3.473333333333334"/>
  </r>
  <r>
    <x v="259"/>
    <x v="259"/>
    <n v="0.2203"/>
    <n v="5.35"/>
    <n v="8.18"/>
    <n v="15.15"/>
    <n v="1.3640866873065016E-2"/>
    <s v="N/A"/>
    <x v="2"/>
    <n v="9.56"/>
  </r>
  <r>
    <x v="260"/>
    <x v="260"/>
    <n v="4.6309999999999997E-2"/>
    <n v="0.14000000000000001"/>
    <n v="4.37"/>
    <n v="15.49"/>
    <n v="2.8083687083080649E-3"/>
    <s v="N/A"/>
    <x v="4"/>
    <n v="6.666666666666667"/>
  </r>
  <r>
    <x v="261"/>
    <x v="261"/>
    <n v="309.61"/>
    <n v="0.24"/>
    <n v="0.1"/>
    <n v="1.3"/>
    <n v="134.61304347826089"/>
    <n v="344.01111111111112"/>
    <x v="0"/>
    <n v="0.54666666666666675"/>
  </r>
  <r>
    <x v="262"/>
    <x v="262"/>
    <n v="5.3672999999999998E-2"/>
    <n v="0.15"/>
    <n v="1.18"/>
    <n v="33.450000000000003"/>
    <n v="1.5579970972423801E-3"/>
    <s v="N/A"/>
    <x v="2"/>
    <n v="11.593333333333334"/>
  </r>
  <r>
    <x v="263"/>
    <x v="263"/>
    <n v="1.5410000000000001E-3"/>
    <n v="0.24"/>
    <n v="0.26"/>
    <n v="17.78"/>
    <n v="8.2055378061767832E-5"/>
    <n v="2.0824324324324327E-3"/>
    <x v="4"/>
    <n v="6.0933333333333337"/>
  </r>
  <r>
    <x v="264"/>
    <x v="264"/>
    <n v="1.539E-3"/>
    <n v="3.46"/>
    <n v="24.55"/>
    <n v="57.39"/>
    <n v="2.6357252954272991E-5"/>
    <s v="N/A"/>
    <x v="4"/>
    <n v="28.466666666666669"/>
  </r>
  <r>
    <x v="265"/>
    <x v="265"/>
    <n v="0.10249999999999999"/>
    <n v="0.12"/>
    <n v="1.32"/>
    <n v="17.04"/>
    <n v="5.681818181818182E-3"/>
    <s v="N/A"/>
    <x v="2"/>
    <n v="6.16"/>
  </r>
  <r>
    <x v="266"/>
    <x v="266"/>
    <n v="2.0300000000000001E-3"/>
    <n v="0.02"/>
    <n v="0.75"/>
    <n v="0.6"/>
    <n v="1.2687499999999999E-3"/>
    <n v="8.1200000000000005E-3"/>
    <x v="4"/>
    <n v="0.45666666666666672"/>
  </r>
  <r>
    <x v="267"/>
    <x v="267"/>
    <n v="8.4791000000000005E-2"/>
    <n v="2.68"/>
    <n v="2.2599999999999998"/>
    <n v="3.2"/>
    <n v="2.0188333333333332E-2"/>
    <s v="N/A"/>
    <x v="2"/>
    <n v="2.7133333333333334"/>
  </r>
  <r>
    <x v="268"/>
    <x v="268"/>
    <n v="1.624E-3"/>
    <n v="0.26"/>
    <n v="3.22"/>
    <n v="10.039999999999999"/>
    <n v="1.4710144927536234E-4"/>
    <s v="N/A"/>
    <x v="4"/>
    <n v="4.5066666666666668"/>
  </r>
  <r>
    <x v="269"/>
    <x v="269"/>
    <n v="158.87"/>
    <n v="0.32"/>
    <n v="0.08"/>
    <n v="4.7"/>
    <n v="27.871929824561402"/>
    <n v="172.68478260869566"/>
    <x v="0"/>
    <n v="1.7000000000000002"/>
  </r>
  <r>
    <x v="270"/>
    <x v="270"/>
    <n v="9.8760000000000001E-2"/>
    <n v="0.01"/>
    <n v="7.49"/>
    <n v="15.36"/>
    <n v="6.0366748166259167E-3"/>
    <s v="N/A"/>
    <x v="2"/>
    <n v="7.62"/>
  </r>
  <r>
    <x v="271"/>
    <x v="271"/>
    <n v="7.1909999999999997E-4"/>
    <n v="0.01"/>
    <n v="1.29"/>
    <n v="2.31"/>
    <n v="2.1725075528700904E-4"/>
    <s v="N/A"/>
    <x v="4"/>
    <n v="1.2033333333333334"/>
  </r>
  <r>
    <x v="272"/>
    <x v="272"/>
    <n v="6.6930000000000002E-3"/>
    <n v="0"/>
    <n v="4.5"/>
    <n v="28.68"/>
    <n v="2.2550539083557953E-4"/>
    <s v="N/A"/>
    <x v="4"/>
    <n v="11.06"/>
  </r>
  <r>
    <x v="273"/>
    <x v="273"/>
    <n v="1.1599999999999999"/>
    <n v="0.02"/>
    <n v="0.18"/>
    <n v="0.66"/>
    <n v="0.69879518072289148"/>
    <n v="1.4146341463414631"/>
    <x v="1"/>
    <n v="0.28666666666666668"/>
  </r>
  <r>
    <x v="274"/>
    <x v="274"/>
    <n v="710.69"/>
    <n v="0.16"/>
    <n v="0.28999999999999998"/>
    <n v="1.9"/>
    <n v="245.06551724137933"/>
    <n v="1000.9718309859156"/>
    <x v="0"/>
    <n v="0.78333333333333321"/>
  </r>
  <r>
    <x v="275"/>
    <x v="275"/>
    <n v="973.38"/>
    <n v="0.01"/>
    <n v="1.87"/>
    <n v="1.04"/>
    <n v="477.14705882352939"/>
    <s v="N/A"/>
    <x v="0"/>
    <n v="0.97333333333333327"/>
  </r>
  <r>
    <x v="276"/>
    <x v="276"/>
    <n v="1.2329999999999999E-3"/>
    <n v="1.34"/>
    <n v="8.06"/>
    <n v="38.26"/>
    <n v="3.1406011207335709E-5"/>
    <s v="N/A"/>
    <x v="4"/>
    <n v="15.886666666666665"/>
  </r>
  <r>
    <x v="277"/>
    <x v="277"/>
    <n v="439.47"/>
    <n v="0.43"/>
    <n v="1.25"/>
    <n v="6.74"/>
    <n v="56.779069767441861"/>
    <s v="N/A"/>
    <x v="0"/>
    <n v="2.8066666666666666"/>
  </r>
  <r>
    <x v="278"/>
    <x v="278"/>
    <n v="1.2290000000000001E-3"/>
    <n v="0"/>
    <n v="0.85"/>
    <n v="32.39"/>
    <n v="3.680742737346511E-5"/>
    <n v="8.193333333333332E-3"/>
    <x v="4"/>
    <n v="11.08"/>
  </r>
  <r>
    <x v="279"/>
    <x v="279"/>
    <n v="4.2610000000000002E-2"/>
    <n v="0"/>
    <n v="0.35"/>
    <n v="13.77"/>
    <n v="2.8849018280297902E-3"/>
    <n v="6.5553846153846157E-2"/>
    <x v="4"/>
    <n v="4.7066666666666661"/>
  </r>
  <r>
    <x v="280"/>
    <x v="280"/>
    <n v="5.3339999999999995E-4"/>
    <n v="0.01"/>
    <n v="2.21"/>
    <n v="13.37"/>
    <n v="3.7118997912317327E-5"/>
    <s v="N/A"/>
    <x v="4"/>
    <n v="5.1966666666666663"/>
  </r>
  <r>
    <x v="281"/>
    <x v="281"/>
    <n v="3.3980000000000003E-2"/>
    <n v="0.01"/>
    <n v="2.38"/>
    <n v="4.95"/>
    <n v="5.7109243697478999E-3"/>
    <s v="N/A"/>
    <x v="4"/>
    <n v="2.4466666666666668"/>
  </r>
  <r>
    <x v="282"/>
    <x v="282"/>
    <n v="2.5229999999999999E-2"/>
    <n v="0.01"/>
    <n v="1.26"/>
    <n v="14.21"/>
    <n v="1.6587771203155817E-3"/>
    <s v="N/A"/>
    <x v="4"/>
    <n v="5.16"/>
  </r>
  <r>
    <x v="283"/>
    <x v="283"/>
    <n v="7.1887000000000006E-2"/>
    <n v="0"/>
    <n v="2.76"/>
    <n v="31.02"/>
    <n v="2.2450655840099941E-3"/>
    <s v="N/A"/>
    <x v="2"/>
    <n v="11.26"/>
  </r>
  <r>
    <x v="284"/>
    <x v="284"/>
    <n v="5.7289999999999997E-3"/>
    <n v="0.49"/>
    <n v="1.54"/>
    <n v="72.790000000000006"/>
    <n v="7.7639246510367247E-5"/>
    <s v="N/A"/>
    <x v="4"/>
    <n v="24.94"/>
  </r>
  <r>
    <x v="285"/>
    <x v="285"/>
    <n v="0.38800000000000001"/>
    <n v="0.23"/>
    <n v="1.1200000000000001"/>
    <n v="43.32"/>
    <n v="8.7545126353790609E-3"/>
    <s v="N/A"/>
    <x v="2"/>
    <n v="14.89"/>
  </r>
  <r>
    <x v="286"/>
    <x v="286"/>
    <n v="1.8929999999999999E-3"/>
    <n v="0.26"/>
    <n v="3.81"/>
    <n v="4"/>
    <n v="3.7859999999999999E-4"/>
    <s v="N/A"/>
    <x v="4"/>
    <n v="2.69"/>
  </r>
  <r>
    <x v="287"/>
    <x v="287"/>
    <n v="1.044E-3"/>
    <n v="0.03"/>
    <n v="0.33"/>
    <n v="0.33"/>
    <n v="7.8496240601503751E-4"/>
    <n v="1.5582089552238808E-3"/>
    <x v="4"/>
    <n v="0.22999999999999998"/>
  </r>
  <r>
    <x v="288"/>
    <x v="288"/>
    <n v="10.06"/>
    <n v="0.19"/>
    <n v="0.12"/>
    <n v="5.85"/>
    <n v="1.4686131386861316"/>
    <n v="11.431818181818182"/>
    <x v="3"/>
    <n v="2.0533333333333332"/>
  </r>
  <r>
    <x v="289"/>
    <x v="289"/>
    <n v="63.35"/>
    <n v="0.22"/>
    <n v="5.56"/>
    <n v="9.69"/>
    <n v="5.9260991580916746"/>
    <s v="N/A"/>
    <x v="0"/>
    <n v="5.1566666666666663"/>
  </r>
  <r>
    <x v="290"/>
    <x v="290"/>
    <n v="2.1530000000000001E-2"/>
    <n v="0.9"/>
    <n v="17.86"/>
    <n v="47.17"/>
    <n v="4.469586879800706E-4"/>
    <s v="N/A"/>
    <x v="4"/>
    <n v="21.97666666666667"/>
  </r>
  <r>
    <x v="291"/>
    <x v="291"/>
    <n v="78.67"/>
    <n v="0.04"/>
    <n v="0.28000000000000003"/>
    <n v="1.6"/>
    <n v="30.257692307692306"/>
    <n v="109.2638888888889"/>
    <x v="0"/>
    <n v="0.64"/>
  </r>
  <r>
    <x v="292"/>
    <x v="292"/>
    <n v="111.75"/>
    <n v="0.02"/>
    <n v="2.63"/>
    <n v="6.26"/>
    <n v="15.392561983471074"/>
    <s v="N/A"/>
    <x v="0"/>
    <n v="2.97"/>
  </r>
  <r>
    <x v="293"/>
    <x v="293"/>
    <n v="102.68"/>
    <n v="0"/>
    <n v="1.1200000000000001"/>
    <n v="2.86"/>
    <n v="26.601036269430054"/>
    <s v="N/A"/>
    <x v="0"/>
    <n v="1.3266666666666667"/>
  </r>
  <r>
    <x v="294"/>
    <x v="294"/>
    <n v="3.5349999999999997E-4"/>
    <n v="0"/>
    <n v="1.36"/>
    <n v="29.87"/>
    <n v="1.1451247165532879E-5"/>
    <s v="N/A"/>
    <x v="4"/>
    <n v="10.41"/>
  </r>
  <r>
    <x v="295"/>
    <x v="295"/>
    <n v="8.2010000000000004E-4"/>
    <n v="0.01"/>
    <n v="2.04"/>
    <n v="42.26"/>
    <n v="1.895746648173833E-5"/>
    <s v="N/A"/>
    <x v="4"/>
    <n v="14.769999999999998"/>
  </r>
  <r>
    <x v="296"/>
    <x v="296"/>
    <n v="5.0970000000000001E-2"/>
    <n v="0"/>
    <n v="4.46"/>
    <n v="45.49"/>
    <n v="1.096364809636481E-3"/>
    <s v="N/A"/>
    <x v="2"/>
    <n v="16.650000000000002"/>
  </r>
  <r>
    <x v="297"/>
    <x v="297"/>
    <n v="1.56E-4"/>
    <n v="0.02"/>
    <n v="12.88"/>
    <n v="10.49"/>
    <n v="1.3577023498694517E-5"/>
    <s v="N/A"/>
    <x v="4"/>
    <n v="7.7966666666666669"/>
  </r>
  <r>
    <x v="298"/>
    <x v="298"/>
    <n v="0.2024"/>
    <n v="0.02"/>
    <n v="0.03"/>
    <n v="0.06"/>
    <n v="0.19094339622641507"/>
    <n v="0.208659793814433"/>
    <x v="2"/>
    <n v="3.6666666666666667E-2"/>
  </r>
  <r>
    <x v="299"/>
    <x v="299"/>
    <n v="1.0089999999999999E-3"/>
    <n v="0.55000000000000004"/>
    <n v="4.22"/>
    <n v="35.78"/>
    <n v="2.7433387710712341E-5"/>
    <s v="N/A"/>
    <x v="4"/>
    <n v="13.51666666666666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x v="0"/>
    <s v="ACT"/>
    <n v="1.0789999999999999E-2"/>
    <n v="1.21"/>
    <n v="1.0661001877284852E-2"/>
    <x v="0"/>
  </r>
  <r>
    <x v="1"/>
    <s v="AMDB"/>
    <n v="462.54"/>
    <n v="0.21"/>
    <n v="461.57070152679375"/>
    <x v="1"/>
  </r>
  <r>
    <x v="2"/>
    <s v="AEON"/>
    <n v="5.6610000000000001E-2"/>
    <n v="0.31"/>
    <n v="5.6435051340843381E-2"/>
    <x v="0"/>
  </r>
  <r>
    <x v="3"/>
    <s v="AE"/>
    <n v="4.9899999999999996E-3"/>
    <n v="0.03"/>
    <n v="4.9885034489653103E-3"/>
    <x v="0"/>
  </r>
  <r>
    <x v="4"/>
    <s v="NFT"/>
    <n v="6.2762999999999999E-2"/>
    <n v="0.23"/>
    <n v="6.2618976354384917E-2"/>
    <x v="0"/>
  </r>
  <r>
    <x v="5"/>
    <s v="ALEPH"/>
    <n v="9.6659999999999992E-3"/>
    <n v="0.89"/>
    <n v="9.5807314897413034E-3"/>
    <x v="0"/>
  </r>
  <r>
    <x v="6"/>
    <s v="AZERO"/>
    <n v="9.1970000000000003E-3"/>
    <n v="5.71"/>
    <n v="8.7002175763882337E-3"/>
    <x v="0"/>
  </r>
  <r>
    <x v="7"/>
    <s v="EURAU"/>
    <n v="1.1599999999999999"/>
    <n v="0.02"/>
    <n v="1.1597680463907218"/>
    <x v="0"/>
  </r>
  <r>
    <x v="8"/>
    <s v="WALLET"/>
    <n v="1.4080000000000001E-2"/>
    <n v="3.23"/>
    <n v="1.3639445897510415E-2"/>
    <x v="0"/>
  </r>
  <r>
    <x v="9"/>
    <s v="AMDx"/>
    <n v="462.24"/>
    <n v="0.18"/>
    <n v="461.40946296665999"/>
    <x v="1"/>
  </r>
  <r>
    <x v="10"/>
    <s v="AMO"/>
    <n v="2.4729999999999999E-4"/>
    <n v="0.22"/>
    <n v="2.4675713430453002E-4"/>
    <x v="0"/>
  </r>
  <r>
    <x v="11"/>
    <s v="XAN"/>
    <n v="1.184E-2"/>
    <n v="1.46"/>
    <n v="1.1669623496944609E-2"/>
    <x v="0"/>
  </r>
  <r>
    <x v="12"/>
    <s v="ANYONE"/>
    <n v="8.7129999999999999E-2"/>
    <n v="0.28000000000000003"/>
    <n v="8.6886717191862792E-2"/>
    <x v="0"/>
  </r>
  <r>
    <x v="13"/>
    <s v="AO"/>
    <n v="2.99"/>
    <n v="0.39"/>
    <n v="2.9783843012252218"/>
    <x v="0"/>
  </r>
  <r>
    <x v="14"/>
    <s v="APEX"/>
    <n v="0.28749999999999998"/>
    <n v="1.3"/>
    <n v="0.28381046396841064"/>
    <x v="0"/>
  </r>
  <r>
    <x v="15"/>
    <s v="AAPLon"/>
    <n v="310.51"/>
    <n v="0.1"/>
    <n v="310.19980019980022"/>
    <x v="1"/>
  </r>
  <r>
    <x v="16"/>
    <s v="AAPL"/>
    <n v="309.61"/>
    <n v="0.24"/>
    <n v="308.86871508379892"/>
    <x v="1"/>
  </r>
  <r>
    <x v="17"/>
    <s v="ANT"/>
    <n v="9.0090000000000003E-2"/>
    <n v="0"/>
    <n v="9.0090000000000003E-2"/>
    <x v="0"/>
  </r>
  <r>
    <x v="18"/>
    <s v="AL"/>
    <n v="1.624E-3"/>
    <n v="0.26"/>
    <n v="1.6197885497705965E-3"/>
    <x v="0"/>
  </r>
  <r>
    <x v="19"/>
    <s v="ARIA"/>
    <n v="2.869E-2"/>
    <n v="0.37"/>
    <n v="2.8584238318222575E-2"/>
    <x v="0"/>
  </r>
  <r>
    <x v="20"/>
    <s v="ARROW"/>
    <n v="0.3377"/>
    <n v="45.45"/>
    <n v="0.23217600550017189"/>
    <x v="0"/>
  </r>
  <r>
    <x v="21"/>
    <s v="AFC"/>
    <n v="0.17150000000000001"/>
    <n v="0.13"/>
    <n v="0.17127733945870369"/>
    <x v="0"/>
  </r>
  <r>
    <x v="22"/>
    <s v="ASTSB"/>
    <n v="63.35"/>
    <n v="0.22"/>
    <n v="63.210935940929957"/>
    <x v="1"/>
  </r>
  <r>
    <x v="23"/>
    <s v="BEAT"/>
    <n v="0.12989999999999999"/>
    <n v="1.88"/>
    <n v="0.12750294464075382"/>
    <x v="0"/>
  </r>
  <r>
    <x v="24"/>
    <s v="AVL"/>
    <n v="1.866E-2"/>
    <n v="3.55"/>
    <n v="1.8020280057943022E-2"/>
    <x v="0"/>
  </r>
  <r>
    <x v="25"/>
    <s v="AVICI"/>
    <n v="0.50060000000000004"/>
    <n v="0.89"/>
    <n v="0.49618396273168808"/>
    <x v="0"/>
  </r>
  <r>
    <x v="26"/>
    <s v="AZTEC"/>
    <n v="1.489E-2"/>
    <n v="7.0000000000000007E-2"/>
    <n v="1.4879584290996305E-2"/>
    <x v="0"/>
  </r>
  <r>
    <x v="27"/>
    <s v="B3"/>
    <n v="4.9919999999999999E-4"/>
    <n v="1.2"/>
    <n v="4.9328063241106722E-4"/>
    <x v="0"/>
  </r>
  <r>
    <x v="28"/>
    <s v="BAL"/>
    <n v="0.121"/>
    <n v="0.06"/>
    <n v="0.12092744353387967"/>
    <x v="0"/>
  </r>
  <r>
    <x v="29"/>
    <s v="BDX"/>
    <n v="8.3150000000000002E-2"/>
    <n v="0.09"/>
    <n v="8.3075232290938161E-2"/>
    <x v="0"/>
  </r>
  <r>
    <x v="30"/>
    <s v="BILLY"/>
    <n v="3.0019999999999999E-3"/>
    <n v="9.58"/>
    <n v="2.7395510129585689E-3"/>
    <x v="0"/>
  </r>
  <r>
    <x v="31"/>
    <s v="BIOT"/>
    <n v="2.174E-4"/>
    <n v="0.01"/>
    <n v="2.1737826217378263E-4"/>
    <x v="0"/>
  </r>
  <r>
    <x v="32"/>
    <s v="BTC"/>
    <n v="80509.13"/>
    <n v="0.18"/>
    <n v="80364.473946895596"/>
    <x v="1"/>
  </r>
  <r>
    <x v="33"/>
    <s v="BSAI"/>
    <n v="1111.68"/>
    <n v="0.02"/>
    <n v="1111.4577084583084"/>
    <x v="1"/>
  </r>
  <r>
    <x v="34"/>
    <s v="BTX"/>
    <n v="5.0970000000000001E-2"/>
    <n v="0"/>
    <n v="5.0970000000000001E-2"/>
    <x v="0"/>
  </r>
  <r>
    <x v="35"/>
    <s v="BRISE"/>
    <n v="7.1664000000000005E-2"/>
    <n v="0.11"/>
    <n v="7.1585256218160018E-2"/>
    <x v="0"/>
  </r>
  <r>
    <x v="36"/>
    <s v="BMX"/>
    <n v="5.4050000000000001E-2"/>
    <n v="0.19"/>
    <n v="5.3947499750474102E-2"/>
    <x v="0"/>
  </r>
  <r>
    <x v="37"/>
    <s v="BMNRon"/>
    <n v="24.92"/>
    <n v="0.2"/>
    <n v="24.870259481037927"/>
    <x v="1"/>
  </r>
  <r>
    <x v="38"/>
    <s v="BTR"/>
    <n v="1.091E-2"/>
    <n v="0.45"/>
    <n v="1.0861124937779991E-2"/>
    <x v="0"/>
  </r>
  <r>
    <x v="39"/>
    <s v="BTT"/>
    <n v="6.2956999999999999E-2"/>
    <n v="0.08"/>
    <n v="6.2906674660271791E-2"/>
    <x v="0"/>
  </r>
  <r>
    <x v="40"/>
    <s v="BTW"/>
    <n v="0.45639999999999997"/>
    <n v="0.32"/>
    <n v="0.4549441786283891"/>
    <x v="0"/>
  </r>
  <r>
    <x v="41"/>
    <s v="BSB"/>
    <n v="9.6890000000000004E-2"/>
    <n v="0.93"/>
    <n v="9.5997225800059441E-2"/>
    <x v="0"/>
  </r>
  <r>
    <x v="42"/>
    <s v="BFIC"/>
    <n v="0.18490000000000001"/>
    <n v="0"/>
    <n v="0.18490000000000001"/>
    <x v="0"/>
  </r>
  <r>
    <x v="43"/>
    <s v="BNB"/>
    <n v="713.29"/>
    <n v="0.5"/>
    <n v="709.74129353233832"/>
    <x v="1"/>
  </r>
  <r>
    <x v="44"/>
    <s v="BAS"/>
    <n v="2.4729999999999999E-2"/>
    <n v="0.78"/>
    <n v="2.4538598928358798E-2"/>
    <x v="0"/>
  </r>
  <r>
    <x v="45"/>
    <s v="BONK"/>
    <n v="5.3266000000000001E-2"/>
    <n v="1.98"/>
    <n v="5.2231810158854676E-2"/>
    <x v="0"/>
  </r>
  <r>
    <x v="46"/>
    <s v="AUCTION"/>
    <n v="3.24"/>
    <n v="0.61"/>
    <n v="3.2203558294404138"/>
    <x v="0"/>
  </r>
  <r>
    <x v="47"/>
    <s v="ZKC"/>
    <n v="4.1480000000000003E-2"/>
    <n v="0.61"/>
    <n v="4.1228506112712456E-2"/>
    <x v="0"/>
  </r>
  <r>
    <x v="48"/>
    <s v="BCN"/>
    <s v="2.798e-05"/>
    <n v="0.01"/>
    <n v="2.7977202279772024E-5"/>
    <x v="1"/>
  </r>
  <r>
    <x v="49"/>
    <s v="CTM"/>
    <n v="0.22070000000000001"/>
    <n v="0.62"/>
    <n v="0.2193400914331147"/>
    <x v="0"/>
  </r>
  <r>
    <x v="50"/>
    <s v="APR"/>
    <n v="0.2203"/>
    <n v="5.35"/>
    <n v="0.20911248220218318"/>
    <x v="0"/>
  </r>
  <r>
    <x v="51"/>
    <s v="CAS"/>
    <n v="1.044E-3"/>
    <n v="0.03"/>
    <n v="1.0436868939318205E-3"/>
    <x v="0"/>
  </r>
  <r>
    <x v="52"/>
    <s v="CATI"/>
    <n v="5.092E-2"/>
    <n v="0.1"/>
    <n v="5.0869130869130877E-2"/>
    <x v="0"/>
  </r>
  <r>
    <x v="53"/>
    <s v="CEEK"/>
    <n v="2.9520000000000002E-3"/>
    <n v="1.41"/>
    <n v="2.9109555270683367E-3"/>
    <x v="0"/>
  </r>
  <r>
    <x v="54"/>
    <s v="LINK"/>
    <n v="11.76"/>
    <n v="0.17"/>
    <n v="11.740041928721173"/>
    <x v="1"/>
  </r>
  <r>
    <x v="55"/>
    <s v="CHKN"/>
    <n v="7.1887000000000006E-2"/>
    <n v="0"/>
    <n v="7.1887000000000006E-2"/>
    <x v="0"/>
  </r>
  <r>
    <x v="56"/>
    <s v="CBK"/>
    <n v="0.17349999999999999"/>
    <n v="0.05"/>
    <n v="0.17341329335332334"/>
    <x v="0"/>
  </r>
  <r>
    <x v="57"/>
    <s v="XNY"/>
    <n v="6.9309999999999997E-3"/>
    <n v="0.97"/>
    <n v="6.86441517282361E-3"/>
    <x v="0"/>
  </r>
  <r>
    <x v="58"/>
    <s v="CMC20"/>
    <n v="165.6"/>
    <n v="7.0000000000000007E-2"/>
    <n v="165.48416108723893"/>
    <x v="1"/>
  </r>
  <r>
    <x v="59"/>
    <s v="CFX"/>
    <n v="5.0340000000000003E-2"/>
    <n v="0.04"/>
    <n v="5.0319872051179534E-2"/>
    <x v="0"/>
  </r>
  <r>
    <x v="60"/>
    <s v="CORN"/>
    <n v="2.5420000000000002E-2"/>
    <n v="0.15"/>
    <n v="2.5381927109335997E-2"/>
    <x v="0"/>
  </r>
  <r>
    <x v="61"/>
    <s v="COSTon"/>
    <n v="973.38"/>
    <n v="0.01"/>
    <n v="973.28267173282677"/>
    <x v="1"/>
  </r>
  <r>
    <x v="62"/>
    <s v="CRTS"/>
    <s v="4.709e-05"/>
    <n v="0.9"/>
    <n v="4.6669970267591677E-5"/>
    <x v="1"/>
  </r>
  <r>
    <x v="63"/>
    <s v="CRETA"/>
    <n v="3.503E-3"/>
    <n v="1.26"/>
    <n v="3.4594114161564291E-3"/>
    <x v="0"/>
  </r>
  <r>
    <x v="64"/>
    <s v="CTP"/>
    <n v="9.5359999999999998E-4"/>
    <n v="0.08"/>
    <n v="9.5283772981614718E-4"/>
    <x v="0"/>
  </r>
  <r>
    <x v="65"/>
    <s v="CYBERLEEK"/>
    <n v="1.4409999999999999E-2"/>
    <n v="6.1"/>
    <n v="1.3581526861451461E-2"/>
    <x v="0"/>
  </r>
  <r>
    <x v="66"/>
    <s v="D"/>
    <n v="2.5660000000000001E-3"/>
    <n v="1.38"/>
    <n v="2.5310712172026042E-3"/>
    <x v="0"/>
  </r>
  <r>
    <x v="67"/>
    <s v="DEP"/>
    <n v="9.8820000000000006E-4"/>
    <n v="0"/>
    <n v="9.8820000000000006E-4"/>
    <x v="0"/>
  </r>
  <r>
    <x v="68"/>
    <s v="DEL"/>
    <n v="0.59330000000000005"/>
    <n v="0.12"/>
    <n v="0.59258889332800635"/>
    <x v="0"/>
  </r>
  <r>
    <x v="69"/>
    <s v="TSUKA"/>
    <n v="1.2290000000000001E-3"/>
    <n v="0"/>
    <n v="1.2290000000000001E-3"/>
    <x v="0"/>
  </r>
  <r>
    <x v="70"/>
    <s v="DELLx"/>
    <n v="439.47"/>
    <n v="0.43"/>
    <n v="437.58837000896153"/>
    <x v="1"/>
  </r>
  <r>
    <x v="71"/>
    <s v="DIAM"/>
    <n v="5.0619999999999997E-3"/>
    <n v="0.01"/>
    <n v="5.0614938506149381E-3"/>
    <x v="0"/>
  </r>
  <r>
    <x v="72"/>
    <s v="DIEM"/>
    <n v="1638.11"/>
    <n v="0.48"/>
    <n v="1630.2846337579617"/>
    <x v="1"/>
  </r>
  <r>
    <x v="73"/>
    <s v="SOXLx"/>
    <n v="116.08"/>
    <n v="0.76"/>
    <n v="115.20444620881301"/>
    <x v="1"/>
  </r>
  <r>
    <x v="74"/>
    <s v="DISon"/>
    <n v="111.75"/>
    <n v="0.02"/>
    <n v="111.72765446910618"/>
    <x v="1"/>
  </r>
  <r>
    <x v="75"/>
    <s v="DNT"/>
    <n v="6.3449999999999999E-3"/>
    <n v="7.0000000000000007E-2"/>
    <n v="6.3405616068751879E-3"/>
    <x v="0"/>
  </r>
  <r>
    <x v="76"/>
    <s v="DOGE"/>
    <n v="9.2090000000000005E-2"/>
    <n v="0.72"/>
    <n v="9.1431691818903885E-2"/>
    <x v="0"/>
  </r>
  <r>
    <x v="77"/>
    <s v="DHN"/>
    <n v="3.54"/>
    <n v="0.14000000000000001"/>
    <n v="3.5350509286998202"/>
    <x v="0"/>
  </r>
  <r>
    <x v="78"/>
    <s v="DOLO"/>
    <n v="2.3949999999999999E-2"/>
    <n v="0.45"/>
    <n v="2.3842707814833251E-2"/>
    <x v="0"/>
  </r>
  <r>
    <x v="79"/>
    <s v="PRIME"/>
    <n v="0.2319"/>
    <n v="0.5"/>
    <n v="0.23074626865671644"/>
    <x v="0"/>
  </r>
  <r>
    <x v="80"/>
    <s v="OMI"/>
    <n v="2.2159999999999999E-4"/>
    <n v="2.36"/>
    <n v="2.1649081672528331E-4"/>
    <x v="0"/>
  </r>
  <r>
    <x v="81"/>
    <s v="EDEL"/>
    <n v="1.0410000000000001E-2"/>
    <n v="0.99"/>
    <n v="1.030795128230518E-2"/>
    <x v="0"/>
  </r>
  <r>
    <x v="82"/>
    <s v="ESE"/>
    <n v="1.243E-2"/>
    <n v="0.46"/>
    <n v="1.2373083814453515E-2"/>
    <x v="0"/>
  </r>
  <r>
    <x v="83"/>
    <s v="ELA"/>
    <n v="0.27900000000000003"/>
    <n v="0.03"/>
    <n v="0.27891632510246928"/>
    <x v="0"/>
  </r>
  <r>
    <x v="84"/>
    <s v="EL"/>
    <n v="1.25E-3"/>
    <n v="4.9800000000000004"/>
    <n v="1.1907029910459134E-3"/>
    <x v="0"/>
  </r>
  <r>
    <x v="85"/>
    <s v="ENSO"/>
    <n v="0.84640000000000004"/>
    <n v="0.93"/>
    <n v="0.8386010106014069"/>
    <x v="0"/>
  </r>
  <r>
    <x v="86"/>
    <s v="ERG"/>
    <n v="0.26469999999999999"/>
    <n v="0.77"/>
    <n v="0.26267738414210579"/>
    <x v="0"/>
  </r>
  <r>
    <x v="87"/>
    <s v="ETH"/>
    <n v="2502.7199999999998"/>
    <n v="0.12"/>
    <n v="2499.7203355972829"/>
    <x v="1"/>
  </r>
  <r>
    <x v="88"/>
    <s v="ETHW"/>
    <n v="0.27939999999999998"/>
    <n v="0.37"/>
    <n v="0.27837003088572282"/>
    <x v="0"/>
  </r>
  <r>
    <x v="89"/>
    <s v="ROBO"/>
    <n v="1.3480000000000001E-2"/>
    <n v="1.3"/>
    <n v="1.3307008884501483E-2"/>
    <x v="0"/>
  </r>
  <r>
    <x v="90"/>
    <s v="FF"/>
    <n v="9.0190000000000006E-2"/>
    <n v="1.69"/>
    <n v="8.8691120070803431E-2"/>
    <x v="0"/>
  </r>
  <r>
    <x v="91"/>
    <s v="USDf"/>
    <n v="0.99529999999999996"/>
    <n v="0.08"/>
    <n v="0.99450439648281375"/>
    <x v="0"/>
  </r>
  <r>
    <x v="92"/>
    <s v="FAR"/>
    <n v="1.0790000000000001E-3"/>
    <n v="0.01"/>
    <n v="1.0788921107889211E-3"/>
    <x v="0"/>
  </r>
  <r>
    <x v="93"/>
    <s v="FIDD"/>
    <n v="0.99950000000000006"/>
    <n v="0"/>
    <n v="0.99950000000000006"/>
    <x v="0"/>
  </r>
  <r>
    <x v="94"/>
    <s v="FIRO"/>
    <n v="0.68469999999999998"/>
    <n v="0.06"/>
    <n v="0.68428942634419354"/>
    <x v="0"/>
  </r>
  <r>
    <x v="95"/>
    <s v="FLOKI"/>
    <s v="2.758e-05"/>
    <n v="1.36"/>
    <n v="2.7209944751381215E-5"/>
    <x v="1"/>
  </r>
  <r>
    <x v="96"/>
    <s v="BLEND"/>
    <n v="6.5549999999999997E-2"/>
    <n v="0.31"/>
    <n v="6.5347422988734916E-2"/>
    <x v="0"/>
  </r>
  <r>
    <x v="97"/>
    <s v="ZCHF"/>
    <n v="1.24"/>
    <n v="0.02"/>
    <n v="1.239752049590082"/>
    <x v="0"/>
  </r>
  <r>
    <x v="98"/>
    <s v="FLQLon"/>
    <n v="78.67"/>
    <n v="0.04"/>
    <n v="78.638544582167142"/>
    <x v="1"/>
  </r>
  <r>
    <x v="99"/>
    <s v="JOBY"/>
    <n v="1.2329999999999999E-3"/>
    <n v="1.34"/>
    <n v="1.2166962699822379E-3"/>
    <x v="0"/>
  </r>
  <r>
    <x v="100"/>
    <s v="GAFI"/>
    <n v="0.10249999999999999"/>
    <n v="0.12"/>
    <n v="0.10237714742309227"/>
    <x v="0"/>
  </r>
  <r>
    <x v="101"/>
    <s v="GFAL"/>
    <n v="7.2610000000000003E-4"/>
    <n v="0"/>
    <n v="7.2610000000000003E-4"/>
    <x v="0"/>
  </r>
  <r>
    <x v="102"/>
    <s v="GHO"/>
    <n v="0.99860000000000004"/>
    <n v="0.02"/>
    <n v="0.99840031993601286"/>
    <x v="0"/>
  </r>
  <r>
    <x v="103"/>
    <s v="rDRAM"/>
    <n v="55.62"/>
    <n v="7.0000000000000007E-2"/>
    <n v="55.58109323473569"/>
    <x v="1"/>
  </r>
  <r>
    <x v="104"/>
    <s v="GMT"/>
    <n v="7.4009999999999996E-3"/>
    <n v="1.07"/>
    <n v="7.3226476699317306E-3"/>
    <x v="0"/>
  </r>
  <r>
    <x v="105"/>
    <s v="GNO"/>
    <n v="124.1"/>
    <n v="0.45"/>
    <n v="123.54405176704829"/>
    <x v="1"/>
  </r>
  <r>
    <x v="106"/>
    <s v="GOLDGR"/>
    <n v="148.4"/>
    <n v="0"/>
    <n v="148.4"/>
    <x v="1"/>
  </r>
  <r>
    <x v="107"/>
    <s v="G"/>
    <n v="3.9129999999999998E-3"/>
    <n v="0.5"/>
    <n v="3.893532338308458E-3"/>
    <x v="0"/>
  </r>
  <r>
    <x v="108"/>
    <s v="GRIN"/>
    <n v="1.306E-2"/>
    <n v="4.4000000000000004"/>
    <n v="1.2509578544061303E-2"/>
    <x v="0"/>
  </r>
  <r>
    <x v="109"/>
    <s v="GRS"/>
    <n v="9.1539999999999996E-2"/>
    <n v="0"/>
    <n v="9.1539999999999996E-2"/>
    <x v="0"/>
  </r>
  <r>
    <x v="110"/>
    <s v="GUN"/>
    <n v="3.2539999999999999E-3"/>
    <n v="0.55000000000000004"/>
    <n v="3.2362008950770757E-3"/>
    <x v="0"/>
  </r>
  <r>
    <x v="111"/>
    <s v="GYEN"/>
    <n v="6.2030000000000002E-3"/>
    <n v="0.18"/>
    <n v="6.1918546616091035E-3"/>
    <x v="0"/>
  </r>
  <r>
    <x v="112"/>
    <s v="HEI"/>
    <n v="0.12770000000000001"/>
    <n v="0.64"/>
    <n v="0.12688791732909382"/>
    <x v="0"/>
  </r>
  <r>
    <x v="113"/>
    <s v="HONEY"/>
    <n v="6.4800000000000003E-4"/>
    <n v="1.45"/>
    <n v="6.3873829472646635E-4"/>
    <x v="0"/>
  </r>
  <r>
    <x v="114"/>
    <s v="HOPPY"/>
    <n v="5.3672999999999998E-2"/>
    <n v="0.15"/>
    <n v="5.359261108337493E-2"/>
    <x v="0"/>
  </r>
  <r>
    <x v="115"/>
    <s v="HOPR"/>
    <n v="1.1690000000000001E-2"/>
    <n v="0"/>
    <n v="1.1690000000000001E-2"/>
    <x v="0"/>
  </r>
  <r>
    <x v="116"/>
    <s v="HTX"/>
    <n v="5.1766E-2"/>
    <n v="0.03"/>
    <n v="5.1750474857542736E-2"/>
    <x v="0"/>
  </r>
  <r>
    <x v="117"/>
    <s v="HYPE"/>
    <n v="80.900000000000006"/>
    <n v="0.26"/>
    <n v="80.690205465788964"/>
    <x v="1"/>
  </r>
  <r>
    <x v="118"/>
    <s v="LIME"/>
    <n v="2.0300000000000001E-3"/>
    <n v="0.02"/>
    <n v="2.0295940811837633E-3"/>
    <x v="0"/>
  </r>
  <r>
    <x v="119"/>
    <s v="IMU"/>
    <n v="2.3149999999999998E-3"/>
    <n v="1.89"/>
    <n v="2.2720581018745704E-3"/>
    <x v="0"/>
  </r>
  <r>
    <x v="120"/>
    <s v="IMX"/>
    <n v="0.1331"/>
    <n v="1.1299999999999999"/>
    <n v="0.13161277563532087"/>
    <x v="0"/>
  </r>
  <r>
    <x v="121"/>
    <s v="INX"/>
    <n v="6.62E-3"/>
    <n v="0.24"/>
    <n v="6.6041500399042306E-3"/>
    <x v="0"/>
  </r>
  <r>
    <x v="122"/>
    <s v="SURE"/>
    <n v="3.0630000000000002E-4"/>
    <n v="1.79"/>
    <n v="3.0091364574123195E-4"/>
    <x v="0"/>
  </r>
  <r>
    <x v="123"/>
    <s v="rINTC"/>
    <n v="89.53"/>
    <n v="0.75"/>
    <n v="88.863523573200993"/>
    <x v="1"/>
  </r>
  <r>
    <x v="124"/>
    <s v="QQQ"/>
    <n v="710.69"/>
    <n v="0.16"/>
    <n v="709.55471246006391"/>
    <x v="1"/>
  </r>
  <r>
    <x v="125"/>
    <s v="SN9"/>
    <n v="7.61"/>
    <n v="0.7"/>
    <n v="7.5571002979145989"/>
    <x v="0"/>
  </r>
  <r>
    <x v="126"/>
    <s v="IRENB"/>
    <n v="40.44"/>
    <n v="0.21"/>
    <n v="40.355253966669991"/>
    <x v="1"/>
  </r>
  <r>
    <x v="127"/>
    <s v="IJHon"/>
    <n v="77.069999999999993"/>
    <n v="0.01"/>
    <n v="77.062293770622929"/>
    <x v="1"/>
  </r>
  <r>
    <x v="128"/>
    <s v="ISIKC"/>
    <n v="0.22869999999999999"/>
    <n v="0.05"/>
    <n v="0.22858570714642679"/>
    <x v="0"/>
  </r>
  <r>
    <x v="129"/>
    <s v="JIMOTHY"/>
    <n v="1.7440000000000001E-2"/>
    <n v="30.91"/>
    <n v="1.3322129707432588E-2"/>
    <x v="0"/>
  </r>
  <r>
    <x v="130"/>
    <s v="JTO"/>
    <n v="0.57689999999999997"/>
    <n v="1.85"/>
    <n v="0.56642120765832105"/>
    <x v="0"/>
  </r>
  <r>
    <x v="131"/>
    <s v="JLP"/>
    <n v="4.41"/>
    <n v="0.31"/>
    <n v="4.3963712491277036"/>
    <x v="0"/>
  </r>
  <r>
    <x v="132"/>
    <s v="JUV"/>
    <n v="0.32829999999999998"/>
    <n v="0.02"/>
    <n v="0.3282343531293741"/>
    <x v="0"/>
  </r>
  <r>
    <x v="133"/>
    <s v="KTA"/>
    <n v="7.2410000000000002E-2"/>
    <n v="0.34"/>
    <n v="7.2164640223240983E-2"/>
    <x v="0"/>
  </r>
  <r>
    <x v="134"/>
    <s v="KRL"/>
    <n v="0.1288"/>
    <n v="0"/>
    <n v="0.1288"/>
    <x v="0"/>
  </r>
  <r>
    <x v="135"/>
    <s v="LOT"/>
    <n v="6.411E-3"/>
    <n v="0.25"/>
    <n v="6.3950124688279307E-3"/>
    <x v="0"/>
  </r>
  <r>
    <x v="136"/>
    <s v="LDO"/>
    <n v="0.37619999999999998"/>
    <n v="1.66"/>
    <n v="0.37005705292150304"/>
    <x v="0"/>
  </r>
  <r>
    <x v="137"/>
    <s v="LMTS"/>
    <n v="8.0329999999999999E-2"/>
    <n v="1.05"/>
    <n v="7.949529935675409E-2"/>
    <x v="0"/>
  </r>
  <r>
    <x v="138"/>
    <s v="LINGO"/>
    <n v="1.055E-2"/>
    <n v="0.06"/>
    <n v="1.0543673795722568E-2"/>
    <x v="0"/>
  </r>
  <r>
    <x v="139"/>
    <s v="LISTA"/>
    <n v="6.93E-2"/>
    <n v="0.8"/>
    <n v="6.8750000000000006E-2"/>
    <x v="0"/>
  </r>
  <r>
    <x v="140"/>
    <s v="LOCUS"/>
    <n v="7.718E-3"/>
    <n v="0.75"/>
    <n v="7.6605459057071954E-3"/>
    <x v="0"/>
  </r>
  <r>
    <x v="141"/>
    <s v="BARD"/>
    <n v="0.1208"/>
    <n v="1.19"/>
    <n v="0.11937938531475442"/>
    <x v="0"/>
  </r>
  <r>
    <x v="142"/>
    <s v="LUSD"/>
    <n v="0.99960000000000004"/>
    <n v="0.01"/>
    <n v="0.99950004999500053"/>
    <x v="0"/>
  </r>
  <r>
    <x v="143"/>
    <s v="MIM"/>
    <n v="4.9010000000000004E-4"/>
    <n v="8.0399999999999991"/>
    <n v="4.5362828582006664E-4"/>
    <x v="0"/>
  </r>
  <r>
    <x v="144"/>
    <s v="MAGMA"/>
    <n v="0.22650000000000001"/>
    <n v="0.91"/>
    <n v="0.22445743732038448"/>
    <x v="0"/>
  </r>
  <r>
    <x v="145"/>
    <s v="CITY"/>
    <n v="0.372"/>
    <n v="0.08"/>
    <n v="0.37170263788968827"/>
    <x v="0"/>
  </r>
  <r>
    <x v="146"/>
    <s v="MNSRY"/>
    <n v="7.26E-3"/>
    <n v="0.33"/>
    <n v="7.2361208013555257E-3"/>
    <x v="0"/>
  </r>
  <r>
    <x v="147"/>
    <s v="MBX"/>
    <n v="2.3040000000000001E-2"/>
    <n v="0.09"/>
    <n v="2.3019282645618946E-2"/>
    <x v="0"/>
  </r>
  <r>
    <x v="148"/>
    <s v="MASK"/>
    <n v="0.43259999999999998"/>
    <n v="0.21"/>
    <n v="0.43169344376808699"/>
    <x v="0"/>
  </r>
  <r>
    <x v="149"/>
    <s v="MAX"/>
    <n v="0.26550000000000001"/>
    <n v="0.02"/>
    <n v="0.26544691061787645"/>
    <x v="0"/>
  </r>
  <r>
    <x v="150"/>
    <s v="MCDULL"/>
    <n v="6.8585999999999994E-2"/>
    <n v="0"/>
    <n v="6.8585999999999994E-2"/>
    <x v="0"/>
  </r>
  <r>
    <x v="151"/>
    <s v="MDT"/>
    <n v="7.5779999999999997E-3"/>
    <n v="19.54"/>
    <n v="6.3393006525012544E-3"/>
    <x v="0"/>
  </r>
  <r>
    <x v="152"/>
    <s v="METAX"/>
    <n v="562.74"/>
    <n v="0.04"/>
    <n v="562.51499400239902"/>
    <x v="1"/>
  </r>
  <r>
    <x v="153"/>
    <s v="METFI"/>
    <n v="1.1809999999999999E-2"/>
    <n v="0.05"/>
    <n v="1.1804097951024488E-2"/>
    <x v="0"/>
  </r>
  <r>
    <x v="154"/>
    <s v="METIS"/>
    <n v="2.84"/>
    <n v="0.34"/>
    <n v="2.8303767191548732"/>
    <x v="0"/>
  </r>
  <r>
    <x v="155"/>
    <s v="MEY"/>
    <n v="4.6640000000000001E-2"/>
    <n v="0.05"/>
    <n v="4.6616691654172919E-2"/>
    <x v="0"/>
  </r>
  <r>
    <x v="156"/>
    <s v="MU"/>
    <n v="926.42"/>
    <n v="0.37"/>
    <n v="923.00488193683361"/>
    <x v="1"/>
  </r>
  <r>
    <x v="157"/>
    <s v="MITO"/>
    <n v="2.809E-2"/>
    <n v="0.51"/>
    <n v="2.7947467913640431E-2"/>
    <x v="0"/>
  </r>
  <r>
    <x v="158"/>
    <s v="XMR"/>
    <n v="445.16"/>
    <n v="1.21"/>
    <n v="439.83796067582256"/>
    <x v="1"/>
  </r>
  <r>
    <x v="159"/>
    <s v="MNW"/>
    <n v="2.1530000000000001E-2"/>
    <n v="0.9"/>
    <n v="2.1337958374628346E-2"/>
    <x v="0"/>
  </r>
  <r>
    <x v="160"/>
    <s v="MBL"/>
    <n v="6.5919999999999998E-4"/>
    <n v="0.9"/>
    <n v="6.5332011892963338E-4"/>
    <x v="0"/>
  </r>
  <r>
    <x v="161"/>
    <s v="MYTH"/>
    <n v="2.7899999999999999E-3"/>
    <n v="0.01"/>
    <n v="2.7897210278972104E-3"/>
    <x v="0"/>
  </r>
  <r>
    <x v="162"/>
    <s v="NMC"/>
    <n v="1.1599999999999999"/>
    <n v="0.21"/>
    <n v="1.1575691048797525"/>
    <x v="0"/>
  </r>
  <r>
    <x v="163"/>
    <s v="NAORIS"/>
    <n v="2.8680000000000001E-2"/>
    <n v="0.13"/>
    <n v="2.8642764406271844E-2"/>
    <x v="0"/>
  </r>
  <r>
    <x v="164"/>
    <s v="NAVX"/>
    <n v="7.7980000000000002E-3"/>
    <n v="1.0900000000000001"/>
    <n v="7.7139182906321106E-3"/>
    <x v="0"/>
  </r>
  <r>
    <x v="165"/>
    <s v="NBISB"/>
    <n v="216.99"/>
    <n v="0.22"/>
    <n v="216.51366992616246"/>
    <x v="1"/>
  </r>
  <r>
    <x v="166"/>
    <s v="NMT"/>
    <n v="4.6309999999999997E-2"/>
    <n v="0.14000000000000001"/>
    <n v="4.624525664070301E-2"/>
    <x v="0"/>
  </r>
  <r>
    <x v="167"/>
    <s v="NXRA"/>
    <n v="8.2010000000000004E-4"/>
    <n v="0.01"/>
    <n v="8.2001799820017999E-4"/>
    <x v="0"/>
  </r>
  <r>
    <x v="168"/>
    <s v="NXPC"/>
    <n v="0.20619999999999999"/>
    <n v="0.47"/>
    <n v="0.20523539364984572"/>
    <x v="0"/>
  </r>
  <r>
    <x v="169"/>
    <s v="NODL"/>
    <n v="2.6289999999999999E-4"/>
    <n v="0.27"/>
    <n v="2.621920813802733E-4"/>
    <x v="0"/>
  </r>
  <r>
    <x v="170"/>
    <s v="NOKB"/>
    <n v="10.050000000000001"/>
    <n v="0.12"/>
    <n v="10.037954454654415"/>
    <x v="1"/>
  </r>
  <r>
    <x v="171"/>
    <s v="NOKon"/>
    <n v="10.06"/>
    <n v="0.19"/>
    <n v="10.040922247729315"/>
    <x v="1"/>
  </r>
  <r>
    <x v="172"/>
    <s v="PX"/>
    <n v="1.239E-2"/>
    <n v="2.91"/>
    <n v="1.2039646292877272E-2"/>
    <x v="0"/>
  </r>
  <r>
    <x v="173"/>
    <s v="NOT"/>
    <n v="4.1990000000000001E-4"/>
    <n v="0.51"/>
    <n v="4.1776937618147444E-4"/>
    <x v="0"/>
  </r>
  <r>
    <x v="174"/>
    <s v="NVOon"/>
    <n v="48.05"/>
    <n v="0.2"/>
    <n v="47.95409181636726"/>
    <x v="1"/>
  </r>
  <r>
    <x v="175"/>
    <s v="NYA"/>
    <n v="7.5439999999999993E-2"/>
    <n v="0.8"/>
    <n v="7.4841269841269834E-2"/>
    <x v="0"/>
  </r>
  <r>
    <x v="176"/>
    <s v="OCICAT"/>
    <n v="8.4791000000000005E-2"/>
    <n v="2.68"/>
    <n v="8.2577911959485786E-2"/>
    <x v="0"/>
  </r>
  <r>
    <x v="177"/>
    <s v="ODOS"/>
    <n v="8.3160000000000005E-4"/>
    <n v="0.73"/>
    <n v="8.2557331480194581E-4"/>
    <x v="0"/>
  </r>
  <r>
    <x v="178"/>
    <s v="USDY"/>
    <n v="1.1399999999999999"/>
    <n v="0.02"/>
    <n v="1.1397720455908817"/>
    <x v="0"/>
  </r>
  <r>
    <x v="179"/>
    <s v="OFC"/>
    <n v="8.9669999999999993E-3"/>
    <n v="0.72"/>
    <n v="8.9028991262907059E-3"/>
    <x v="0"/>
  </r>
  <r>
    <x v="180"/>
    <s v="ORCLX"/>
    <n v="143.54"/>
    <n v="0.01"/>
    <n v="143.52564743525647"/>
    <x v="1"/>
  </r>
  <r>
    <x v="181"/>
    <s v="PANDORA"/>
    <n v="102.68"/>
    <n v="0"/>
    <n v="102.68"/>
    <x v="1"/>
  </r>
  <r>
    <x v="182"/>
    <s v="PSG"/>
    <n v="0.50009999999999999"/>
    <n v="0.15"/>
    <n v="0.49935097353969043"/>
    <x v="0"/>
  </r>
  <r>
    <x v="183"/>
    <s v="MPC"/>
    <n v="1.044E-2"/>
    <n v="0.35"/>
    <n v="1.0403587443946188E-2"/>
    <x v="0"/>
  </r>
  <r>
    <x v="184"/>
    <s v="PAYAI"/>
    <n v="6.3629999999999997E-3"/>
    <n v="0.61"/>
    <n v="6.3244210317065898E-3"/>
    <x v="0"/>
  </r>
  <r>
    <x v="185"/>
    <s v="PPC"/>
    <n v="0.2727"/>
    <n v="0.14000000000000001"/>
    <n v="0.27231875374475734"/>
    <x v="0"/>
  </r>
  <r>
    <x v="186"/>
    <s v="PEIPEI"/>
    <n v="8.7274000000000004E-2"/>
    <n v="1.42"/>
    <n v="8.6052060737527122E-2"/>
    <x v="0"/>
  </r>
  <r>
    <x v="187"/>
    <s v="PENDLE"/>
    <n v="1.79"/>
    <n v="1.63"/>
    <n v="1.7612909573944702"/>
    <x v="0"/>
  </r>
  <r>
    <x v="188"/>
    <s v="PEP"/>
    <n v="1.2879999999999999E-4"/>
    <n v="0.05"/>
    <n v="1.2873563218390805E-4"/>
    <x v="0"/>
  </r>
  <r>
    <x v="189"/>
    <s v="PIEVERSE"/>
    <n v="1.02"/>
    <n v="0.26"/>
    <n v="1.0173548773189707"/>
    <x v="0"/>
  </r>
  <r>
    <x v="190"/>
    <s v="XPL"/>
    <n v="9.8059999999999994E-2"/>
    <n v="0.91"/>
    <n v="9.7175701119809721E-2"/>
    <x v="0"/>
  </r>
  <r>
    <x v="191"/>
    <s v="LAT"/>
    <n v="5.6280000000000002E-4"/>
    <n v="0.19"/>
    <n v="5.6173270785507534E-4"/>
    <x v="0"/>
  </r>
  <r>
    <x v="192"/>
    <s v="POKT"/>
    <n v="7.3509999999999999E-3"/>
    <n v="0.17"/>
    <n v="7.3385245083358291E-3"/>
    <x v="0"/>
  </r>
  <r>
    <x v="193"/>
    <s v="PONS"/>
    <n v="8.9980000000000004E-2"/>
    <n v="5.64"/>
    <n v="8.5176069670579335E-2"/>
    <x v="0"/>
  </r>
  <r>
    <x v="194"/>
    <s v="P"/>
    <n v="3.6450000000000003E-2"/>
    <n v="0.06"/>
    <n v="3.6428143114131527E-2"/>
    <x v="0"/>
  </r>
  <r>
    <x v="195"/>
    <s v="POPCAT"/>
    <n v="6.2579999999999997E-2"/>
    <n v="1.2"/>
    <n v="6.1837944664031613E-2"/>
    <x v="0"/>
  </r>
  <r>
    <x v="196"/>
    <s v="PTB"/>
    <n v="7.9390000000000005E-4"/>
    <n v="1.67"/>
    <n v="7.8085964394610018E-4"/>
    <x v="0"/>
  </r>
  <r>
    <x v="197"/>
    <s v="TQQQB"/>
    <n v="70.16"/>
    <n v="0.33"/>
    <n v="69.929233529353127"/>
    <x v="1"/>
  </r>
  <r>
    <x v="198"/>
    <s v="PUNDIX"/>
    <n v="8.8480000000000003E-2"/>
    <n v="0.35"/>
    <n v="8.8171400099651215E-2"/>
    <x v="0"/>
  </r>
  <r>
    <x v="199"/>
    <s v="PUPS"/>
    <n v="5.4739999999999997E-3"/>
    <n v="4.33"/>
    <n v="5.2468129972203584E-3"/>
    <x v="0"/>
  </r>
  <r>
    <x v="200"/>
    <s v="PWEASE"/>
    <n v="1.0089999999999999E-3"/>
    <n v="0.55000000000000004"/>
    <n v="1.0034808552958725E-3"/>
    <x v="0"/>
  </r>
  <r>
    <x v="201"/>
    <s v="PYTHIA"/>
    <n v="8.5000000000000006E-3"/>
    <n v="2.8"/>
    <n v="8.2684824902723737E-3"/>
    <x v="0"/>
  </r>
  <r>
    <x v="202"/>
    <s v="QUBIC"/>
    <n v="6.4241000000000006E-2"/>
    <n v="0.38"/>
    <n v="6.3997808328352265E-2"/>
    <x v="0"/>
  </r>
  <r>
    <x v="203"/>
    <s v="RAIN"/>
    <n v="1.468E-2"/>
    <n v="0.2"/>
    <n v="1.4650698602794412E-2"/>
    <x v="0"/>
  </r>
  <r>
    <x v="204"/>
    <s v="RAMP"/>
    <n v="2.214E-2"/>
    <n v="0"/>
    <n v="2.214E-2"/>
    <x v="0"/>
  </r>
  <r>
    <x v="205"/>
    <s v="REI"/>
    <n v="2.49E-3"/>
    <n v="0.61"/>
    <n v="2.4749030911440217E-3"/>
    <x v="0"/>
  </r>
  <r>
    <x v="206"/>
    <s v="RENEC"/>
    <n v="3.3980000000000003E-2"/>
    <n v="0.01"/>
    <n v="3.3976602339766029E-2"/>
    <x v="0"/>
  </r>
  <r>
    <x v="207"/>
    <s v="RSC"/>
    <n v="6.3909999999999995E-2"/>
    <n v="0.03"/>
    <n v="6.3890832750174945E-2"/>
    <x v="0"/>
  </r>
  <r>
    <x v="208"/>
    <s v="RHEA"/>
    <n v="1.3429999999999999E-2"/>
    <n v="0.22"/>
    <n v="1.3400518858511274E-2"/>
    <x v="0"/>
  </r>
  <r>
    <x v="209"/>
    <s v="RBN"/>
    <n v="2.3480000000000001E-2"/>
    <n v="0"/>
    <n v="2.3480000000000001E-2"/>
    <x v="0"/>
  </r>
  <r>
    <x v="210"/>
    <s v="RICE"/>
    <n v="5.7289999999999997E-3"/>
    <n v="0.49"/>
    <n v="5.7010647825654296E-3"/>
    <x v="0"/>
  </r>
  <r>
    <x v="211"/>
    <s v="GRG"/>
    <n v="0.38800000000000001"/>
    <n v="0.23"/>
    <n v="0.38710964781003693"/>
    <x v="0"/>
  </r>
  <r>
    <x v="212"/>
    <s v="RIVER"/>
    <n v="2.19"/>
    <n v="0.36"/>
    <n v="2.1821442805898763"/>
    <x v="0"/>
  </r>
  <r>
    <x v="213"/>
    <s v="ROG"/>
    <n v="0.1943"/>
    <n v="0.02"/>
    <n v="0.19426114777044592"/>
    <x v="0"/>
  </r>
  <r>
    <x v="214"/>
    <s v="RUSSELL"/>
    <n v="2.4559999999999998E-3"/>
    <n v="5.14"/>
    <n v="2.3359330416587408E-3"/>
    <x v="0"/>
  </r>
  <r>
    <x v="215"/>
    <s v="LAZIO"/>
    <n v="0.39600000000000002"/>
    <n v="0.1"/>
    <n v="0.39560439560439564"/>
    <x v="0"/>
  </r>
  <r>
    <x v="216"/>
    <s v="SFI"/>
    <n v="223.04"/>
    <n v="0.13"/>
    <n v="222.7504244482173"/>
    <x v="1"/>
  </r>
  <r>
    <x v="217"/>
    <s v="SAHARA"/>
    <n v="8.3149999999999995E-3"/>
    <n v="0.8"/>
    <n v="8.2490079365079363E-3"/>
    <x v="0"/>
  </r>
  <r>
    <x v="218"/>
    <s v="SCAM"/>
    <n v="1.89E-3"/>
    <n v="1.86"/>
    <n v="1.8554879246023956E-3"/>
    <x v="0"/>
  </r>
  <r>
    <x v="219"/>
    <s v="SCP"/>
    <n v="2.5229999999999999E-2"/>
    <n v="0.01"/>
    <n v="2.5227477252274772E-2"/>
    <x v="0"/>
  </r>
  <r>
    <x v="220"/>
    <s v="SC"/>
    <n v="1.5690000000000001E-3"/>
    <n v="5.65"/>
    <n v="1.4850922858495031E-3"/>
    <x v="0"/>
  </r>
  <r>
    <x v="221"/>
    <s v="SHIDO"/>
    <n v="1.2689999999999999E-4"/>
    <n v="0.77"/>
    <n v="1.2593033640964573E-4"/>
    <x v="0"/>
  </r>
  <r>
    <x v="222"/>
    <s v="SHPING"/>
    <n v="5.3339999999999995E-4"/>
    <n v="0.01"/>
    <n v="5.3334666533346657E-4"/>
    <x v="0"/>
  </r>
  <r>
    <x v="223"/>
    <s v="SHRAP"/>
    <n v="3.5349999999999997E-4"/>
    <n v="0"/>
    <n v="3.5349999999999997E-4"/>
    <x v="0"/>
  </r>
  <r>
    <x v="224"/>
    <s v="SKHYon"/>
    <n v="158.87"/>
    <n v="0.32"/>
    <n v="158.36323763955343"/>
    <x v="1"/>
  </r>
  <r>
    <x v="225"/>
    <s v="SKEY"/>
    <n v="1.8929999999999999E-3"/>
    <n v="0.26"/>
    <n v="1.8880909634949132E-3"/>
    <x v="0"/>
  </r>
  <r>
    <x v="226"/>
    <s v="SLX"/>
    <n v="7.1909999999999997E-4"/>
    <n v="0.01"/>
    <n v="7.1902809719028092E-4"/>
    <x v="0"/>
  </r>
  <r>
    <x v="227"/>
    <s v="SOFIon"/>
    <n v="18.420000000000002"/>
    <n v="0.28999999999999998"/>
    <n v="18.366736464253666"/>
    <x v="1"/>
  </r>
  <r>
    <x v="228"/>
    <s v="SOL"/>
    <n v="101.09"/>
    <n v="0.62"/>
    <n v="100.46710395547605"/>
    <x v="1"/>
  </r>
  <r>
    <x v="229"/>
    <s v="USX"/>
    <n v="1"/>
    <n v="0.01"/>
    <n v="0.99990000999900008"/>
    <x v="0"/>
  </r>
  <r>
    <x v="230"/>
    <s v="SOLV"/>
    <n v="2.7989999999999998E-3"/>
    <n v="7.0000000000000007E-2"/>
    <n v="2.7970420705506144E-3"/>
    <x v="0"/>
  </r>
  <r>
    <x v="231"/>
    <s v="SPELL"/>
    <s v="8.813e-05"/>
    <n v="0.38"/>
    <n v="8.779637377963738E-5"/>
    <x v="1"/>
  </r>
  <r>
    <x v="232"/>
    <s v="QUID"/>
    <n v="7.1730000000000002E-2"/>
    <n v="0.77"/>
    <n v="7.1181899374813937E-2"/>
    <x v="0"/>
  </r>
  <r>
    <x v="233"/>
    <s v="SSV"/>
    <n v="2.68"/>
    <n v="1.33"/>
    <n v="2.6448238428895685"/>
    <x v="0"/>
  </r>
  <r>
    <x v="234"/>
    <s v="SD"/>
    <n v="0.1162"/>
    <n v="0.13"/>
    <n v="0.11604913612304003"/>
    <x v="0"/>
  </r>
  <r>
    <x v="235"/>
    <s v="DUSD"/>
    <n v="0.999"/>
    <n v="0.01"/>
    <n v="0.99890010998900114"/>
    <x v="0"/>
  </r>
  <r>
    <x v="236"/>
    <s v="POLIS"/>
    <n v="1.038E-2"/>
    <n v="1.56"/>
    <n v="1.0220559275305238E-2"/>
    <x v="0"/>
  </r>
  <r>
    <x v="237"/>
    <s v="STG"/>
    <n v="0.1595"/>
    <n v="0.37"/>
    <n v="0.15891202550562916"/>
    <x v="0"/>
  </r>
  <r>
    <x v="238"/>
    <s v="SPYB"/>
    <n v="764.74"/>
    <n v="0.06"/>
    <n v="764.28143114131524"/>
    <x v="1"/>
  </r>
  <r>
    <x v="239"/>
    <s v="SNT"/>
    <n v="6.1570000000000001E-3"/>
    <n v="0.38"/>
    <n v="6.1336919705120545E-3"/>
    <x v="0"/>
  </r>
  <r>
    <x v="240"/>
    <s v="STBL"/>
    <n v="2.503E-2"/>
    <n v="1.18"/>
    <n v="2.4738090531725637E-2"/>
    <x v="0"/>
  </r>
  <r>
    <x v="241"/>
    <s v="RARE"/>
    <n v="1.255E-2"/>
    <n v="0.71"/>
    <n v="1.2461523185383775E-2"/>
    <x v="0"/>
  </r>
  <r>
    <x v="242"/>
    <s v="SUPRA"/>
    <n v="1.9330000000000001E-4"/>
    <n v="0.13"/>
    <n v="1.9304903625287127E-4"/>
    <x v="0"/>
  </r>
  <r>
    <x v="243"/>
    <s v="SN4"/>
    <n v="13.79"/>
    <n v="0.63"/>
    <n v="13.703666898539202"/>
    <x v="1"/>
  </r>
  <r>
    <x v="244"/>
    <s v="LUNC"/>
    <s v="5.508e-05"/>
    <n v="1.37"/>
    <n v="5.433560224918615E-5"/>
    <x v="1"/>
  </r>
  <r>
    <x v="245"/>
    <s v="USTC"/>
    <n v="5.4539999999999996E-3"/>
    <n v="1.22"/>
    <n v="5.388263189093064E-3"/>
    <x v="0"/>
  </r>
  <r>
    <x v="246"/>
    <s v="USDT"/>
    <n v="0.99960000000000004"/>
    <n v="0.01"/>
    <n v="0.99950004999500053"/>
    <x v="0"/>
  </r>
  <r>
    <x v="247"/>
    <s v="EURt"/>
    <n v="5.296E-2"/>
    <n v="0"/>
    <n v="5.296E-2"/>
    <x v="0"/>
  </r>
  <r>
    <x v="248"/>
    <s v="XAUT0"/>
    <n v="4631.91"/>
    <n v="0.14000000000000001"/>
    <n v="4625.4343918514078"/>
    <x v="1"/>
  </r>
  <r>
    <x v="249"/>
    <s v="XTZ"/>
    <n v="0.23350000000000001"/>
    <n v="0.75"/>
    <n v="0.23176178660049629"/>
    <x v="0"/>
  </r>
  <r>
    <x v="250"/>
    <s v="TGC"/>
    <n v="0.13439999999999999"/>
    <n v="0.46"/>
    <n v="0.13378459088194306"/>
    <x v="0"/>
  </r>
  <r>
    <x v="251"/>
    <n v="67"/>
    <n v="1.931E-3"/>
    <n v="0.78"/>
    <n v="1.9160547727723753E-3"/>
    <x v="0"/>
  </r>
  <r>
    <x v="252"/>
    <s v="T"/>
    <n v="3.7659999999999998E-3"/>
    <n v="0.28000000000000003"/>
    <n v="3.7554846429996014E-3"/>
    <x v="0"/>
  </r>
  <r>
    <x v="253"/>
    <s v="TKP"/>
    <n v="4.2610000000000002E-2"/>
    <n v="0"/>
    <n v="4.2610000000000002E-2"/>
    <x v="0"/>
  </r>
  <r>
    <x v="254"/>
    <s v="LIBERTY"/>
    <n v="1.5410000000000001E-3"/>
    <n v="0.24"/>
    <n v="1.5373104549082203E-3"/>
    <x v="0"/>
  </r>
  <r>
    <x v="255"/>
    <s v="TOWNS"/>
    <n v="2.457E-3"/>
    <n v="0.64"/>
    <n v="2.4413751987281398E-3"/>
    <x v="0"/>
  </r>
  <r>
    <x v="256"/>
    <s v="TRIAS"/>
    <n v="0.2024"/>
    <n v="0.02"/>
    <n v="0.20235952809438112"/>
    <x v="0"/>
  </r>
  <r>
    <x v="257"/>
    <s v="TRX"/>
    <n v="0.34449999999999997"/>
    <n v="0.03"/>
    <n v="0.34439668099570125"/>
    <x v="0"/>
  </r>
  <r>
    <x v="258"/>
    <s v="SWAP"/>
    <n v="3.9170000000000003E-2"/>
    <n v="0.21"/>
    <n v="3.9087915377706818E-2"/>
    <x v="0"/>
  </r>
  <r>
    <x v="259"/>
    <s v="TRUU"/>
    <n v="3.3399999999999999E-4"/>
    <n v="1.72"/>
    <n v="3.2835233975619341E-4"/>
    <x v="0"/>
  </r>
  <r>
    <x v="260"/>
    <s v="ARTX"/>
    <n v="0.1085"/>
    <n v="0.4"/>
    <n v="0.10806772908366534"/>
    <x v="0"/>
  </r>
  <r>
    <x v="261"/>
    <s v="UB"/>
    <n v="0.12909999999999999"/>
    <n v="2.34"/>
    <n v="0.12614813367207348"/>
    <x v="0"/>
  </r>
  <r>
    <x v="262"/>
    <s v="LEO"/>
    <n v="9.35"/>
    <n v="0.06"/>
    <n v="9.3443933639816112"/>
    <x v="0"/>
  </r>
  <r>
    <x v="263"/>
    <s v="USDAI"/>
    <n v="0.99990000000000001"/>
    <n v="0.01"/>
    <n v="0.99980001999800017"/>
    <x v="0"/>
  </r>
  <r>
    <x v="264"/>
    <s v="USDC"/>
    <n v="0.99990000000000001"/>
    <n v="0"/>
    <n v="0.99990000000000001"/>
    <x v="0"/>
  </r>
  <r>
    <x v="265"/>
    <s v="USDGO"/>
    <n v="1"/>
    <n v="0"/>
    <n v="1"/>
    <x v="0"/>
  </r>
  <r>
    <x v="266"/>
    <s v="USUAL"/>
    <n v="1.196E-2"/>
    <n v="1.44"/>
    <n v="1.1790220820189275E-2"/>
    <x v="0"/>
  </r>
  <r>
    <x v="267"/>
    <s v="USD0"/>
    <n v="0.99870000000000003"/>
    <n v="0.01"/>
    <n v="0.99860013998600139"/>
    <x v="0"/>
  </r>
  <r>
    <x v="268"/>
    <s v="VADER"/>
    <n v="1.539E-3"/>
    <n v="3.46"/>
    <n v="1.4875314131065145E-3"/>
    <x v="0"/>
  </r>
  <r>
    <x v="269"/>
    <s v="VAL"/>
    <n v="0.46960000000000002"/>
    <n v="0.21"/>
    <n v="0.4686159065961481"/>
    <x v="0"/>
  </r>
  <r>
    <x v="270"/>
    <s v="VANA"/>
    <n v="1.02"/>
    <n v="0.5"/>
    <n v="1.0149253731343284"/>
    <x v="0"/>
  </r>
  <r>
    <x v="271"/>
    <s v="VANRY"/>
    <n v="8.0579999999999996E-4"/>
    <n v="0.09"/>
    <n v="8.0507543211110009E-4"/>
    <x v="0"/>
  </r>
  <r>
    <x v="272"/>
    <s v="vBUSD"/>
    <n v="2.2349999999999998E-2"/>
    <n v="0.03"/>
    <n v="2.234329701089673E-2"/>
    <x v="0"/>
  </r>
  <r>
    <x v="273"/>
    <s v="VRA"/>
    <s v="2.036e-05"/>
    <n v="0.11"/>
    <n v="2.0337628608530617E-5"/>
    <x v="1"/>
  </r>
  <r>
    <x v="274"/>
    <s v="XVG"/>
    <n v="2.594E-3"/>
    <n v="0.84"/>
    <n v="2.5723919079730265E-3"/>
    <x v="0"/>
  </r>
  <r>
    <x v="275"/>
    <s v="VTC"/>
    <n v="5.237E-2"/>
    <n v="0.09"/>
    <n v="5.2322909381556607E-2"/>
    <x v="0"/>
  </r>
  <r>
    <x v="276"/>
    <s v="VITA"/>
    <n v="0.27279999999999999"/>
    <n v="0.7"/>
    <n v="0.27090367428003975"/>
    <x v="0"/>
  </r>
  <r>
    <x v="277"/>
    <s v="WCO"/>
    <n v="1.56E-4"/>
    <n v="0.02"/>
    <n v="1.5596880623875225E-4"/>
    <x v="0"/>
  </r>
  <r>
    <x v="278"/>
    <s v="WAVES"/>
    <n v="0.2215"/>
    <n v="7.0000000000000007E-2"/>
    <n v="0.22134505845907868"/>
    <x v="0"/>
  </r>
  <r>
    <x v="279"/>
    <s v="WRX"/>
    <n v="1.7069999999999998E-2"/>
    <n v="0.3"/>
    <n v="1.7018943170488535E-2"/>
    <x v="0"/>
  </r>
  <r>
    <x v="280"/>
    <s v="WELF"/>
    <n v="9.8760000000000001E-2"/>
    <n v="0.01"/>
    <n v="9.8750124987501256E-2"/>
    <x v="0"/>
  </r>
  <r>
    <x v="281"/>
    <s v="WEXO"/>
    <n v="1.341E-2"/>
    <n v="2.08"/>
    <n v="1.3136755485893417E-2"/>
    <x v="0"/>
  </r>
  <r>
    <x v="282"/>
    <s v="WINR"/>
    <n v="2.7299999999999998E-3"/>
    <n v="1.67"/>
    <n v="2.6851578636766008E-3"/>
    <x v="0"/>
  </r>
  <r>
    <x v="283"/>
    <s v="WOO"/>
    <n v="1.174E-2"/>
    <n v="0.7"/>
    <n v="1.1658391261171798E-2"/>
    <x v="0"/>
  </r>
  <r>
    <x v="284"/>
    <s v="WMTX"/>
    <n v="3.5490000000000001E-2"/>
    <n v="0.11"/>
    <n v="3.5451003895714712E-2"/>
    <x v="0"/>
  </r>
  <r>
    <x v="285"/>
    <s v="WOD"/>
    <n v="4.1139999999999996E-3"/>
    <n v="3.52"/>
    <n v="3.9741112828438948E-3"/>
    <x v="0"/>
  </r>
  <r>
    <x v="286"/>
    <s v="W"/>
    <n v="9.7219999999999997E-3"/>
    <n v="0.69"/>
    <n v="9.6553778925414641E-3"/>
    <x v="0"/>
  </r>
  <r>
    <x v="287"/>
    <s v="WOULD"/>
    <n v="6.1429999999999998E-2"/>
    <n v="0.36"/>
    <n v="6.1209645277002789E-2"/>
    <x v="0"/>
  </r>
  <r>
    <x v="288"/>
    <s v="XRP"/>
    <n v="1.5"/>
    <n v="0.97"/>
    <n v="1.4855897791423194"/>
    <x v="0"/>
  </r>
  <r>
    <x v="289"/>
    <s v="XSWAP"/>
    <n v="6.2940000000000001E-3"/>
    <n v="0"/>
    <n v="6.2940000000000001E-3"/>
    <x v="0"/>
  </r>
  <r>
    <x v="290"/>
    <s v="YEE"/>
    <n v="3.9370000000000004E-3"/>
    <n v="0.44"/>
    <n v="3.9197530864197539E-3"/>
    <x v="0"/>
  </r>
  <r>
    <x v="291"/>
    <s v="ESPORTS"/>
    <n v="1.452E-2"/>
    <n v="0.15"/>
    <n v="1.4498252621068396E-2"/>
    <x v="0"/>
  </r>
  <r>
    <x v="292"/>
    <s v="YNG"/>
    <n v="0.64970000000000006"/>
    <n v="0"/>
    <n v="0.64970000000000006"/>
    <x v="0"/>
  </r>
  <r>
    <x v="293"/>
    <s v="ZEC"/>
    <n v="848.04"/>
    <n v="0.64"/>
    <n v="842.64705882352939"/>
    <x v="1"/>
  </r>
  <r>
    <x v="294"/>
    <s v="ZTC"/>
    <n v="5.5449999999999998E-4"/>
    <n v="0.45"/>
    <n v="5.5201592832254849E-4"/>
    <x v="0"/>
  </r>
  <r>
    <x v="295"/>
    <s v="ZEUS"/>
    <n v="2.5579999999999999E-3"/>
    <n v="0.1"/>
    <n v="2.5554445554445558E-3"/>
    <x v="0"/>
  </r>
  <r>
    <x v="296"/>
    <s v="ZORA"/>
    <n v="6.8320000000000004E-3"/>
    <n v="2.2799999999999998"/>
    <n v="6.679702776691436E-3"/>
    <x v="0"/>
  </r>
  <r>
    <x v="297"/>
    <s v="ZFI"/>
    <n v="6.6930000000000002E-3"/>
    <n v="0"/>
    <n v="6.6930000000000002E-3"/>
    <x v="0"/>
  </r>
  <r>
    <x v="298"/>
    <s v="SN3"/>
    <n v="7.37"/>
    <n v="1.5"/>
    <n v="7.2610837438423657"/>
    <x v="0"/>
  </r>
  <r>
    <x v="299"/>
    <s v="哭哭马"/>
    <n v="3.9649999999999998E-3"/>
    <n v="0.42"/>
    <n v="3.948416650069707E-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143897-E8AA-449F-A443-94B617C198F6}"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14" firstHeaderRow="0" firstDataRow="1" firstDataCol="1" rowPageCount="1" colPageCount="1"/>
  <pivotFields count="6">
    <pivotField axis="axisRow" showAll="0" measureFilter="1">
      <items count="3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t="default"/>
      </items>
    </pivotField>
    <pivotField showAll="0"/>
    <pivotField dataField="1" showAll="0"/>
    <pivotField dataField="1" showAll="0"/>
    <pivotField dataField="1" showAll="0"/>
    <pivotField axis="axisPage" showAll="0">
      <items count="3">
        <item x="1"/>
        <item x="0"/>
        <item t="default"/>
      </items>
    </pivotField>
  </pivotFields>
  <rowFields count="1">
    <field x="0"/>
  </rowFields>
  <rowItems count="11">
    <i>
      <x v="43"/>
    </i>
    <i>
      <x v="62"/>
    </i>
    <i>
      <x v="73"/>
    </i>
    <i>
      <x v="95"/>
    </i>
    <i>
      <x v="123"/>
    </i>
    <i>
      <x v="158"/>
    </i>
    <i>
      <x v="228"/>
    </i>
    <i>
      <x v="243"/>
    </i>
    <i>
      <x v="244"/>
    </i>
    <i>
      <x v="293"/>
    </i>
    <i t="grand">
      <x/>
    </i>
  </rowItems>
  <colFields count="1">
    <field x="-2"/>
  </colFields>
  <colItems count="3">
    <i>
      <x/>
    </i>
    <i i="1">
      <x v="1"/>
    </i>
    <i i="2">
      <x v="2"/>
    </i>
  </colItems>
  <pageFields count="1">
    <pageField fld="5" item="0" hier="-1"/>
  </pageFields>
  <dataFields count="3">
    <dataField name="Max of Current Price" fld="2" subtotal="max" baseField="0" baseItem="0"/>
    <dataField name="Max of Previous 1h Price" fld="4" subtotal="max" baseField="0" baseItem="0"/>
    <dataField name="Max of 1h Change (%)" fld="3" subtotal="max"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1"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2" cacheId="1" applyNumberFormats="0" applyBorderFormats="0" applyFontFormats="0" applyPatternFormats="0" applyAlignmentFormats="0" applyWidthHeightFormats="1" dataCaption="Values" updatedVersion="8" minRefreshableVersion="3" useAutoFormatting="1" createdVersion="8" indent="0" outline="1" outlineData="1" multipleFieldFilters="0" rowHeaderCaption="Coin Name">
  <location ref="U39:V59" firstHeaderRow="1" firstDataRow="1" firstDataCol="1"/>
  <pivotFields count="10">
    <pivotField axis="axisRow" showAll="0" measureFilter="1" sortType="descending">
      <items count="301">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sd="0"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Row" showAll="0">
      <items count="300">
        <item x="169"/>
        <item x="15"/>
        <item x="107"/>
        <item x="205"/>
        <item x="253"/>
        <item x="16"/>
        <item x="14"/>
        <item x="4"/>
        <item x="53"/>
        <item x="0"/>
        <item x="1"/>
        <item x="5"/>
        <item x="9"/>
        <item x="2"/>
        <item x="11"/>
        <item x="17"/>
        <item x="18"/>
        <item x="19"/>
        <item x="21"/>
        <item x="20"/>
        <item x="10"/>
        <item x="22"/>
        <item x="23"/>
        <item x="50"/>
        <item x="24"/>
        <item x="6"/>
        <item x="7"/>
        <item x="8"/>
        <item x="25"/>
        <item x="26"/>
        <item x="88"/>
        <item x="157"/>
        <item x="34"/>
        <item x="51"/>
        <item x="36"/>
        <item x="28"/>
        <item x="43"/>
        <item x="29"/>
        <item x="30"/>
        <item x="31"/>
        <item x="32"/>
        <item x="39"/>
        <item x="40"/>
        <item x="44"/>
        <item x="27"/>
        <item x="45"/>
        <item x="46"/>
        <item x="47"/>
        <item x="48"/>
        <item x="49"/>
        <item x="41"/>
        <item x="42"/>
        <item x="35"/>
        <item x="33"/>
        <item x="38"/>
        <item x="216"/>
        <item x="54"/>
        <item x="56"/>
        <item x="57"/>
        <item x="63"/>
        <item x="296"/>
        <item x="62"/>
        <item x="60"/>
        <item x="65"/>
        <item x="64"/>
        <item x="52"/>
        <item x="70"/>
        <item x="69"/>
        <item x="68"/>
        <item x="67"/>
        <item x="58"/>
        <item x="73"/>
        <item x="77"/>
        <item x="71"/>
        <item x="74"/>
        <item x="75"/>
        <item x="76"/>
        <item x="222"/>
        <item x="78"/>
        <item x="79"/>
        <item x="80"/>
        <item x="66"/>
        <item x="292"/>
        <item x="82"/>
        <item x="132"/>
        <item x="83"/>
        <item x="81"/>
        <item x="84"/>
        <item x="85"/>
        <item x="242"/>
        <item x="87"/>
        <item x="89"/>
        <item x="91"/>
        <item x="12"/>
        <item x="90"/>
        <item x="92"/>
        <item x="93"/>
        <item x="98"/>
        <item x="94"/>
        <item x="96"/>
        <item x="97"/>
        <item x="101"/>
        <item x="102"/>
        <item x="99"/>
        <item x="171"/>
        <item x="103"/>
        <item x="104"/>
        <item x="106"/>
        <item x="100"/>
        <item x="95"/>
        <item x="108"/>
        <item x="109"/>
        <item x="118"/>
        <item x="110"/>
        <item x="120"/>
        <item x="111"/>
        <item x="112"/>
        <item x="113"/>
        <item x="114"/>
        <item x="115"/>
        <item x="116"/>
        <item x="117"/>
        <item x="122"/>
        <item x="131"/>
        <item x="125"/>
        <item x="123"/>
        <item x="126"/>
        <item x="124"/>
        <item x="127"/>
        <item x="129"/>
        <item x="130"/>
        <item x="133"/>
        <item x="134"/>
        <item x="135"/>
        <item x="136"/>
        <item x="138"/>
        <item x="137"/>
        <item x="139"/>
        <item x="140"/>
        <item x="141"/>
        <item x="142"/>
        <item x="143"/>
        <item x="201"/>
        <item x="271"/>
        <item x="146"/>
        <item x="37"/>
        <item x="147"/>
        <item x="148"/>
        <item x="149"/>
        <item x="144"/>
        <item x="152"/>
        <item x="151"/>
        <item x="153"/>
        <item x="155"/>
        <item x="159"/>
        <item x="156"/>
        <item x="160"/>
        <item x="161"/>
        <item x="163"/>
        <item x="165"/>
        <item x="150"/>
        <item x="154"/>
        <item x="167"/>
        <item x="168"/>
        <item x="158"/>
        <item x="246"/>
        <item x="164"/>
        <item x="105"/>
        <item x="175"/>
        <item x="174"/>
        <item x="3"/>
        <item x="180"/>
        <item x="179"/>
        <item x="183"/>
        <item x="182"/>
        <item x="184"/>
        <item x="177"/>
        <item x="185"/>
        <item x="186"/>
        <item x="190"/>
        <item x="193"/>
        <item x="188"/>
        <item x="191"/>
        <item x="192"/>
        <item x="194"/>
        <item x="196"/>
        <item x="197"/>
        <item x="178"/>
        <item x="198"/>
        <item x="199"/>
        <item x="217"/>
        <item x="195"/>
        <item x="202"/>
        <item x="203"/>
        <item x="189"/>
        <item x="200"/>
        <item x="181"/>
        <item x="206"/>
        <item x="207"/>
        <item x="208"/>
        <item x="210"/>
        <item x="211"/>
        <item x="212"/>
        <item x="61"/>
        <item x="72"/>
        <item x="214"/>
        <item x="215"/>
        <item x="121"/>
        <item x="218"/>
        <item x="219"/>
        <item x="162"/>
        <item x="166"/>
        <item x="220"/>
        <item x="221"/>
        <item x="224"/>
        <item x="223"/>
        <item x="267"/>
        <item x="213"/>
        <item x="209"/>
        <item x="225"/>
        <item x="226"/>
        <item x="227"/>
        <item x="228"/>
        <item x="241"/>
        <item x="234"/>
        <item x="229"/>
        <item x="232"/>
        <item x="172"/>
        <item x="233"/>
        <item x="231"/>
        <item x="55"/>
        <item x="264"/>
        <item x="236"/>
        <item x="237"/>
        <item x="239"/>
        <item x="230"/>
        <item x="240"/>
        <item x="261"/>
        <item x="244"/>
        <item x="245"/>
        <item x="247"/>
        <item x="243"/>
        <item x="248"/>
        <item x="249"/>
        <item x="259"/>
        <item x="250"/>
        <item x="251"/>
        <item x="258"/>
        <item x="260"/>
        <item x="204"/>
        <item x="263"/>
        <item x="252"/>
        <item x="265"/>
        <item x="128"/>
        <item x="266"/>
        <item x="254"/>
        <item x="262"/>
        <item x="268"/>
        <item x="270"/>
        <item x="269"/>
        <item x="277"/>
        <item x="272"/>
        <item x="273"/>
        <item x="274"/>
        <item x="86"/>
        <item x="275"/>
        <item x="276"/>
        <item x="255"/>
        <item x="187"/>
        <item x="238"/>
        <item x="278"/>
        <item x="279"/>
        <item x="281"/>
        <item x="280"/>
        <item x="282"/>
        <item x="283"/>
        <item x="284"/>
        <item x="285"/>
        <item x="291"/>
        <item x="288"/>
        <item x="286"/>
        <item x="119"/>
        <item x="287"/>
        <item x="257"/>
        <item x="290"/>
        <item x="289"/>
        <item x="235"/>
        <item x="13"/>
        <item x="59"/>
        <item x="176"/>
        <item x="170"/>
        <item x="173"/>
        <item x="293"/>
        <item x="294"/>
        <item x="295"/>
        <item x="256"/>
        <item x="297"/>
        <item x="298"/>
        <item x="145"/>
        <item t="default"/>
      </items>
    </pivotField>
    <pivotField showAll="0">
      <items count="295">
        <item x="109"/>
        <item x="208"/>
        <item x="51"/>
        <item x="111"/>
        <item x="48"/>
        <item x="286"/>
        <item x="209"/>
        <item x="21"/>
        <item x="198"/>
        <item x="113"/>
        <item x="144"/>
        <item x="70"/>
        <item x="31"/>
        <item x="288"/>
        <item x="55"/>
        <item x="150"/>
        <item x="32"/>
        <item x="39"/>
        <item x="232"/>
        <item x="118"/>
        <item x="0"/>
        <item x="227"/>
        <item x="275"/>
        <item x="17"/>
        <item x="176"/>
        <item x="235"/>
        <item x="201"/>
        <item x="95"/>
        <item x="79"/>
        <item x="233"/>
        <item x="268"/>
        <item x="97"/>
        <item x="66"/>
        <item x="185"/>
        <item x="156"/>
        <item x="174"/>
        <item x="92"/>
        <item x="178"/>
        <item x="120"/>
        <item x="57"/>
        <item x="257"/>
        <item x="152"/>
        <item x="5"/>
        <item x="284"/>
        <item x="81"/>
        <item x="126"/>
        <item x="214"/>
        <item x="77"/>
        <item x="183"/>
        <item x="129"/>
        <item x="182"/>
        <item x="99"/>
        <item x="76"/>
        <item x="250"/>
        <item x="104"/>
        <item x="65"/>
        <item x="215"/>
        <item x="259"/>
        <item x="213"/>
        <item x="49"/>
        <item x="248"/>
        <item x="148"/>
        <item x="133"/>
        <item x="224"/>
        <item x="143"/>
        <item x="72"/>
        <item x="93"/>
        <item x="96"/>
        <item x="4"/>
        <item x="101"/>
        <item x="260"/>
        <item x="236"/>
        <item x="103"/>
        <item x="146"/>
        <item x="241"/>
        <item x="163"/>
        <item x="82"/>
        <item x="258"/>
        <item x="23"/>
        <item x="281"/>
        <item x="171"/>
        <item x="247"/>
        <item x="219"/>
        <item x="274"/>
        <item x="127"/>
        <item x="161"/>
        <item x="290"/>
        <item x="40"/>
        <item x="147"/>
        <item x="87"/>
        <item x="136"/>
        <item x="253"/>
        <item x="153"/>
        <item x="6"/>
        <item x="106"/>
        <item x="287"/>
        <item x="13"/>
        <item x="192"/>
        <item x="206"/>
        <item x="78"/>
        <item x="116"/>
        <item x="180"/>
        <item x="211"/>
        <item x="228"/>
        <item x="165"/>
        <item x="181"/>
        <item x="110"/>
        <item x="42"/>
        <item x="108"/>
        <item x="130"/>
        <item x="94"/>
        <item x="67"/>
        <item x="234"/>
        <item x="278"/>
        <item x="157"/>
        <item x="22"/>
        <item x="276"/>
        <item x="172"/>
        <item x="230"/>
        <item x="45"/>
        <item x="199"/>
        <item x="169"/>
        <item x="75"/>
        <item x="91"/>
        <item x="160"/>
        <item x="244"/>
        <item x="58"/>
        <item x="30"/>
        <item x="154"/>
        <item x="277"/>
        <item x="47"/>
        <item x="16"/>
        <item x="140"/>
        <item x="279"/>
        <item x="249"/>
        <item x="194"/>
        <item x="216"/>
        <item x="265"/>
        <item x="282"/>
        <item x="245"/>
        <item x="71"/>
        <item x="195"/>
        <item x="293"/>
        <item x="29"/>
        <item x="188"/>
        <item x="63"/>
        <item x="190"/>
        <item x="222"/>
        <item x="128"/>
        <item x="141"/>
        <item x="117"/>
        <item x="115"/>
        <item x="114"/>
        <item x="46"/>
        <item x="80"/>
        <item x="134"/>
        <item x="205"/>
        <item x="155"/>
        <item x="38"/>
        <item x="3"/>
        <item x="56"/>
        <item x="34"/>
        <item x="168"/>
        <item x="262"/>
        <item x="119"/>
        <item x="74"/>
        <item x="98"/>
        <item x="64"/>
        <item x="135"/>
        <item x="285"/>
        <item x="10"/>
        <item x="54"/>
        <item x="167"/>
        <item x="203"/>
        <item x="226"/>
        <item x="212"/>
        <item x="107"/>
        <item x="28"/>
        <item x="202"/>
        <item x="239"/>
        <item x="18"/>
        <item x="196"/>
        <item x="25"/>
        <item x="261"/>
        <item x="90"/>
        <item x="26"/>
        <item x="124"/>
        <item x="125"/>
        <item x="60"/>
        <item x="41"/>
        <item x="291"/>
        <item x="229"/>
        <item x="221"/>
        <item x="37"/>
        <item x="243"/>
        <item x="270"/>
        <item x="121"/>
        <item x="53"/>
        <item x="191"/>
        <item x="15"/>
        <item x="52"/>
        <item x="256"/>
        <item x="210"/>
        <item x="12"/>
        <item x="280"/>
        <item x="83"/>
        <item x="251"/>
        <item x="27"/>
        <item x="193"/>
        <item x="88"/>
        <item x="9"/>
        <item x="151"/>
        <item x="266"/>
        <item x="1"/>
        <item x="173"/>
        <item x="200"/>
        <item x="36"/>
        <item x="137"/>
        <item x="263"/>
        <item x="242"/>
        <item x="89"/>
        <item x="68"/>
        <item x="145"/>
        <item x="289"/>
        <item x="19"/>
        <item x="177"/>
        <item x="86"/>
        <item x="272"/>
        <item x="102"/>
        <item x="255"/>
        <item x="273"/>
        <item x="100"/>
        <item x="73"/>
        <item x="164"/>
        <item x="139"/>
        <item x="179"/>
        <item x="187"/>
        <item x="85"/>
        <item x="59"/>
        <item x="197"/>
        <item x="186"/>
        <item x="123"/>
        <item x="142"/>
        <item x="138"/>
        <item x="264"/>
        <item x="271"/>
        <item x="35"/>
        <item x="69"/>
        <item x="252"/>
        <item x="237"/>
        <item x="105"/>
        <item x="269"/>
        <item x="112"/>
        <item x="223"/>
        <item x="122"/>
        <item x="20"/>
        <item x="24"/>
        <item x="204"/>
        <item x="220"/>
        <item x="132"/>
        <item x="238"/>
        <item x="131"/>
        <item x="218"/>
        <item x="217"/>
        <item x="283"/>
        <item x="246"/>
        <item x="14"/>
        <item x="240"/>
        <item x="231"/>
        <item x="7"/>
        <item x="8"/>
        <item x="62"/>
        <item x="61"/>
        <item x="207"/>
        <item x="158"/>
        <item x="175"/>
        <item x="184"/>
        <item x="43"/>
        <item x="11"/>
        <item x="254"/>
        <item x="170"/>
        <item x="50"/>
        <item x="267"/>
        <item x="292"/>
        <item x="2"/>
        <item x="162"/>
        <item x="159"/>
        <item x="44"/>
        <item x="149"/>
        <item x="189"/>
        <item x="166"/>
        <item x="225"/>
        <item x="84"/>
        <item x="33"/>
        <item t="default"/>
      </items>
    </pivotField>
    <pivotField dataField="1" showAll="0"/>
    <pivotField showAll="0"/>
    <pivotField showAll="0"/>
    <pivotField showAll="0"/>
    <pivotField showAll="0"/>
    <pivotField showAll="0"/>
    <pivotField showAll="0"/>
  </pivotFields>
  <rowFields count="2">
    <field x="0"/>
    <field x="1"/>
  </rowFields>
  <rowItems count="20">
    <i>
      <x v="29"/>
    </i>
    <i>
      <x v="80"/>
    </i>
    <i r="1">
      <x v="208"/>
    </i>
    <i>
      <x v="107"/>
    </i>
    <i r="1">
      <x v="183"/>
    </i>
    <i>
      <x v="114"/>
    </i>
    <i r="1">
      <x v="177"/>
    </i>
    <i>
      <x v="125"/>
    </i>
    <i r="1">
      <x v="169"/>
    </i>
    <i>
      <x v="147"/>
    </i>
    <i r="1">
      <x v="150"/>
    </i>
    <i>
      <x v="192"/>
    </i>
    <i r="1">
      <x v="2"/>
    </i>
    <i>
      <x v="204"/>
    </i>
    <i r="1">
      <x v="109"/>
    </i>
    <i>
      <x v="278"/>
    </i>
    <i r="1">
      <x v="18"/>
    </i>
    <i>
      <x v="287"/>
    </i>
    <i r="1">
      <x v="93"/>
    </i>
    <i t="grand">
      <x/>
    </i>
  </rowItems>
  <colItems count="1">
    <i/>
  </colItems>
  <dataFields count="1">
    <dataField name="Sum of 1h Change (%)" fld="3" baseField="0" baseItem="0"/>
  </dataFields>
  <formats count="47">
    <format dxfId="56">
      <pivotArea collapsedLevelsAreSubtotals="1" fieldPosition="0">
        <references count="1">
          <reference field="0" count="1">
            <x v="29"/>
          </reference>
        </references>
      </pivotArea>
    </format>
    <format dxfId="55">
      <pivotArea collapsedLevelsAreSubtotals="1" fieldPosition="0">
        <references count="2">
          <reference field="0" count="1" selected="0">
            <x v="29"/>
          </reference>
          <reference field="1" count="1">
            <x v="259"/>
          </reference>
        </references>
      </pivotArea>
    </format>
    <format dxfId="54">
      <pivotArea collapsedLevelsAreSubtotals="1" fieldPosition="0">
        <references count="1">
          <reference field="0" count="1">
            <x v="80"/>
          </reference>
        </references>
      </pivotArea>
    </format>
    <format dxfId="53">
      <pivotArea collapsedLevelsAreSubtotals="1" fieldPosition="0">
        <references count="2">
          <reference field="0" count="1" selected="0">
            <x v="80"/>
          </reference>
          <reference field="1" count="1">
            <x v="208"/>
          </reference>
        </references>
      </pivotArea>
    </format>
    <format dxfId="52">
      <pivotArea collapsedLevelsAreSubtotals="1" fieldPosition="0">
        <references count="1">
          <reference field="0" count="1">
            <x v="107"/>
          </reference>
        </references>
      </pivotArea>
    </format>
    <format dxfId="51">
      <pivotArea collapsedLevelsAreSubtotals="1" fieldPosition="0">
        <references count="2">
          <reference field="0" count="1" selected="0">
            <x v="107"/>
          </reference>
          <reference field="1" count="1">
            <x v="183"/>
          </reference>
        </references>
      </pivotArea>
    </format>
    <format dxfId="50">
      <pivotArea collapsedLevelsAreSubtotals="1" fieldPosition="0">
        <references count="1">
          <reference field="0" count="1">
            <x v="114"/>
          </reference>
        </references>
      </pivotArea>
    </format>
    <format dxfId="49">
      <pivotArea collapsedLevelsAreSubtotals="1" fieldPosition="0">
        <references count="2">
          <reference field="0" count="1" selected="0">
            <x v="114"/>
          </reference>
          <reference field="1" count="1">
            <x v="177"/>
          </reference>
        </references>
      </pivotArea>
    </format>
    <format dxfId="48">
      <pivotArea collapsedLevelsAreSubtotals="1" fieldPosition="0">
        <references count="1">
          <reference field="0" count="1">
            <x v="125"/>
          </reference>
        </references>
      </pivotArea>
    </format>
    <format dxfId="47">
      <pivotArea collapsedLevelsAreSubtotals="1" fieldPosition="0">
        <references count="2">
          <reference field="0" count="1" selected="0">
            <x v="125"/>
          </reference>
          <reference field="1" count="1">
            <x v="169"/>
          </reference>
        </references>
      </pivotArea>
    </format>
    <format dxfId="46">
      <pivotArea collapsedLevelsAreSubtotals="1" fieldPosition="0">
        <references count="1">
          <reference field="0" count="1">
            <x v="147"/>
          </reference>
        </references>
      </pivotArea>
    </format>
    <format dxfId="45">
      <pivotArea collapsedLevelsAreSubtotals="1" fieldPosition="0">
        <references count="2">
          <reference field="0" count="1" selected="0">
            <x v="147"/>
          </reference>
          <reference field="1" count="1">
            <x v="150"/>
          </reference>
        </references>
      </pivotArea>
    </format>
    <format dxfId="44">
      <pivotArea collapsedLevelsAreSubtotals="1" fieldPosition="0">
        <references count="1">
          <reference field="0" count="1">
            <x v="192"/>
          </reference>
        </references>
      </pivotArea>
    </format>
    <format dxfId="43">
      <pivotArea collapsedLevelsAreSubtotals="1" fieldPosition="0">
        <references count="2">
          <reference field="0" count="1" selected="0">
            <x v="192"/>
          </reference>
          <reference field="1" count="1">
            <x v="2"/>
          </reference>
        </references>
      </pivotArea>
    </format>
    <format dxfId="42">
      <pivotArea collapsedLevelsAreSubtotals="1" fieldPosition="0">
        <references count="1">
          <reference field="0" count="1">
            <x v="204"/>
          </reference>
        </references>
      </pivotArea>
    </format>
    <format dxfId="41">
      <pivotArea collapsedLevelsAreSubtotals="1" fieldPosition="0">
        <references count="2">
          <reference field="0" count="1" selected="0">
            <x v="204"/>
          </reference>
          <reference field="1" count="1">
            <x v="109"/>
          </reference>
        </references>
      </pivotArea>
    </format>
    <format dxfId="40">
      <pivotArea collapsedLevelsAreSubtotals="1" fieldPosition="0">
        <references count="1">
          <reference field="0" count="1">
            <x v="278"/>
          </reference>
        </references>
      </pivotArea>
    </format>
    <format dxfId="39">
      <pivotArea collapsedLevelsAreSubtotals="1" fieldPosition="0">
        <references count="2">
          <reference field="0" count="1" selected="0">
            <x v="278"/>
          </reference>
          <reference field="1" count="1">
            <x v="18"/>
          </reference>
        </references>
      </pivotArea>
    </format>
    <format dxfId="38">
      <pivotArea collapsedLevelsAreSubtotals="1" fieldPosition="0">
        <references count="1">
          <reference field="0" count="1">
            <x v="287"/>
          </reference>
        </references>
      </pivotArea>
    </format>
    <format dxfId="37">
      <pivotArea collapsedLevelsAreSubtotals="1" fieldPosition="0">
        <references count="2">
          <reference field="0" count="1" selected="0">
            <x v="287"/>
          </reference>
          <reference field="1" count="1">
            <x v="93"/>
          </reference>
        </references>
      </pivotArea>
    </format>
    <format dxfId="36">
      <pivotArea dataOnly="0" labelOnly="1" fieldPosition="0">
        <references count="1">
          <reference field="0" count="10">
            <x v="29"/>
            <x v="80"/>
            <x v="107"/>
            <x v="114"/>
            <x v="125"/>
            <x v="147"/>
            <x v="192"/>
            <x v="204"/>
            <x v="278"/>
            <x v="287"/>
          </reference>
        </references>
      </pivotArea>
    </format>
    <format dxfId="35">
      <pivotArea dataOnly="0" labelOnly="1" fieldPosition="0">
        <references count="2">
          <reference field="0" count="1" selected="0">
            <x v="29"/>
          </reference>
          <reference field="1" count="1">
            <x v="259"/>
          </reference>
        </references>
      </pivotArea>
    </format>
    <format dxfId="34">
      <pivotArea dataOnly="0" labelOnly="1" fieldPosition="0">
        <references count="2">
          <reference field="0" count="1" selected="0">
            <x v="80"/>
          </reference>
          <reference field="1" count="1">
            <x v="208"/>
          </reference>
        </references>
      </pivotArea>
    </format>
    <format dxfId="33">
      <pivotArea dataOnly="0" labelOnly="1" fieldPosition="0">
        <references count="2">
          <reference field="0" count="1" selected="0">
            <x v="107"/>
          </reference>
          <reference field="1" count="1">
            <x v="183"/>
          </reference>
        </references>
      </pivotArea>
    </format>
    <format dxfId="32">
      <pivotArea dataOnly="0" labelOnly="1" fieldPosition="0">
        <references count="2">
          <reference field="0" count="1" selected="0">
            <x v="114"/>
          </reference>
          <reference field="1" count="1">
            <x v="177"/>
          </reference>
        </references>
      </pivotArea>
    </format>
    <format dxfId="31">
      <pivotArea dataOnly="0" labelOnly="1" fieldPosition="0">
        <references count="2">
          <reference field="0" count="1" selected="0">
            <x v="125"/>
          </reference>
          <reference field="1" count="1">
            <x v="169"/>
          </reference>
        </references>
      </pivotArea>
    </format>
    <format dxfId="30">
      <pivotArea dataOnly="0" labelOnly="1" fieldPosition="0">
        <references count="2">
          <reference field="0" count="1" selected="0">
            <x v="147"/>
          </reference>
          <reference field="1" count="1">
            <x v="150"/>
          </reference>
        </references>
      </pivotArea>
    </format>
    <format dxfId="29">
      <pivotArea dataOnly="0" labelOnly="1" fieldPosition="0">
        <references count="2">
          <reference field="0" count="1" selected="0">
            <x v="192"/>
          </reference>
          <reference field="1" count="1">
            <x v="2"/>
          </reference>
        </references>
      </pivotArea>
    </format>
    <format dxfId="28">
      <pivotArea dataOnly="0" labelOnly="1" fieldPosition="0">
        <references count="2">
          <reference field="0" count="1" selected="0">
            <x v="204"/>
          </reference>
          <reference field="1" count="1">
            <x v="109"/>
          </reference>
        </references>
      </pivotArea>
    </format>
    <format dxfId="27">
      <pivotArea dataOnly="0" labelOnly="1" fieldPosition="0">
        <references count="2">
          <reference field="0" count="1" selected="0">
            <x v="278"/>
          </reference>
          <reference field="1" count="1">
            <x v="18"/>
          </reference>
        </references>
      </pivotArea>
    </format>
    <format dxfId="26">
      <pivotArea dataOnly="0" labelOnly="1" fieldPosition="0">
        <references count="2">
          <reference field="0" count="1" selected="0">
            <x v="287"/>
          </reference>
          <reference field="1" count="1">
            <x v="93"/>
          </reference>
        </references>
      </pivotArea>
    </format>
    <format dxfId="25">
      <pivotArea type="all" dataOnly="0" outline="0" fieldPosition="0"/>
    </format>
    <format dxfId="24">
      <pivotArea outline="0" collapsedLevelsAreSubtotals="1" fieldPosition="0"/>
    </format>
    <format dxfId="23">
      <pivotArea field="0" type="button" dataOnly="0" labelOnly="1" outline="0" axis="axisRow" fieldPosition="0"/>
    </format>
    <format dxfId="22">
      <pivotArea dataOnly="0" labelOnly="1" fieldPosition="0">
        <references count="1">
          <reference field="0" count="10">
            <x v="29"/>
            <x v="80"/>
            <x v="107"/>
            <x v="114"/>
            <x v="125"/>
            <x v="147"/>
            <x v="192"/>
            <x v="204"/>
            <x v="278"/>
            <x v="287"/>
          </reference>
        </references>
      </pivotArea>
    </format>
    <format dxfId="21">
      <pivotArea dataOnly="0" labelOnly="1" grandRow="1" outline="0" fieldPosition="0"/>
    </format>
    <format dxfId="20">
      <pivotArea dataOnly="0" labelOnly="1" fieldPosition="0">
        <references count="2">
          <reference field="0" count="1" selected="0">
            <x v="29"/>
          </reference>
          <reference field="1" count="1">
            <x v="259"/>
          </reference>
        </references>
      </pivotArea>
    </format>
    <format dxfId="19">
      <pivotArea dataOnly="0" labelOnly="1" fieldPosition="0">
        <references count="2">
          <reference field="0" count="1" selected="0">
            <x v="80"/>
          </reference>
          <reference field="1" count="1">
            <x v="208"/>
          </reference>
        </references>
      </pivotArea>
    </format>
    <format dxfId="18">
      <pivotArea dataOnly="0" labelOnly="1" fieldPosition="0">
        <references count="2">
          <reference field="0" count="1" selected="0">
            <x v="107"/>
          </reference>
          <reference field="1" count="1">
            <x v="183"/>
          </reference>
        </references>
      </pivotArea>
    </format>
    <format dxfId="17">
      <pivotArea dataOnly="0" labelOnly="1" fieldPosition="0">
        <references count="2">
          <reference field="0" count="1" selected="0">
            <x v="114"/>
          </reference>
          <reference field="1" count="1">
            <x v="177"/>
          </reference>
        </references>
      </pivotArea>
    </format>
    <format dxfId="16">
      <pivotArea dataOnly="0" labelOnly="1" fieldPosition="0">
        <references count="2">
          <reference field="0" count="1" selected="0">
            <x v="125"/>
          </reference>
          <reference field="1" count="1">
            <x v="169"/>
          </reference>
        </references>
      </pivotArea>
    </format>
    <format dxfId="15">
      <pivotArea dataOnly="0" labelOnly="1" fieldPosition="0">
        <references count="2">
          <reference field="0" count="1" selected="0">
            <x v="147"/>
          </reference>
          <reference field="1" count="1">
            <x v="150"/>
          </reference>
        </references>
      </pivotArea>
    </format>
    <format dxfId="14">
      <pivotArea dataOnly="0" labelOnly="1" fieldPosition="0">
        <references count="2">
          <reference field="0" count="1" selected="0">
            <x v="192"/>
          </reference>
          <reference field="1" count="1">
            <x v="2"/>
          </reference>
        </references>
      </pivotArea>
    </format>
    <format dxfId="13">
      <pivotArea dataOnly="0" labelOnly="1" fieldPosition="0">
        <references count="2">
          <reference field="0" count="1" selected="0">
            <x v="204"/>
          </reference>
          <reference field="1" count="1">
            <x v="109"/>
          </reference>
        </references>
      </pivotArea>
    </format>
    <format dxfId="12">
      <pivotArea dataOnly="0" labelOnly="1" fieldPosition="0">
        <references count="2">
          <reference field="0" count="1" selected="0">
            <x v="278"/>
          </reference>
          <reference field="1" count="1">
            <x v="18"/>
          </reference>
        </references>
      </pivotArea>
    </format>
    <format dxfId="11">
      <pivotArea dataOnly="0" labelOnly="1" fieldPosition="0">
        <references count="2">
          <reference field="0" count="1" selected="0">
            <x v="287"/>
          </reference>
          <reference field="1" count="1">
            <x v="93"/>
          </reference>
        </references>
      </pivotArea>
    </format>
    <format dxfId="10">
      <pivotArea dataOnly="0" labelOnly="1" outline="0" fieldPosition="0"/>
    </format>
  </formats>
  <pivotTableStyleInfo name="PivotStyleLight16"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2" applyNumberFormats="0" applyBorderFormats="0" applyFontFormats="0" applyPatternFormats="0" applyAlignmentFormats="0" applyWidthHeightFormats="1" dataCaption="Values" updatedVersion="8" minRefreshableVersion="3" useAutoFormatting="1" createdVersion="8" indent="0" outline="1" outlineData="1" multipleFieldFilters="0">
  <location ref="A3:C304" firstHeaderRow="0" firstDataRow="1" firstDataCol="1"/>
  <pivotFields count="15">
    <pivotField axis="axisRow" showAll="0">
      <items count="532">
        <item m="1" x="503"/>
        <item m="1" x="374"/>
        <item x="211"/>
        <item x="24"/>
        <item m="1" x="392"/>
        <item m="1" x="433"/>
        <item x="225"/>
        <item m="1" x="467"/>
        <item m="1" x="445"/>
        <item m="1" x="316"/>
        <item m="1" x="423"/>
        <item m="1" x="523"/>
        <item m="1" x="438"/>
        <item x="87"/>
        <item m="1" x="404"/>
        <item m="1" x="318"/>
        <item m="1" x="436"/>
        <item m="1" x="366"/>
        <item m="1" x="482"/>
        <item m="1" x="402"/>
        <item m="1" x="440"/>
        <item m="1" x="337"/>
        <item m="1" x="377"/>
        <item m="1" x="406"/>
        <item m="1" x="465"/>
        <item m="1" x="314"/>
        <item x="152"/>
        <item m="1" x="349"/>
        <item x="40"/>
        <item m="1" x="461"/>
        <item m="1" x="312"/>
        <item x="247"/>
        <item m="1" x="478"/>
        <item x="1"/>
        <item m="1" x="386"/>
        <item m="1" x="303"/>
        <item m="1" x="326"/>
        <item m="1" x="425"/>
        <item x="21"/>
        <item m="1" x="367"/>
        <item m="1" x="364"/>
        <item x="93"/>
        <item m="1" x="527"/>
        <item m="1" x="514"/>
        <item x="4"/>
        <item m="1" x="393"/>
        <item x="22"/>
        <item m="1" x="452"/>
        <item m="1" x="475"/>
        <item m="1" x="330"/>
        <item m="1" x="422"/>
        <item x="188"/>
        <item x="37"/>
        <item m="1" x="300"/>
        <item m="1" x="437"/>
        <item m="1" x="518"/>
        <item m="1" x="334"/>
        <item m="1" x="446"/>
        <item m="1" x="494"/>
        <item m="1" x="353"/>
        <item m="1" x="394"/>
        <item m="1" x="479"/>
        <item x="0"/>
        <item x="27"/>
        <item m="1" x="331"/>
        <item m="1" x="502"/>
        <item m="1" x="412"/>
        <item m="1" x="395"/>
        <item x="31"/>
        <item m="1" x="306"/>
        <item m="1" x="519"/>
        <item m="1" x="521"/>
        <item m="1" x="495"/>
        <item m="1" x="444"/>
        <item x="10"/>
        <item x="137"/>
        <item m="1" x="480"/>
        <item m="1" x="462"/>
        <item m="1" x="401"/>
        <item m="1" x="308"/>
        <item m="1" x="345"/>
        <item m="1" x="459"/>
        <item x="170"/>
        <item x="172"/>
        <item x="2"/>
        <item m="1" x="332"/>
        <item x="36"/>
        <item m="1" x="400"/>
        <item m="1" x="413"/>
        <item x="133"/>
        <item m="1" x="463"/>
        <item m="1" x="453"/>
        <item m="1" x="365"/>
        <item m="1" x="322"/>
        <item m="1" x="447"/>
        <item m="1" x="489"/>
        <item m="1" x="435"/>
        <item m="1" x="376"/>
        <item x="265"/>
        <item m="1" x="500"/>
        <item m="1" x="329"/>
        <item m="1" x="448"/>
        <item x="39"/>
        <item x="91"/>
        <item m="1" x="457"/>
        <item m="1" x="526"/>
        <item m="1" x="414"/>
        <item m="1" x="508"/>
        <item m="1" x="410"/>
        <item m="1" x="509"/>
        <item m="1" x="389"/>
        <item m="1" x="486"/>
        <item m="1" x="341"/>
        <item m="1" x="524"/>
        <item m="1" x="504"/>
        <item x="262"/>
        <item x="197"/>
        <item x="33"/>
        <item m="1" x="474"/>
        <item m="1" x="372"/>
        <item m="1" x="510"/>
        <item m="1" x="416"/>
        <item x="9"/>
        <item m="1" x="350"/>
        <item x="26"/>
        <item m="1" x="346"/>
        <item m="1" x="451"/>
        <item x="125"/>
        <item m="1" x="396"/>
        <item m="1" x="354"/>
        <item m="1" x="327"/>
        <item m="1" x="382"/>
        <item m="1" x="408"/>
        <item m="1" x="307"/>
        <item m="1" x="311"/>
        <item m="1" x="473"/>
        <item x="110"/>
        <item x="20"/>
        <item x="38"/>
        <item m="1" x="302"/>
        <item m="1" x="397"/>
        <item m="1" x="477"/>
        <item m="1" x="315"/>
        <item m="1" x="415"/>
        <item m="1" x="513"/>
        <item m="1" x="301"/>
        <item m="1" x="471"/>
        <item x="191"/>
        <item m="1" x="517"/>
        <item m="1" x="430"/>
        <item m="1" x="429"/>
        <item x="64"/>
        <item m="1" x="497"/>
        <item m="1" x="421"/>
        <item m="1" x="339"/>
        <item m="1" x="347"/>
        <item m="1" x="419"/>
        <item m="1" x="443"/>
        <item m="1" x="370"/>
        <item m="1" x="493"/>
        <item m="1" x="456"/>
        <item m="1" x="390"/>
        <item m="1" x="454"/>
        <item m="1" x="379"/>
        <item m="1" x="355"/>
        <item m="1" x="485"/>
        <item m="1" x="352"/>
        <item m="1" x="328"/>
        <item m="1" x="432"/>
        <item m="1" x="305"/>
        <item x="14"/>
        <item m="1" x="399"/>
        <item m="1" x="405"/>
        <item m="1" x="320"/>
        <item m="1" x="530"/>
        <item x="161"/>
        <item m="1" x="431"/>
        <item m="1" x="391"/>
        <item m="1" x="515"/>
        <item m="1" x="398"/>
        <item m="1" x="338"/>
        <item x="228"/>
        <item m="1" x="466"/>
        <item m="1" x="516"/>
        <item m="1" x="323"/>
        <item x="214"/>
        <item m="1" x="383"/>
        <item x="32"/>
        <item m="1" x="363"/>
        <item m="1" x="358"/>
        <item m="1" x="525"/>
        <item m="1" x="319"/>
        <item m="1" x="385"/>
        <item m="1" x="333"/>
        <item m="1" x="336"/>
        <item m="1" x="324"/>
        <item x="218"/>
        <item x="17"/>
        <item x="122"/>
        <item m="1" x="498"/>
        <item m="1" x="310"/>
        <item x="204"/>
        <item m="1" x="505"/>
        <item m="1" x="506"/>
        <item x="242"/>
        <item m="1" x="449"/>
        <item x="151"/>
        <item m="1" x="468"/>
        <item m="1" x="417"/>
        <item m="1" x="512"/>
        <item m="1" x="378"/>
        <item x="30"/>
        <item m="1" x="488"/>
        <item m="1" x="309"/>
        <item m="1" x="491"/>
        <item m="1" x="441"/>
        <item x="281"/>
        <item m="1" x="484"/>
        <item m="1" x="487"/>
        <item m="1" x="371"/>
        <item m="1" x="520"/>
        <item m="1" x="361"/>
        <item m="1" x="325"/>
        <item m="1" x="439"/>
        <item m="1" x="434"/>
        <item m="1" x="356"/>
        <item m="1" x="360"/>
        <item m="1" x="507"/>
        <item m="1" x="384"/>
        <item m="1" x="427"/>
        <item x="282"/>
        <item m="1" x="348"/>
        <item m="1" x="529"/>
        <item m="1" x="472"/>
        <item m="1" x="501"/>
        <item m="1" x="344"/>
        <item m="1" x="522"/>
        <item x="127"/>
        <item x="7"/>
        <item x="43"/>
        <item m="1" x="351"/>
        <item m="1" x="407"/>
        <item m="1" x="528"/>
        <item m="1" x="409"/>
        <item m="1" x="304"/>
        <item x="107"/>
        <item m="1" x="357"/>
        <item m="1" x="380"/>
        <item m="1" x="469"/>
        <item m="1" x="450"/>
        <item m="1" x="420"/>
        <item m="1" x="373"/>
        <item m="1" x="460"/>
        <item m="1" x="335"/>
        <item m="1" x="492"/>
        <item m="1" x="388"/>
        <item x="3"/>
        <item x="29"/>
        <item m="1" x="499"/>
        <item m="1" x="321"/>
        <item x="73"/>
        <item m="1" x="362"/>
        <item m="1" x="496"/>
        <item m="1" x="481"/>
        <item m="1" x="403"/>
        <item m="1" x="418"/>
        <item m="1" x="424"/>
        <item x="8"/>
        <item m="1" x="464"/>
        <item m="1" x="317"/>
        <item m="1" x="511"/>
        <item x="44"/>
        <item x="13"/>
        <item x="42"/>
        <item m="1" x="381"/>
        <item x="6"/>
        <item x="35"/>
        <item m="1" x="340"/>
        <item x="41"/>
        <item m="1" x="426"/>
        <item m="1" x="458"/>
        <item m="1" x="368"/>
        <item m="1" x="411"/>
        <item m="1" x="476"/>
        <item m="1" x="428"/>
        <item x="201"/>
        <item m="1" x="455"/>
        <item m="1" x="369"/>
        <item m="1" x="490"/>
        <item m="1" x="359"/>
        <item m="1" x="342"/>
        <item m="1" x="343"/>
        <item m="1" x="442"/>
        <item m="1" x="470"/>
        <item x="5"/>
        <item m="1" x="387"/>
        <item m="1" x="483"/>
        <item m="1" x="375"/>
        <item x="11"/>
        <item m="1" x="313"/>
        <item x="12"/>
        <item x="15"/>
        <item x="16"/>
        <item x="18"/>
        <item x="19"/>
        <item x="23"/>
        <item x="25"/>
        <item x="28"/>
        <item x="34"/>
        <item x="45"/>
        <item x="46"/>
        <item x="47"/>
        <item x="48"/>
        <item x="49"/>
        <item x="50"/>
        <item x="51"/>
        <item x="52"/>
        <item x="53"/>
        <item x="54"/>
        <item x="55"/>
        <item x="56"/>
        <item x="57"/>
        <item x="58"/>
        <item x="59"/>
        <item x="60"/>
        <item x="61"/>
        <item x="62"/>
        <item x="63"/>
        <item x="65"/>
        <item x="66"/>
        <item x="67"/>
        <item x="68"/>
        <item x="69"/>
        <item x="70"/>
        <item x="71"/>
        <item x="72"/>
        <item x="74"/>
        <item x="75"/>
        <item x="76"/>
        <item x="77"/>
        <item x="78"/>
        <item x="79"/>
        <item x="80"/>
        <item x="81"/>
        <item x="82"/>
        <item x="83"/>
        <item x="84"/>
        <item x="85"/>
        <item x="86"/>
        <item x="88"/>
        <item x="89"/>
        <item x="90"/>
        <item x="92"/>
        <item x="94"/>
        <item x="95"/>
        <item x="96"/>
        <item x="97"/>
        <item x="98"/>
        <item x="99"/>
        <item x="100"/>
        <item x="101"/>
        <item x="102"/>
        <item x="103"/>
        <item x="104"/>
        <item x="105"/>
        <item x="106"/>
        <item x="108"/>
        <item x="109"/>
        <item x="111"/>
        <item x="112"/>
        <item x="113"/>
        <item x="114"/>
        <item x="115"/>
        <item x="116"/>
        <item x="117"/>
        <item x="118"/>
        <item x="119"/>
        <item x="120"/>
        <item x="121"/>
        <item x="123"/>
        <item x="124"/>
        <item x="126"/>
        <item x="128"/>
        <item x="129"/>
        <item x="130"/>
        <item x="131"/>
        <item x="132"/>
        <item x="134"/>
        <item x="135"/>
        <item x="136"/>
        <item x="138"/>
        <item x="139"/>
        <item x="140"/>
        <item x="141"/>
        <item x="142"/>
        <item x="143"/>
        <item x="144"/>
        <item x="145"/>
        <item x="146"/>
        <item x="147"/>
        <item x="148"/>
        <item x="149"/>
        <item x="150"/>
        <item x="153"/>
        <item x="154"/>
        <item x="155"/>
        <item x="156"/>
        <item x="157"/>
        <item x="158"/>
        <item x="159"/>
        <item x="160"/>
        <item x="162"/>
        <item x="163"/>
        <item x="164"/>
        <item x="165"/>
        <item x="166"/>
        <item x="167"/>
        <item x="168"/>
        <item x="169"/>
        <item x="171"/>
        <item x="173"/>
        <item x="174"/>
        <item x="175"/>
        <item x="176"/>
        <item x="177"/>
        <item x="178"/>
        <item x="179"/>
        <item x="180"/>
        <item x="181"/>
        <item x="182"/>
        <item x="183"/>
        <item x="184"/>
        <item x="185"/>
        <item x="186"/>
        <item x="187"/>
        <item x="189"/>
        <item x="190"/>
        <item x="192"/>
        <item x="193"/>
        <item x="194"/>
        <item x="195"/>
        <item x="196"/>
        <item x="198"/>
        <item x="199"/>
        <item x="200"/>
        <item x="202"/>
        <item x="203"/>
        <item x="205"/>
        <item x="206"/>
        <item x="207"/>
        <item x="208"/>
        <item x="209"/>
        <item x="210"/>
        <item x="212"/>
        <item x="213"/>
        <item x="215"/>
        <item x="216"/>
        <item x="217"/>
        <item x="219"/>
        <item x="220"/>
        <item x="221"/>
        <item x="222"/>
        <item x="223"/>
        <item x="224"/>
        <item x="226"/>
        <item x="227"/>
        <item x="229"/>
        <item x="230"/>
        <item x="231"/>
        <item x="232"/>
        <item x="233"/>
        <item x="234"/>
        <item x="235"/>
        <item x="236"/>
        <item x="237"/>
        <item x="238"/>
        <item x="239"/>
        <item x="240"/>
        <item x="241"/>
        <item x="243"/>
        <item x="244"/>
        <item x="245"/>
        <item x="246"/>
        <item x="248"/>
        <item x="249"/>
        <item x="250"/>
        <item x="251"/>
        <item x="252"/>
        <item x="253"/>
        <item x="254"/>
        <item x="255"/>
        <item x="256"/>
        <item x="257"/>
        <item x="258"/>
        <item x="259"/>
        <item x="260"/>
        <item x="261"/>
        <item x="263"/>
        <item x="264"/>
        <item x="266"/>
        <item x="267"/>
        <item x="268"/>
        <item x="269"/>
        <item x="270"/>
        <item x="271"/>
        <item x="272"/>
        <item x="273"/>
        <item x="274"/>
        <item x="275"/>
        <item x="276"/>
        <item x="277"/>
        <item x="278"/>
        <item x="279"/>
        <item x="280"/>
        <item x="283"/>
        <item x="284"/>
        <item x="285"/>
        <item x="286"/>
        <item x="287"/>
        <item x="288"/>
        <item x="289"/>
        <item x="290"/>
        <item x="291"/>
        <item x="292"/>
        <item x="293"/>
        <item x="294"/>
        <item x="295"/>
        <item x="296"/>
        <item x="297"/>
        <item x="298"/>
        <item x="299"/>
        <item t="default"/>
      </items>
    </pivotField>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301">
    <i>
      <x v="2"/>
    </i>
    <i>
      <x v="3"/>
    </i>
    <i>
      <x v="6"/>
    </i>
    <i>
      <x v="13"/>
    </i>
    <i>
      <x v="26"/>
    </i>
    <i>
      <x v="28"/>
    </i>
    <i>
      <x v="31"/>
    </i>
    <i>
      <x v="33"/>
    </i>
    <i>
      <x v="38"/>
    </i>
    <i>
      <x v="41"/>
    </i>
    <i>
      <x v="44"/>
    </i>
    <i>
      <x v="46"/>
    </i>
    <i>
      <x v="51"/>
    </i>
    <i>
      <x v="52"/>
    </i>
    <i>
      <x v="62"/>
    </i>
    <i>
      <x v="63"/>
    </i>
    <i>
      <x v="68"/>
    </i>
    <i>
      <x v="74"/>
    </i>
    <i>
      <x v="75"/>
    </i>
    <i>
      <x v="82"/>
    </i>
    <i>
      <x v="83"/>
    </i>
    <i>
      <x v="84"/>
    </i>
    <i>
      <x v="86"/>
    </i>
    <i>
      <x v="89"/>
    </i>
    <i>
      <x v="98"/>
    </i>
    <i>
      <x v="102"/>
    </i>
    <i>
      <x v="103"/>
    </i>
    <i>
      <x v="115"/>
    </i>
    <i>
      <x v="116"/>
    </i>
    <i>
      <x v="117"/>
    </i>
    <i>
      <x v="122"/>
    </i>
    <i>
      <x v="124"/>
    </i>
    <i>
      <x v="127"/>
    </i>
    <i>
      <x v="136"/>
    </i>
    <i>
      <x v="137"/>
    </i>
    <i>
      <x v="138"/>
    </i>
    <i>
      <x v="147"/>
    </i>
    <i>
      <x v="151"/>
    </i>
    <i>
      <x v="170"/>
    </i>
    <i>
      <x v="175"/>
    </i>
    <i>
      <x v="181"/>
    </i>
    <i>
      <x v="185"/>
    </i>
    <i>
      <x v="187"/>
    </i>
    <i>
      <x v="196"/>
    </i>
    <i>
      <x v="197"/>
    </i>
    <i>
      <x v="198"/>
    </i>
    <i>
      <x v="201"/>
    </i>
    <i>
      <x v="204"/>
    </i>
    <i>
      <x v="206"/>
    </i>
    <i>
      <x v="211"/>
    </i>
    <i>
      <x v="216"/>
    </i>
    <i>
      <x v="230"/>
    </i>
    <i>
      <x v="237"/>
    </i>
    <i>
      <x v="238"/>
    </i>
    <i>
      <x v="239"/>
    </i>
    <i>
      <x v="245"/>
    </i>
    <i>
      <x v="256"/>
    </i>
    <i>
      <x v="257"/>
    </i>
    <i>
      <x v="260"/>
    </i>
    <i>
      <x v="267"/>
    </i>
    <i>
      <x v="271"/>
    </i>
    <i>
      <x v="272"/>
    </i>
    <i>
      <x v="273"/>
    </i>
    <i>
      <x v="275"/>
    </i>
    <i>
      <x v="276"/>
    </i>
    <i>
      <x v="278"/>
    </i>
    <i>
      <x v="285"/>
    </i>
    <i>
      <x v="294"/>
    </i>
    <i>
      <x v="298"/>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t="grand">
      <x/>
    </i>
  </rowItems>
  <colFields count="1">
    <field x="-2"/>
  </colFields>
  <colItems count="2">
    <i>
      <x/>
    </i>
    <i i="1">
      <x v="1"/>
    </i>
  </colItems>
  <dataFields count="2">
    <dataField name="Sum of Price (USD)" fld="2" baseField="0" baseItem="0"/>
    <dataField name="Sum of 1h Change (%)"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PivotTable3" cacheId="2" applyNumberFormats="0" applyBorderFormats="0" applyFontFormats="0" applyPatternFormats="0" applyAlignmentFormats="0" applyWidthHeightFormats="1" dataCaption="Values" updatedVersion="8" minRefreshableVersion="3" useAutoFormatting="1" createdVersion="8" indent="0" outline="1" outlineData="1" multipleFieldFilters="0" chartFormat="7" rowHeaderCaption="Coin Name">
  <location ref="A37:B48" firstHeaderRow="1" firstDataRow="1" firstDataCol="1"/>
  <pivotFields count="15">
    <pivotField axis="axisRow" showAll="0" measureFilter="1">
      <items count="532">
        <item m="1" x="503"/>
        <item m="1" x="374"/>
        <item x="211"/>
        <item x="24"/>
        <item m="1" x="392"/>
        <item m="1" x="433"/>
        <item x="225"/>
        <item m="1" x="467"/>
        <item m="1" x="445"/>
        <item m="1" x="316"/>
        <item m="1" x="423"/>
        <item m="1" x="523"/>
        <item m="1" x="438"/>
        <item x="87"/>
        <item m="1" x="404"/>
        <item m="1" x="318"/>
        <item m="1" x="436"/>
        <item m="1" x="366"/>
        <item m="1" x="482"/>
        <item m="1" x="402"/>
        <item m="1" x="440"/>
        <item m="1" x="337"/>
        <item m="1" x="377"/>
        <item m="1" x="406"/>
        <item m="1" x="465"/>
        <item m="1" x="314"/>
        <item x="152"/>
        <item m="1" x="349"/>
        <item x="40"/>
        <item m="1" x="461"/>
        <item m="1" x="312"/>
        <item x="247"/>
        <item m="1" x="478"/>
        <item x="1"/>
        <item m="1" x="386"/>
        <item m="1" x="303"/>
        <item m="1" x="326"/>
        <item m="1" x="425"/>
        <item x="21"/>
        <item m="1" x="367"/>
        <item m="1" x="364"/>
        <item x="93"/>
        <item m="1" x="527"/>
        <item m="1" x="514"/>
        <item x="4"/>
        <item m="1" x="393"/>
        <item x="22"/>
        <item m="1" x="452"/>
        <item m="1" x="475"/>
        <item m="1" x="330"/>
        <item m="1" x="422"/>
        <item x="188"/>
        <item x="37"/>
        <item m="1" x="300"/>
        <item m="1" x="437"/>
        <item m="1" x="518"/>
        <item m="1" x="334"/>
        <item m="1" x="446"/>
        <item m="1" x="494"/>
        <item m="1" x="353"/>
        <item m="1" x="394"/>
        <item m="1" x="479"/>
        <item x="0"/>
        <item x="27"/>
        <item m="1" x="331"/>
        <item m="1" x="502"/>
        <item m="1" x="412"/>
        <item m="1" x="395"/>
        <item x="31"/>
        <item m="1" x="306"/>
        <item m="1" x="519"/>
        <item m="1" x="521"/>
        <item m="1" x="495"/>
        <item m="1" x="444"/>
        <item x="10"/>
        <item x="137"/>
        <item m="1" x="480"/>
        <item m="1" x="462"/>
        <item m="1" x="401"/>
        <item m="1" x="308"/>
        <item m="1" x="345"/>
        <item m="1" x="459"/>
        <item x="170"/>
        <item x="172"/>
        <item x="2"/>
        <item m="1" x="332"/>
        <item x="36"/>
        <item m="1" x="400"/>
        <item m="1" x="413"/>
        <item x="133"/>
        <item m="1" x="463"/>
        <item m="1" x="453"/>
        <item m="1" x="365"/>
        <item m="1" x="322"/>
        <item m="1" x="447"/>
        <item m="1" x="489"/>
        <item m="1" x="435"/>
        <item m="1" x="376"/>
        <item x="265"/>
        <item m="1" x="500"/>
        <item m="1" x="329"/>
        <item m="1" x="448"/>
        <item x="39"/>
        <item x="91"/>
        <item m="1" x="457"/>
        <item m="1" x="526"/>
        <item m="1" x="414"/>
        <item m="1" x="508"/>
        <item m="1" x="410"/>
        <item m="1" x="509"/>
        <item m="1" x="389"/>
        <item m="1" x="486"/>
        <item m="1" x="341"/>
        <item m="1" x="524"/>
        <item m="1" x="504"/>
        <item x="262"/>
        <item x="197"/>
        <item x="33"/>
        <item m="1" x="474"/>
        <item m="1" x="372"/>
        <item m="1" x="510"/>
        <item m="1" x="416"/>
        <item x="9"/>
        <item m="1" x="350"/>
        <item x="26"/>
        <item m="1" x="346"/>
        <item m="1" x="451"/>
        <item x="125"/>
        <item m="1" x="396"/>
        <item m="1" x="354"/>
        <item m="1" x="327"/>
        <item m="1" x="382"/>
        <item m="1" x="408"/>
        <item m="1" x="307"/>
        <item m="1" x="311"/>
        <item m="1" x="473"/>
        <item x="110"/>
        <item x="20"/>
        <item x="38"/>
        <item m="1" x="302"/>
        <item m="1" x="397"/>
        <item m="1" x="477"/>
        <item m="1" x="315"/>
        <item m="1" x="415"/>
        <item m="1" x="513"/>
        <item m="1" x="301"/>
        <item m="1" x="471"/>
        <item x="191"/>
        <item m="1" x="517"/>
        <item m="1" x="430"/>
        <item m="1" x="429"/>
        <item x="64"/>
        <item m="1" x="497"/>
        <item m="1" x="421"/>
        <item m="1" x="339"/>
        <item m="1" x="347"/>
        <item m="1" x="419"/>
        <item m="1" x="443"/>
        <item m="1" x="370"/>
        <item m="1" x="493"/>
        <item m="1" x="456"/>
        <item m="1" x="390"/>
        <item m="1" x="454"/>
        <item m="1" x="379"/>
        <item m="1" x="355"/>
        <item m="1" x="485"/>
        <item m="1" x="352"/>
        <item m="1" x="328"/>
        <item m="1" x="432"/>
        <item m="1" x="305"/>
        <item x="14"/>
        <item m="1" x="399"/>
        <item m="1" x="405"/>
        <item m="1" x="320"/>
        <item m="1" x="530"/>
        <item x="161"/>
        <item m="1" x="431"/>
        <item m="1" x="391"/>
        <item m="1" x="515"/>
        <item m="1" x="398"/>
        <item m="1" x="338"/>
        <item x="228"/>
        <item m="1" x="466"/>
        <item m="1" x="516"/>
        <item m="1" x="323"/>
        <item x="214"/>
        <item m="1" x="383"/>
        <item x="32"/>
        <item m="1" x="363"/>
        <item m="1" x="358"/>
        <item m="1" x="525"/>
        <item m="1" x="319"/>
        <item m="1" x="385"/>
        <item m="1" x="333"/>
        <item m="1" x="336"/>
        <item m="1" x="324"/>
        <item x="218"/>
        <item x="17"/>
        <item x="122"/>
        <item m="1" x="498"/>
        <item m="1" x="310"/>
        <item x="204"/>
        <item m="1" x="505"/>
        <item m="1" x="506"/>
        <item x="242"/>
        <item m="1" x="449"/>
        <item x="151"/>
        <item m="1" x="468"/>
        <item m="1" x="417"/>
        <item m="1" x="512"/>
        <item m="1" x="378"/>
        <item x="30"/>
        <item m="1" x="488"/>
        <item m="1" x="309"/>
        <item m="1" x="491"/>
        <item m="1" x="441"/>
        <item x="281"/>
        <item m="1" x="484"/>
        <item m="1" x="487"/>
        <item m="1" x="371"/>
        <item m="1" x="520"/>
        <item m="1" x="361"/>
        <item m="1" x="325"/>
        <item m="1" x="439"/>
        <item m="1" x="434"/>
        <item m="1" x="356"/>
        <item m="1" x="360"/>
        <item m="1" x="507"/>
        <item m="1" x="384"/>
        <item m="1" x="427"/>
        <item x="282"/>
        <item m="1" x="348"/>
        <item m="1" x="529"/>
        <item m="1" x="472"/>
        <item m="1" x="501"/>
        <item m="1" x="344"/>
        <item m="1" x="522"/>
        <item x="127"/>
        <item x="7"/>
        <item x="43"/>
        <item m="1" x="351"/>
        <item m="1" x="407"/>
        <item m="1" x="528"/>
        <item m="1" x="409"/>
        <item m="1" x="304"/>
        <item x="107"/>
        <item m="1" x="357"/>
        <item m="1" x="380"/>
        <item m="1" x="469"/>
        <item m="1" x="450"/>
        <item m="1" x="420"/>
        <item m="1" x="373"/>
        <item m="1" x="460"/>
        <item m="1" x="335"/>
        <item m="1" x="492"/>
        <item m="1" x="388"/>
        <item x="3"/>
        <item x="29"/>
        <item m="1" x="499"/>
        <item m="1" x="321"/>
        <item x="73"/>
        <item m="1" x="362"/>
        <item m="1" x="496"/>
        <item m="1" x="481"/>
        <item m="1" x="403"/>
        <item m="1" x="418"/>
        <item m="1" x="424"/>
        <item x="8"/>
        <item m="1" x="464"/>
        <item m="1" x="317"/>
        <item m="1" x="511"/>
        <item x="44"/>
        <item x="13"/>
        <item x="42"/>
        <item m="1" x="381"/>
        <item x="6"/>
        <item x="35"/>
        <item m="1" x="340"/>
        <item x="41"/>
        <item m="1" x="426"/>
        <item m="1" x="458"/>
        <item m="1" x="368"/>
        <item m="1" x="411"/>
        <item m="1" x="476"/>
        <item m="1" x="428"/>
        <item x="201"/>
        <item m="1" x="455"/>
        <item m="1" x="369"/>
        <item m="1" x="490"/>
        <item m="1" x="359"/>
        <item m="1" x="342"/>
        <item m="1" x="343"/>
        <item m="1" x="442"/>
        <item m="1" x="470"/>
        <item x="5"/>
        <item m="1" x="387"/>
        <item m="1" x="483"/>
        <item m="1" x="375"/>
        <item x="11"/>
        <item m="1" x="313"/>
        <item x="12"/>
        <item x="15"/>
        <item x="16"/>
        <item x="18"/>
        <item x="19"/>
        <item x="23"/>
        <item x="25"/>
        <item x="28"/>
        <item x="34"/>
        <item x="45"/>
        <item x="46"/>
        <item x="47"/>
        <item x="48"/>
        <item x="49"/>
        <item x="50"/>
        <item x="51"/>
        <item x="52"/>
        <item x="53"/>
        <item x="54"/>
        <item x="55"/>
        <item x="56"/>
        <item x="57"/>
        <item x="58"/>
        <item x="59"/>
        <item x="60"/>
        <item x="61"/>
        <item x="62"/>
        <item x="63"/>
        <item x="65"/>
        <item x="66"/>
        <item x="67"/>
        <item x="68"/>
        <item x="69"/>
        <item x="70"/>
        <item x="71"/>
        <item x="72"/>
        <item x="74"/>
        <item x="75"/>
        <item x="76"/>
        <item x="77"/>
        <item x="78"/>
        <item x="79"/>
        <item x="80"/>
        <item x="81"/>
        <item x="82"/>
        <item x="83"/>
        <item x="84"/>
        <item x="85"/>
        <item x="86"/>
        <item x="88"/>
        <item x="89"/>
        <item x="90"/>
        <item x="92"/>
        <item x="94"/>
        <item x="95"/>
        <item x="96"/>
        <item x="97"/>
        <item x="98"/>
        <item x="99"/>
        <item x="100"/>
        <item x="101"/>
        <item x="102"/>
        <item x="103"/>
        <item x="104"/>
        <item x="105"/>
        <item x="106"/>
        <item x="108"/>
        <item x="109"/>
        <item x="111"/>
        <item x="112"/>
        <item x="113"/>
        <item x="114"/>
        <item x="115"/>
        <item x="116"/>
        <item x="117"/>
        <item x="118"/>
        <item x="119"/>
        <item x="120"/>
        <item x="121"/>
        <item x="123"/>
        <item x="124"/>
        <item x="126"/>
        <item x="128"/>
        <item x="129"/>
        <item x="130"/>
        <item x="131"/>
        <item x="132"/>
        <item x="134"/>
        <item x="135"/>
        <item x="136"/>
        <item x="138"/>
        <item x="139"/>
        <item x="140"/>
        <item x="141"/>
        <item x="142"/>
        <item x="143"/>
        <item x="144"/>
        <item x="145"/>
        <item x="146"/>
        <item x="147"/>
        <item x="148"/>
        <item x="149"/>
        <item x="150"/>
        <item x="153"/>
        <item x="154"/>
        <item x="155"/>
        <item x="156"/>
        <item x="157"/>
        <item x="158"/>
        <item x="159"/>
        <item x="160"/>
        <item x="162"/>
        <item x="163"/>
        <item x="164"/>
        <item x="165"/>
        <item x="166"/>
        <item x="167"/>
        <item x="168"/>
        <item x="169"/>
        <item x="171"/>
        <item x="173"/>
        <item x="174"/>
        <item x="175"/>
        <item x="176"/>
        <item x="177"/>
        <item x="178"/>
        <item x="179"/>
        <item x="180"/>
        <item x="181"/>
        <item x="182"/>
        <item x="183"/>
        <item x="184"/>
        <item x="185"/>
        <item x="186"/>
        <item x="187"/>
        <item x="189"/>
        <item x="190"/>
        <item x="192"/>
        <item x="193"/>
        <item x="194"/>
        <item x="195"/>
        <item x="196"/>
        <item x="198"/>
        <item x="199"/>
        <item x="200"/>
        <item x="202"/>
        <item x="203"/>
        <item x="205"/>
        <item x="206"/>
        <item x="207"/>
        <item x="208"/>
        <item x="209"/>
        <item x="210"/>
        <item x="212"/>
        <item x="213"/>
        <item x="215"/>
        <item x="216"/>
        <item x="217"/>
        <item x="219"/>
        <item x="220"/>
        <item x="221"/>
        <item x="222"/>
        <item x="223"/>
        <item x="224"/>
        <item x="226"/>
        <item x="227"/>
        <item x="229"/>
        <item x="230"/>
        <item x="231"/>
        <item x="232"/>
        <item x="233"/>
        <item x="234"/>
        <item x="235"/>
        <item x="236"/>
        <item x="237"/>
        <item x="238"/>
        <item x="239"/>
        <item x="240"/>
        <item x="241"/>
        <item x="243"/>
        <item x="244"/>
        <item x="245"/>
        <item x="246"/>
        <item x="248"/>
        <item x="249"/>
        <item x="250"/>
        <item x="251"/>
        <item x="252"/>
        <item x="253"/>
        <item x="254"/>
        <item x="255"/>
        <item x="256"/>
        <item x="257"/>
        <item x="258"/>
        <item x="259"/>
        <item x="260"/>
        <item x="261"/>
        <item x="263"/>
        <item x="264"/>
        <item x="266"/>
        <item x="267"/>
        <item x="268"/>
        <item x="269"/>
        <item x="270"/>
        <item x="271"/>
        <item x="272"/>
        <item x="273"/>
        <item x="274"/>
        <item x="275"/>
        <item x="276"/>
        <item x="277"/>
        <item x="278"/>
        <item x="279"/>
        <item x="280"/>
        <item x="283"/>
        <item x="284"/>
        <item x="285"/>
        <item x="286"/>
        <item x="287"/>
        <item x="288"/>
        <item x="289"/>
        <item x="290"/>
        <item x="291"/>
        <item x="292"/>
        <item x="293"/>
        <item x="294"/>
        <item x="295"/>
        <item x="296"/>
        <item x="297"/>
        <item x="298"/>
        <item x="299"/>
        <item t="default"/>
      </items>
    </pivotField>
    <pivotField showAll="0"/>
    <pivotField showAll="0">
      <items count="540">
        <item m="1" x="368"/>
        <item m="1" x="364"/>
        <item x="219"/>
        <item x="118"/>
        <item x="292"/>
        <item x="164"/>
        <item m="1" x="396"/>
        <item x="243"/>
        <item x="45"/>
        <item x="179"/>
        <item x="254"/>
        <item m="1" x="499"/>
        <item x="160"/>
        <item x="191"/>
        <item x="289"/>
        <item m="1" x="395"/>
        <item x="72"/>
        <item x="140"/>
        <item x="86"/>
        <item m="1" x="369"/>
        <item x="275"/>
        <item x="212"/>
        <item x="200"/>
        <item m="1" x="334"/>
        <item x="195"/>
        <item x="130"/>
        <item m="1" x="497"/>
        <item x="267"/>
        <item x="211"/>
        <item x="169"/>
        <item m="1" x="344"/>
        <item x="213"/>
        <item x="290"/>
        <item x="210"/>
        <item m="1" x="394"/>
        <item x="253"/>
        <item x="85"/>
        <item m="1" x="527"/>
        <item x="294"/>
        <item x="282"/>
        <item x="181"/>
        <item m="1" x="523"/>
        <item m="1" x="474"/>
        <item x="273"/>
        <item x="271"/>
        <item x="172"/>
        <item m="1" x="516"/>
        <item m="1" x="461"/>
        <item x="260"/>
        <item x="259"/>
        <item x="255"/>
        <item x="264"/>
        <item m="1" x="386"/>
        <item m="1" x="479"/>
        <item x="246"/>
        <item x="281"/>
        <item x="239"/>
        <item m="1" x="488"/>
        <item x="262"/>
        <item m="1" x="528"/>
        <item m="1" x="382"/>
        <item x="223"/>
        <item x="231"/>
        <item x="151"/>
        <item x="235"/>
        <item m="1" x="518"/>
        <item x="232"/>
        <item x="244"/>
        <item x="65"/>
        <item x="237"/>
        <item x="228"/>
        <item x="126"/>
        <item x="233"/>
        <item m="1" x="503"/>
        <item x="220"/>
        <item m="1" x="402"/>
        <item x="145"/>
        <item m="1" x="470"/>
        <item m="1" x="354"/>
        <item x="136"/>
        <item m="1" x="335"/>
        <item x="71"/>
        <item m="1" x="357"/>
        <item x="59"/>
        <item x="198"/>
        <item x="194"/>
        <item m="1" x="478"/>
        <item x="225"/>
        <item m="1" x="322"/>
        <item m="1" x="445"/>
        <item m="1" x="514"/>
        <item m="1" x="349"/>
        <item x="241"/>
        <item x="131"/>
        <item m="1" x="463"/>
        <item m="1" x="422"/>
        <item x="78"/>
        <item x="176"/>
        <item m="1" x="475"/>
        <item x="279"/>
        <item m="1" x="389"/>
        <item m="1" x="533"/>
        <item x="84"/>
        <item x="127"/>
        <item x="249"/>
        <item x="175"/>
        <item x="174"/>
        <item x="206"/>
        <item m="1" x="379"/>
        <item x="121"/>
        <item x="268"/>
        <item m="1" x="496"/>
        <item m="1" x="538"/>
        <item x="76"/>
        <item m="1" x="410"/>
        <item x="109"/>
        <item m="1" x="456"/>
        <item x="162"/>
        <item m="1" x="348"/>
        <item x="113"/>
        <item m="1" x="436"/>
        <item x="87"/>
        <item m="1" x="484"/>
        <item x="185"/>
        <item m="1" x="431"/>
        <item x="63"/>
        <item x="173"/>
        <item m="1" x="495"/>
        <item m="1" x="400"/>
        <item m="1" x="391"/>
        <item m="1" x="505"/>
        <item m="1" x="393"/>
        <item x="82"/>
        <item x="147"/>
        <item m="1" x="459"/>
        <item x="234"/>
        <item x="221"/>
        <item m="1" x="430"/>
        <item m="1" x="511"/>
        <item m="1" x="450"/>
        <item m="1" x="444"/>
        <item x="230"/>
        <item m="1" x="471"/>
        <item x="47"/>
        <item x="215"/>
        <item x="166"/>
        <item x="177"/>
        <item x="187"/>
        <item x="143"/>
        <item x="205"/>
        <item m="1" x="376"/>
        <item x="193"/>
        <item x="98"/>
        <item x="202"/>
        <item x="83"/>
        <item m="1" x="416"/>
        <item x="91"/>
        <item m="1" x="408"/>
        <item x="224"/>
        <item m="1" x="462"/>
        <item x="115"/>
        <item x="138"/>
        <item m="1" x="324"/>
        <item m="1" x="415"/>
        <item x="208"/>
        <item m="1" x="507"/>
        <item m="1" x="483"/>
        <item x="199"/>
        <item x="183"/>
        <item x="81"/>
        <item m="1" x="420"/>
        <item x="144"/>
        <item m="1" x="537"/>
        <item x="135"/>
        <item x="122"/>
        <item x="30"/>
        <item x="64"/>
        <item m="1" x="440"/>
        <item m="1" x="355"/>
        <item m="1" x="425"/>
        <item m="1" x="520"/>
        <item m="1" x="500"/>
        <item m="1" x="472"/>
        <item m="1" x="405"/>
        <item x="163"/>
        <item m="1" x="397"/>
        <item x="106"/>
        <item m="1" x="435"/>
        <item m="1" x="531"/>
        <item x="217"/>
        <item m="1" x="423"/>
        <item m="1" x="517"/>
        <item m="1" x="317"/>
        <item m="1" x="427"/>
        <item x="285"/>
        <item x="132"/>
        <item m="1" x="481"/>
        <item x="56"/>
        <item m="1" x="485"/>
        <item m="1" x="392"/>
        <item x="171"/>
        <item x="251"/>
        <item m="1" x="513"/>
        <item m="1" x="338"/>
        <item x="133"/>
        <item x="49"/>
        <item x="103"/>
        <item x="277"/>
        <item x="116"/>
        <item m="1" x="365"/>
        <item m="1" x="441"/>
        <item m="1" x="480"/>
        <item x="190"/>
        <item m="1" x="464"/>
        <item x="114"/>
        <item x="139"/>
        <item m="1" x="429"/>
        <item x="276"/>
        <item m="1" x="457"/>
        <item m="1" x="448"/>
        <item m="1" x="363"/>
        <item x="74"/>
        <item m="1" x="519"/>
        <item m="1" x="453"/>
        <item m="1" x="398"/>
        <item x="188"/>
        <item m="1" x="384"/>
        <item m="1" x="532"/>
        <item m="1" x="351"/>
        <item x="201"/>
        <item m="1" x="339"/>
        <item m="1" x="487"/>
        <item x="124"/>
        <item m="1" x="390"/>
        <item x="274"/>
        <item m="1" x="320"/>
        <item m="1" x="535"/>
        <item x="256"/>
        <item x="117"/>
        <item x="27"/>
        <item m="1" x="352"/>
        <item x="88"/>
        <item x="291"/>
        <item m="1" x="428"/>
        <item m="1" x="501"/>
        <item x="33"/>
        <item m="1" x="326"/>
        <item x="203"/>
        <item m="1" x="526"/>
        <item m="1" x="521"/>
        <item m="1" x="318"/>
        <item x="240"/>
        <item x="22"/>
        <item x="258"/>
        <item x="104"/>
        <item x="119"/>
        <item m="1" x="370"/>
        <item m="1" x="337"/>
        <item m="1" x="372"/>
        <item x="51"/>
        <item x="50"/>
        <item m="1" x="311"/>
        <item m="1" x="310"/>
        <item x="24"/>
        <item m="1" x="361"/>
        <item x="21"/>
        <item m="1" x="417"/>
        <item x="156"/>
        <item x="57"/>
        <item m="1" x="460"/>
        <item x="125"/>
        <item m="1" x="504"/>
        <item m="1" x="401"/>
        <item x="165"/>
        <item x="75"/>
        <item m="1" x="304"/>
        <item m="1" x="529"/>
        <item m="1" x="358"/>
        <item m="1" x="498"/>
        <item x="161"/>
        <item x="141"/>
        <item x="278"/>
        <item x="66"/>
        <item m="1" x="367"/>
        <item x="242"/>
        <item m="1" x="452"/>
        <item m="1" x="465"/>
        <item m="1" x="356"/>
        <item x="134"/>
        <item m="1" x="387"/>
        <item m="1" x="509"/>
        <item m="1" x="522"/>
        <item m="1" x="330"/>
        <item x="40"/>
        <item x="263"/>
        <item m="1" x="378"/>
        <item m="1" x="477"/>
        <item x="146"/>
        <item x="214"/>
        <item x="92"/>
        <item x="43"/>
        <item x="204"/>
        <item x="23"/>
        <item x="152"/>
        <item x="10"/>
        <item m="1" x="340"/>
        <item x="89"/>
        <item m="1" x="515"/>
        <item x="25"/>
        <item x="266"/>
        <item m="1" x="489"/>
        <item m="1" x="442"/>
        <item x="261"/>
        <item m="1" x="323"/>
        <item x="159"/>
        <item m="1" x="371"/>
        <item m="1" x="424"/>
        <item x="158"/>
        <item m="1" x="374"/>
        <item m="1" x="404"/>
        <item x="68"/>
        <item x="148"/>
        <item m="1" x="455"/>
        <item x="137"/>
        <item x="186"/>
        <item x="42"/>
        <item m="1" x="388"/>
        <item x="61"/>
        <item m="1" x="454"/>
        <item x="26"/>
        <item x="142"/>
        <item m="1" x="315"/>
        <item m="1" x="333"/>
        <item x="93"/>
        <item m="1" x="446"/>
        <item m="1" x="308"/>
        <item x="192"/>
        <item x="108"/>
        <item m="1" x="346"/>
        <item x="236"/>
        <item x="128"/>
        <item m="1" x="345"/>
        <item m="1" x="328"/>
        <item m="1" x="321"/>
        <item x="293"/>
        <item m="1" x="409"/>
        <item x="48"/>
        <item x="52"/>
        <item x="37"/>
        <item x="80"/>
        <item x="62"/>
        <item x="90"/>
        <item m="1" x="466"/>
        <item m="1" x="467"/>
        <item x="154"/>
        <item x="29"/>
        <item m="1" x="449"/>
        <item m="1" x="486"/>
        <item m="1" x="375"/>
        <item m="1" x="360"/>
        <item x="100"/>
        <item x="101"/>
        <item m="1" x="443"/>
        <item m="1" x="343"/>
        <item x="155"/>
        <item x="197"/>
        <item x="168"/>
        <item x="79"/>
        <item x="70"/>
        <item m="1" x="341"/>
        <item m="1" x="302"/>
        <item x="178"/>
        <item x="216"/>
        <item x="8"/>
        <item x="182"/>
        <item x="16"/>
        <item x="280"/>
        <item x="180"/>
        <item m="1" x="403"/>
        <item m="1" x="347"/>
        <item m="1" x="336"/>
        <item x="58"/>
        <item x="34"/>
        <item x="229"/>
        <item m="1" x="353"/>
        <item x="149"/>
        <item x="167"/>
        <item m="1" x="313"/>
        <item m="1" x="433"/>
        <item x="20"/>
        <item x="31"/>
        <item m="1" x="439"/>
        <item m="1" x="406"/>
        <item x="102"/>
        <item x="129"/>
        <item m="1" x="325"/>
        <item m="1" x="309"/>
        <item m="1" x="418"/>
        <item x="107"/>
        <item m="1" x="432"/>
        <item m="1" x="421"/>
        <item m="1" x="327"/>
        <item x="36"/>
        <item m="1" x="412"/>
        <item m="1" x="331"/>
        <item x="39"/>
        <item x="41"/>
        <item x="55"/>
        <item m="1" x="332"/>
        <item x="46"/>
        <item x="3"/>
        <item m="1" x="299"/>
        <item x="6"/>
        <item x="35"/>
        <item x="19"/>
        <item m="1" x="312"/>
        <item m="1" x="300"/>
        <item x="32"/>
        <item m="1" x="359"/>
        <item x="112"/>
        <item x="69"/>
        <item m="1" x="381"/>
        <item m="1" x="316"/>
        <item x="5"/>
        <item x="17"/>
        <item x="60"/>
        <item m="1" x="414"/>
        <item x="67"/>
        <item m="1" x="377"/>
        <item x="97"/>
        <item m="1" x="342"/>
        <item x="99"/>
        <item x="94"/>
        <item x="54"/>
        <item m="1" x="329"/>
        <item x="38"/>
        <item x="73"/>
        <item x="77"/>
        <item m="1" x="447"/>
        <item x="13"/>
        <item m="1" x="305"/>
        <item x="250"/>
        <item x="283"/>
        <item x="12"/>
        <item m="1" x="314"/>
        <item m="1" x="319"/>
        <item m="1" x="362"/>
        <item x="53"/>
        <item m="1" x="407"/>
        <item x="123"/>
        <item m="1" x="536"/>
        <item m="1" x="524"/>
        <item x="248"/>
        <item m="1" x="366"/>
        <item x="247"/>
        <item x="222"/>
        <item m="1" x="468"/>
        <item m="1" x="303"/>
        <item x="226"/>
        <item m="1" x="469"/>
        <item m="1" x="491"/>
        <item x="284"/>
        <item m="1" x="492"/>
        <item m="1" x="530"/>
        <item m="1" x="438"/>
        <item x="238"/>
        <item m="1" x="301"/>
        <item m="1" x="413"/>
        <item m="1" x="508"/>
        <item x="209"/>
        <item x="286"/>
        <item x="9"/>
        <item m="1" x="506"/>
        <item m="1" x="510"/>
        <item x="120"/>
        <item m="1" x="411"/>
        <item m="1" x="434"/>
        <item x="7"/>
        <item x="288"/>
        <item m="1" x="437"/>
        <item x="287"/>
        <item m="1" x="373"/>
        <item x="189"/>
        <item m="1" x="493"/>
        <item m="1" x="473"/>
        <item x="15"/>
        <item m="1" x="295"/>
        <item x="227"/>
        <item m="1" x="502"/>
        <item m="1" x="494"/>
        <item x="105"/>
        <item x="265"/>
        <item x="0"/>
        <item m="1" x="399"/>
        <item m="1" x="426"/>
        <item m="1" x="350"/>
        <item m="1" x="525"/>
        <item x="157"/>
        <item x="95"/>
        <item m="1" x="534"/>
        <item x="257"/>
        <item m="1" x="419"/>
        <item x="153"/>
        <item m="1" x="307"/>
        <item m="1" x="451"/>
        <item m="1" x="490"/>
        <item x="272"/>
        <item x="14"/>
        <item m="1" x="306"/>
        <item x="196"/>
        <item x="207"/>
        <item m="1" x="476"/>
        <item m="1" x="482"/>
        <item x="150"/>
        <item m="1" x="512"/>
        <item m="1" x="298"/>
        <item m="1" x="458"/>
        <item m="1" x="385"/>
        <item x="269"/>
        <item x="4"/>
        <item x="96"/>
        <item m="1" x="380"/>
        <item x="11"/>
        <item x="170"/>
        <item x="270"/>
        <item x="252"/>
        <item m="1" x="383"/>
        <item x="44"/>
        <item m="1" x="297"/>
        <item x="2"/>
        <item x="110"/>
        <item m="1" x="296"/>
        <item x="1"/>
        <item x="245"/>
        <item x="28"/>
        <item x="184"/>
        <item x="218"/>
        <item x="18"/>
        <item x="111"/>
        <item t="default"/>
      </items>
    </pivotField>
    <pivotField dataField="1" showAll="0">
      <items count="184">
        <item x="6"/>
        <item x="3"/>
        <item x="30"/>
        <item x="8"/>
        <item x="26"/>
        <item x="67"/>
        <item x="13"/>
        <item x="0"/>
        <item x="20"/>
        <item x="33"/>
        <item x="65"/>
        <item x="57"/>
        <item x="2"/>
        <item x="71"/>
        <item x="45"/>
        <item x="78"/>
        <item x="128"/>
        <item x="12"/>
        <item x="1"/>
        <item x="75"/>
        <item x="29"/>
        <item x="47"/>
        <item x="90"/>
        <item x="23"/>
        <item x="79"/>
        <item x="108"/>
        <item x="9"/>
        <item x="124"/>
        <item x="54"/>
        <item x="80"/>
        <item x="94"/>
        <item x="32"/>
        <item x="31"/>
        <item x="93"/>
        <item x="50"/>
        <item x="69"/>
        <item x="42"/>
        <item x="62"/>
        <item x="46"/>
        <item x="72"/>
        <item x="91"/>
        <item m="1" x="133"/>
        <item x="104"/>
        <item x="130"/>
        <item x="106"/>
        <item x="15"/>
        <item x="77"/>
        <item x="39"/>
        <item x="36"/>
        <item x="131"/>
        <item x="4"/>
        <item x="55"/>
        <item m="1" x="165"/>
        <item m="1" x="147"/>
        <item m="1" x="151"/>
        <item x="88"/>
        <item m="1" x="180"/>
        <item m="1" x="156"/>
        <item m="1" x="134"/>
        <item m="1" x="138"/>
        <item x="70"/>
        <item x="7"/>
        <item x="44"/>
        <item x="11"/>
        <item m="1" x="141"/>
        <item m="1" x="169"/>
        <item x="38"/>
        <item x="60"/>
        <item x="85"/>
        <item x="10"/>
        <item x="110"/>
        <item m="1" x="178"/>
        <item x="28"/>
        <item x="102"/>
        <item x="73"/>
        <item x="40"/>
        <item x="58"/>
        <item m="1" x="142"/>
        <item m="1" x="136"/>
        <item m="1" x="146"/>
        <item x="49"/>
        <item m="1" x="135"/>
        <item m="1" x="161"/>
        <item m="1" x="150"/>
        <item x="96"/>
        <item x="81"/>
        <item x="24"/>
        <item m="1" x="132"/>
        <item x="66"/>
        <item m="1" x="179"/>
        <item x="5"/>
        <item m="1" x="163"/>
        <item x="95"/>
        <item m="1" x="158"/>
        <item m="1" x="143"/>
        <item m="1" x="139"/>
        <item m="1" x="148"/>
        <item x="82"/>
        <item x="64"/>
        <item x="99"/>
        <item x="25"/>
        <item m="1" x="137"/>
        <item m="1" x="175"/>
        <item m="1" x="160"/>
        <item x="74"/>
        <item x="52"/>
        <item x="41"/>
        <item x="14"/>
        <item x="61"/>
        <item m="1" x="152"/>
        <item m="1" x="166"/>
        <item x="84"/>
        <item m="1" x="170"/>
        <item x="53"/>
        <item x="51"/>
        <item x="129"/>
        <item x="27"/>
        <item x="18"/>
        <item x="122"/>
        <item x="121"/>
        <item x="111"/>
        <item x="68"/>
        <item x="105"/>
        <item x="63"/>
        <item x="56"/>
        <item m="1" x="157"/>
        <item x="112"/>
        <item x="17"/>
        <item x="16"/>
        <item x="97"/>
        <item x="22"/>
        <item x="103"/>
        <item m="1" x="168"/>
        <item x="92"/>
        <item m="1" x="155"/>
        <item x="19"/>
        <item x="123"/>
        <item x="48"/>
        <item x="117"/>
        <item m="1" x="171"/>
        <item m="1" x="140"/>
        <item x="21"/>
        <item m="1" x="181"/>
        <item x="107"/>
        <item m="1" x="172"/>
        <item x="59"/>
        <item x="34"/>
        <item x="37"/>
        <item m="1" x="167"/>
        <item m="1" x="164"/>
        <item m="1" x="145"/>
        <item x="127"/>
        <item x="89"/>
        <item x="118"/>
        <item m="1" x="154"/>
        <item m="1" x="153"/>
        <item x="87"/>
        <item m="1" x="176"/>
        <item x="126"/>
        <item x="119"/>
        <item x="114"/>
        <item m="1" x="162"/>
        <item x="100"/>
        <item m="1" x="149"/>
        <item x="109"/>
        <item m="1" x="182"/>
        <item m="1" x="144"/>
        <item x="98"/>
        <item x="120"/>
        <item x="43"/>
        <item m="1" x="159"/>
        <item x="35"/>
        <item x="125"/>
        <item m="1" x="174"/>
        <item x="116"/>
        <item x="83"/>
        <item x="86"/>
        <item m="1" x="173"/>
        <item x="115"/>
        <item m="1" x="177"/>
        <item x="101"/>
        <item x="76"/>
        <item x="113"/>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1">
    <i>
      <x v="6"/>
    </i>
    <i>
      <x v="136"/>
    </i>
    <i>
      <x v="309"/>
    </i>
    <i>
      <x v="318"/>
    </i>
    <i>
      <x v="391"/>
    </i>
    <i>
      <x v="396"/>
    </i>
    <i>
      <x v="435"/>
    </i>
    <i>
      <x v="459"/>
    </i>
    <i>
      <x v="463"/>
    </i>
    <i>
      <x v="494"/>
    </i>
    <i t="grand">
      <x/>
    </i>
  </rowItems>
  <colItems count="1">
    <i/>
  </colItems>
  <dataFields count="1">
    <dataField name="Sum of 1h Change (%)" fld="3" baseField="0" baseItem="0"/>
  </dataFields>
  <chartFormats count="1">
    <chartFormat chart="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PivotTable1" cacheId="2" applyNumberFormats="0" applyBorderFormats="0" applyFontFormats="0" applyPatternFormats="0" applyAlignmentFormats="0" applyWidthHeightFormats="1" dataCaption="Values" updatedVersion="8" minRefreshableVersion="3" useAutoFormatting="1" createdVersion="8" indent="0" outline="1" outlineData="1" multipleFieldFilters="0" chartFormat="6" rowHeaderCaption="Coin Name">
  <location ref="A2:B13" firstHeaderRow="1" firstDataRow="1" firstDataCol="1"/>
  <pivotFields count="15">
    <pivotField axis="axisRow" showAll="0" measureFilter="1">
      <items count="532">
        <item m="1" x="503"/>
        <item m="1" x="374"/>
        <item x="211"/>
        <item x="24"/>
        <item m="1" x="392"/>
        <item m="1" x="433"/>
        <item x="225"/>
        <item m="1" x="467"/>
        <item m="1" x="445"/>
        <item m="1" x="316"/>
        <item m="1" x="423"/>
        <item m="1" x="523"/>
        <item m="1" x="438"/>
        <item x="87"/>
        <item m="1" x="404"/>
        <item m="1" x="318"/>
        <item m="1" x="436"/>
        <item m="1" x="366"/>
        <item m="1" x="482"/>
        <item m="1" x="402"/>
        <item m="1" x="440"/>
        <item m="1" x="337"/>
        <item m="1" x="377"/>
        <item m="1" x="406"/>
        <item m="1" x="465"/>
        <item m="1" x="314"/>
        <item x="152"/>
        <item m="1" x="349"/>
        <item x="40"/>
        <item m="1" x="461"/>
        <item m="1" x="312"/>
        <item x="247"/>
        <item m="1" x="478"/>
        <item x="1"/>
        <item m="1" x="386"/>
        <item m="1" x="303"/>
        <item m="1" x="326"/>
        <item m="1" x="425"/>
        <item x="21"/>
        <item m="1" x="367"/>
        <item m="1" x="364"/>
        <item x="93"/>
        <item m="1" x="527"/>
        <item m="1" x="514"/>
        <item x="4"/>
        <item m="1" x="393"/>
        <item x="22"/>
        <item m="1" x="452"/>
        <item m="1" x="475"/>
        <item m="1" x="330"/>
        <item m="1" x="422"/>
        <item x="188"/>
        <item x="37"/>
        <item m="1" x="300"/>
        <item m="1" x="437"/>
        <item m="1" x="518"/>
        <item m="1" x="334"/>
        <item m="1" x="446"/>
        <item m="1" x="494"/>
        <item m="1" x="353"/>
        <item m="1" x="394"/>
        <item m="1" x="479"/>
        <item x="0"/>
        <item x="27"/>
        <item m="1" x="331"/>
        <item m="1" x="502"/>
        <item m="1" x="412"/>
        <item m="1" x="395"/>
        <item x="31"/>
        <item m="1" x="306"/>
        <item m="1" x="519"/>
        <item m="1" x="521"/>
        <item m="1" x="495"/>
        <item m="1" x="444"/>
        <item x="10"/>
        <item x="137"/>
        <item m="1" x="480"/>
        <item m="1" x="462"/>
        <item m="1" x="401"/>
        <item m="1" x="308"/>
        <item m="1" x="345"/>
        <item m="1" x="459"/>
        <item x="170"/>
        <item x="172"/>
        <item x="2"/>
        <item m="1" x="332"/>
        <item x="36"/>
        <item m="1" x="400"/>
        <item m="1" x="413"/>
        <item x="133"/>
        <item m="1" x="463"/>
        <item m="1" x="453"/>
        <item m="1" x="365"/>
        <item m="1" x="322"/>
        <item m="1" x="447"/>
        <item m="1" x="489"/>
        <item m="1" x="435"/>
        <item m="1" x="376"/>
        <item x="265"/>
        <item m="1" x="500"/>
        <item m="1" x="329"/>
        <item m="1" x="448"/>
        <item x="39"/>
        <item x="91"/>
        <item m="1" x="457"/>
        <item m="1" x="526"/>
        <item m="1" x="414"/>
        <item m="1" x="508"/>
        <item m="1" x="410"/>
        <item m="1" x="509"/>
        <item m="1" x="389"/>
        <item m="1" x="486"/>
        <item m="1" x="341"/>
        <item m="1" x="524"/>
        <item m="1" x="504"/>
        <item x="262"/>
        <item x="197"/>
        <item x="33"/>
        <item m="1" x="474"/>
        <item m="1" x="372"/>
        <item m="1" x="510"/>
        <item m="1" x="416"/>
        <item x="9"/>
        <item m="1" x="350"/>
        <item x="26"/>
        <item m="1" x="346"/>
        <item m="1" x="451"/>
        <item x="125"/>
        <item m="1" x="396"/>
        <item m="1" x="354"/>
        <item m="1" x="327"/>
        <item m="1" x="382"/>
        <item m="1" x="408"/>
        <item m="1" x="307"/>
        <item m="1" x="311"/>
        <item m="1" x="473"/>
        <item x="110"/>
        <item x="20"/>
        <item x="38"/>
        <item m="1" x="302"/>
        <item m="1" x="397"/>
        <item m="1" x="477"/>
        <item m="1" x="315"/>
        <item m="1" x="415"/>
        <item m="1" x="513"/>
        <item m="1" x="301"/>
        <item m="1" x="471"/>
        <item x="191"/>
        <item m="1" x="517"/>
        <item m="1" x="430"/>
        <item m="1" x="429"/>
        <item x="64"/>
        <item m="1" x="497"/>
        <item m="1" x="421"/>
        <item m="1" x="339"/>
        <item m="1" x="347"/>
        <item m="1" x="419"/>
        <item m="1" x="443"/>
        <item m="1" x="370"/>
        <item m="1" x="493"/>
        <item m="1" x="456"/>
        <item m="1" x="390"/>
        <item m="1" x="454"/>
        <item m="1" x="379"/>
        <item m="1" x="355"/>
        <item m="1" x="485"/>
        <item m="1" x="352"/>
        <item m="1" x="328"/>
        <item m="1" x="432"/>
        <item m="1" x="305"/>
        <item x="14"/>
        <item m="1" x="399"/>
        <item m="1" x="405"/>
        <item m="1" x="320"/>
        <item m="1" x="530"/>
        <item x="161"/>
        <item m="1" x="431"/>
        <item m="1" x="391"/>
        <item m="1" x="515"/>
        <item m="1" x="398"/>
        <item m="1" x="338"/>
        <item x="228"/>
        <item m="1" x="466"/>
        <item m="1" x="516"/>
        <item m="1" x="323"/>
        <item x="214"/>
        <item m="1" x="383"/>
        <item x="32"/>
        <item m="1" x="363"/>
        <item m="1" x="358"/>
        <item m="1" x="525"/>
        <item m="1" x="319"/>
        <item m="1" x="385"/>
        <item m="1" x="333"/>
        <item m="1" x="336"/>
        <item m="1" x="324"/>
        <item x="218"/>
        <item x="17"/>
        <item x="122"/>
        <item m="1" x="498"/>
        <item m="1" x="310"/>
        <item x="204"/>
        <item m="1" x="505"/>
        <item m="1" x="506"/>
        <item x="242"/>
        <item m="1" x="449"/>
        <item x="151"/>
        <item m="1" x="468"/>
        <item m="1" x="417"/>
        <item m="1" x="512"/>
        <item m="1" x="378"/>
        <item x="30"/>
        <item m="1" x="488"/>
        <item m="1" x="309"/>
        <item m="1" x="491"/>
        <item m="1" x="441"/>
        <item x="281"/>
        <item m="1" x="484"/>
        <item m="1" x="487"/>
        <item m="1" x="371"/>
        <item m="1" x="520"/>
        <item m="1" x="361"/>
        <item m="1" x="325"/>
        <item m="1" x="439"/>
        <item m="1" x="434"/>
        <item m="1" x="356"/>
        <item m="1" x="360"/>
        <item m="1" x="507"/>
        <item m="1" x="384"/>
        <item m="1" x="427"/>
        <item x="282"/>
        <item m="1" x="348"/>
        <item m="1" x="529"/>
        <item m="1" x="472"/>
        <item m="1" x="501"/>
        <item m="1" x="344"/>
        <item m="1" x="522"/>
        <item x="127"/>
        <item x="7"/>
        <item x="43"/>
        <item m="1" x="351"/>
        <item m="1" x="407"/>
        <item m="1" x="528"/>
        <item m="1" x="409"/>
        <item m="1" x="304"/>
        <item x="107"/>
        <item m="1" x="357"/>
        <item m="1" x="380"/>
        <item m="1" x="469"/>
        <item m="1" x="450"/>
        <item m="1" x="420"/>
        <item m="1" x="373"/>
        <item m="1" x="460"/>
        <item m="1" x="335"/>
        <item m="1" x="492"/>
        <item m="1" x="388"/>
        <item x="3"/>
        <item x="29"/>
        <item m="1" x="499"/>
        <item m="1" x="321"/>
        <item x="73"/>
        <item m="1" x="362"/>
        <item m="1" x="496"/>
        <item m="1" x="481"/>
        <item m="1" x="403"/>
        <item m="1" x="418"/>
        <item m="1" x="424"/>
        <item x="8"/>
        <item m="1" x="464"/>
        <item m="1" x="317"/>
        <item m="1" x="511"/>
        <item x="44"/>
        <item x="13"/>
        <item x="42"/>
        <item m="1" x="381"/>
        <item x="6"/>
        <item x="35"/>
        <item m="1" x="340"/>
        <item x="41"/>
        <item m="1" x="426"/>
        <item m="1" x="458"/>
        <item m="1" x="368"/>
        <item m="1" x="411"/>
        <item m="1" x="476"/>
        <item m="1" x="428"/>
        <item x="201"/>
        <item m="1" x="455"/>
        <item m="1" x="369"/>
        <item m="1" x="490"/>
        <item m="1" x="359"/>
        <item m="1" x="342"/>
        <item m="1" x="343"/>
        <item m="1" x="442"/>
        <item m="1" x="470"/>
        <item x="5"/>
        <item m="1" x="387"/>
        <item m="1" x="483"/>
        <item m="1" x="375"/>
        <item x="11"/>
        <item m="1" x="313"/>
        <item x="12"/>
        <item x="15"/>
        <item x="16"/>
        <item x="18"/>
        <item x="19"/>
        <item x="23"/>
        <item x="25"/>
        <item x="28"/>
        <item x="34"/>
        <item x="45"/>
        <item x="46"/>
        <item x="47"/>
        <item x="48"/>
        <item x="49"/>
        <item x="50"/>
        <item x="51"/>
        <item x="52"/>
        <item x="53"/>
        <item x="54"/>
        <item x="55"/>
        <item x="56"/>
        <item x="57"/>
        <item x="58"/>
        <item x="59"/>
        <item x="60"/>
        <item x="61"/>
        <item x="62"/>
        <item x="63"/>
        <item x="65"/>
        <item x="66"/>
        <item x="67"/>
        <item x="68"/>
        <item x="69"/>
        <item x="70"/>
        <item x="71"/>
        <item x="72"/>
        <item x="74"/>
        <item x="75"/>
        <item x="76"/>
        <item x="77"/>
        <item x="78"/>
        <item x="79"/>
        <item x="80"/>
        <item x="81"/>
        <item x="82"/>
        <item x="83"/>
        <item x="84"/>
        <item x="85"/>
        <item x="86"/>
        <item x="88"/>
        <item x="89"/>
        <item x="90"/>
        <item x="92"/>
        <item x="94"/>
        <item x="95"/>
        <item x="96"/>
        <item x="97"/>
        <item x="98"/>
        <item x="99"/>
        <item x="100"/>
        <item x="101"/>
        <item x="102"/>
        <item x="103"/>
        <item x="104"/>
        <item x="105"/>
        <item x="106"/>
        <item x="108"/>
        <item x="109"/>
        <item x="111"/>
        <item x="112"/>
        <item x="113"/>
        <item x="114"/>
        <item x="115"/>
        <item x="116"/>
        <item x="117"/>
        <item x="118"/>
        <item x="119"/>
        <item x="120"/>
        <item x="121"/>
        <item x="123"/>
        <item x="124"/>
        <item x="126"/>
        <item x="128"/>
        <item x="129"/>
        <item x="130"/>
        <item x="131"/>
        <item x="132"/>
        <item x="134"/>
        <item x="135"/>
        <item x="136"/>
        <item x="138"/>
        <item x="139"/>
        <item x="140"/>
        <item x="141"/>
        <item x="142"/>
        <item x="143"/>
        <item x="144"/>
        <item x="145"/>
        <item x="146"/>
        <item x="147"/>
        <item x="148"/>
        <item x="149"/>
        <item x="150"/>
        <item x="153"/>
        <item x="154"/>
        <item x="155"/>
        <item x="156"/>
        <item x="157"/>
        <item x="158"/>
        <item x="159"/>
        <item x="160"/>
        <item x="162"/>
        <item x="163"/>
        <item x="164"/>
        <item x="165"/>
        <item x="166"/>
        <item x="167"/>
        <item x="168"/>
        <item x="169"/>
        <item x="171"/>
        <item x="173"/>
        <item x="174"/>
        <item x="175"/>
        <item x="176"/>
        <item x="177"/>
        <item x="178"/>
        <item x="179"/>
        <item x="180"/>
        <item x="181"/>
        <item x="182"/>
        <item x="183"/>
        <item x="184"/>
        <item x="185"/>
        <item x="186"/>
        <item x="187"/>
        <item x="189"/>
        <item x="190"/>
        <item x="192"/>
        <item x="193"/>
        <item x="194"/>
        <item x="195"/>
        <item x="196"/>
        <item x="198"/>
        <item x="199"/>
        <item x="200"/>
        <item x="202"/>
        <item x="203"/>
        <item x="205"/>
        <item x="206"/>
        <item x="207"/>
        <item x="208"/>
        <item x="209"/>
        <item x="210"/>
        <item x="212"/>
        <item x="213"/>
        <item x="215"/>
        <item x="216"/>
        <item x="217"/>
        <item x="219"/>
        <item x="220"/>
        <item x="221"/>
        <item x="222"/>
        <item x="223"/>
        <item x="224"/>
        <item x="226"/>
        <item x="227"/>
        <item x="229"/>
        <item x="230"/>
        <item x="231"/>
        <item x="232"/>
        <item x="233"/>
        <item x="234"/>
        <item x="235"/>
        <item x="236"/>
        <item x="237"/>
        <item x="238"/>
        <item x="239"/>
        <item x="240"/>
        <item x="241"/>
        <item x="243"/>
        <item x="244"/>
        <item x="245"/>
        <item x="246"/>
        <item x="248"/>
        <item x="249"/>
        <item x="250"/>
        <item x="251"/>
        <item x="252"/>
        <item x="253"/>
        <item x="254"/>
        <item x="255"/>
        <item x="256"/>
        <item x="257"/>
        <item x="258"/>
        <item x="259"/>
        <item x="260"/>
        <item x="261"/>
        <item x="263"/>
        <item x="264"/>
        <item x="266"/>
        <item x="267"/>
        <item x="268"/>
        <item x="269"/>
        <item x="270"/>
        <item x="271"/>
        <item x="272"/>
        <item x="273"/>
        <item x="274"/>
        <item x="275"/>
        <item x="276"/>
        <item x="277"/>
        <item x="278"/>
        <item x="279"/>
        <item x="280"/>
        <item x="283"/>
        <item x="284"/>
        <item x="285"/>
        <item x="286"/>
        <item x="287"/>
        <item x="288"/>
        <item x="289"/>
        <item x="290"/>
        <item x="291"/>
        <item x="292"/>
        <item x="293"/>
        <item x="294"/>
        <item x="295"/>
        <item x="296"/>
        <item x="297"/>
        <item x="298"/>
        <item x="299"/>
        <item t="default"/>
      </items>
    </pivotField>
    <pivotField showAll="0"/>
    <pivotField dataField="1" showAll="0">
      <items count="540">
        <item m="1" x="368"/>
        <item m="1" x="364"/>
        <item x="219"/>
        <item x="118"/>
        <item x="292"/>
        <item x="164"/>
        <item m="1" x="396"/>
        <item x="243"/>
        <item x="45"/>
        <item x="179"/>
        <item x="254"/>
        <item m="1" x="499"/>
        <item x="160"/>
        <item x="191"/>
        <item x="289"/>
        <item m="1" x="395"/>
        <item x="72"/>
        <item x="140"/>
        <item x="86"/>
        <item m="1" x="369"/>
        <item x="275"/>
        <item x="212"/>
        <item x="200"/>
        <item m="1" x="334"/>
        <item x="195"/>
        <item x="130"/>
        <item m="1" x="497"/>
        <item x="267"/>
        <item x="211"/>
        <item x="169"/>
        <item m="1" x="344"/>
        <item x="213"/>
        <item x="290"/>
        <item x="210"/>
        <item m="1" x="394"/>
        <item x="253"/>
        <item x="85"/>
        <item m="1" x="527"/>
        <item x="294"/>
        <item x="282"/>
        <item x="181"/>
        <item m="1" x="523"/>
        <item m="1" x="474"/>
        <item x="273"/>
        <item x="271"/>
        <item x="172"/>
        <item m="1" x="516"/>
        <item m="1" x="461"/>
        <item x="260"/>
        <item x="259"/>
        <item x="255"/>
        <item x="264"/>
        <item m="1" x="386"/>
        <item m="1" x="479"/>
        <item x="246"/>
        <item x="281"/>
        <item x="239"/>
        <item m="1" x="488"/>
        <item x="262"/>
        <item m="1" x="528"/>
        <item m="1" x="382"/>
        <item x="223"/>
        <item x="231"/>
        <item x="151"/>
        <item x="235"/>
        <item m="1" x="518"/>
        <item x="232"/>
        <item x="244"/>
        <item x="65"/>
        <item x="237"/>
        <item x="228"/>
        <item x="126"/>
        <item x="233"/>
        <item m="1" x="503"/>
        <item x="220"/>
        <item m="1" x="402"/>
        <item x="145"/>
        <item m="1" x="470"/>
        <item m="1" x="354"/>
        <item x="136"/>
        <item m="1" x="335"/>
        <item x="71"/>
        <item m="1" x="357"/>
        <item x="59"/>
        <item x="198"/>
        <item x="194"/>
        <item m="1" x="478"/>
        <item x="225"/>
        <item m="1" x="322"/>
        <item m="1" x="445"/>
        <item m="1" x="514"/>
        <item m="1" x="349"/>
        <item x="241"/>
        <item x="131"/>
        <item m="1" x="463"/>
        <item m="1" x="422"/>
        <item x="78"/>
        <item x="176"/>
        <item m="1" x="475"/>
        <item x="279"/>
        <item m="1" x="389"/>
        <item m="1" x="533"/>
        <item x="84"/>
        <item x="127"/>
        <item x="249"/>
        <item x="175"/>
        <item x="174"/>
        <item x="206"/>
        <item m="1" x="379"/>
        <item x="121"/>
        <item x="268"/>
        <item m="1" x="496"/>
        <item m="1" x="538"/>
        <item x="76"/>
        <item m="1" x="410"/>
        <item x="109"/>
        <item m="1" x="456"/>
        <item x="162"/>
        <item m="1" x="348"/>
        <item x="113"/>
        <item m="1" x="436"/>
        <item x="87"/>
        <item m="1" x="484"/>
        <item x="185"/>
        <item m="1" x="431"/>
        <item x="63"/>
        <item x="173"/>
        <item m="1" x="495"/>
        <item m="1" x="400"/>
        <item m="1" x="391"/>
        <item m="1" x="505"/>
        <item m="1" x="393"/>
        <item x="82"/>
        <item x="147"/>
        <item m="1" x="459"/>
        <item x="234"/>
        <item x="221"/>
        <item m="1" x="430"/>
        <item m="1" x="511"/>
        <item m="1" x="450"/>
        <item m="1" x="444"/>
        <item x="230"/>
        <item m="1" x="471"/>
        <item x="47"/>
        <item x="215"/>
        <item x="166"/>
        <item x="177"/>
        <item x="187"/>
        <item x="143"/>
        <item x="205"/>
        <item m="1" x="376"/>
        <item x="193"/>
        <item x="98"/>
        <item x="202"/>
        <item x="83"/>
        <item m="1" x="416"/>
        <item x="91"/>
        <item m="1" x="408"/>
        <item x="224"/>
        <item m="1" x="462"/>
        <item x="115"/>
        <item x="138"/>
        <item m="1" x="324"/>
        <item m="1" x="415"/>
        <item x="208"/>
        <item m="1" x="507"/>
        <item m="1" x="483"/>
        <item x="199"/>
        <item x="183"/>
        <item x="81"/>
        <item m="1" x="420"/>
        <item x="144"/>
        <item m="1" x="537"/>
        <item x="135"/>
        <item x="122"/>
        <item x="30"/>
        <item x="64"/>
        <item m="1" x="440"/>
        <item m="1" x="355"/>
        <item m="1" x="425"/>
        <item m="1" x="520"/>
        <item m="1" x="500"/>
        <item m="1" x="472"/>
        <item m="1" x="405"/>
        <item x="163"/>
        <item m="1" x="397"/>
        <item x="106"/>
        <item m="1" x="435"/>
        <item m="1" x="531"/>
        <item x="217"/>
        <item m="1" x="423"/>
        <item m="1" x="517"/>
        <item m="1" x="317"/>
        <item m="1" x="427"/>
        <item x="285"/>
        <item x="132"/>
        <item m="1" x="481"/>
        <item x="56"/>
        <item m="1" x="485"/>
        <item m="1" x="392"/>
        <item x="171"/>
        <item x="251"/>
        <item m="1" x="513"/>
        <item m="1" x="338"/>
        <item x="133"/>
        <item x="49"/>
        <item x="103"/>
        <item x="277"/>
        <item x="116"/>
        <item m="1" x="365"/>
        <item m="1" x="441"/>
        <item m="1" x="480"/>
        <item x="190"/>
        <item m="1" x="464"/>
        <item x="114"/>
        <item x="139"/>
        <item m="1" x="429"/>
        <item x="276"/>
        <item m="1" x="457"/>
        <item m="1" x="448"/>
        <item m="1" x="363"/>
        <item x="74"/>
        <item m="1" x="519"/>
        <item m="1" x="453"/>
        <item m="1" x="398"/>
        <item x="188"/>
        <item m="1" x="384"/>
        <item m="1" x="532"/>
        <item m="1" x="351"/>
        <item x="201"/>
        <item m="1" x="339"/>
        <item m="1" x="487"/>
        <item x="124"/>
        <item m="1" x="390"/>
        <item x="274"/>
        <item m="1" x="320"/>
        <item m="1" x="535"/>
        <item x="256"/>
        <item x="117"/>
        <item x="27"/>
        <item m="1" x="352"/>
        <item x="88"/>
        <item x="291"/>
        <item m="1" x="428"/>
        <item m="1" x="501"/>
        <item x="33"/>
        <item m="1" x="326"/>
        <item x="203"/>
        <item m="1" x="526"/>
        <item m="1" x="521"/>
        <item m="1" x="318"/>
        <item x="240"/>
        <item x="22"/>
        <item x="258"/>
        <item x="104"/>
        <item x="119"/>
        <item m="1" x="370"/>
        <item m="1" x="337"/>
        <item m="1" x="372"/>
        <item x="51"/>
        <item x="50"/>
        <item m="1" x="311"/>
        <item m="1" x="310"/>
        <item x="24"/>
        <item m="1" x="361"/>
        <item x="21"/>
        <item m="1" x="417"/>
        <item x="156"/>
        <item x="57"/>
        <item m="1" x="460"/>
        <item x="125"/>
        <item m="1" x="504"/>
        <item m="1" x="401"/>
        <item x="165"/>
        <item x="75"/>
        <item m="1" x="304"/>
        <item m="1" x="529"/>
        <item m="1" x="358"/>
        <item m="1" x="498"/>
        <item x="161"/>
        <item x="141"/>
        <item x="278"/>
        <item x="66"/>
        <item m="1" x="367"/>
        <item x="242"/>
        <item m="1" x="452"/>
        <item m="1" x="465"/>
        <item m="1" x="356"/>
        <item x="134"/>
        <item m="1" x="387"/>
        <item m="1" x="509"/>
        <item m="1" x="522"/>
        <item m="1" x="330"/>
        <item x="40"/>
        <item x="263"/>
        <item m="1" x="378"/>
        <item m="1" x="477"/>
        <item x="146"/>
        <item x="214"/>
        <item x="92"/>
        <item x="43"/>
        <item x="204"/>
        <item x="23"/>
        <item x="152"/>
        <item x="10"/>
        <item m="1" x="340"/>
        <item x="89"/>
        <item m="1" x="515"/>
        <item x="25"/>
        <item x="266"/>
        <item m="1" x="489"/>
        <item m="1" x="442"/>
        <item x="261"/>
        <item m="1" x="323"/>
        <item x="159"/>
        <item m="1" x="371"/>
        <item m="1" x="424"/>
        <item x="158"/>
        <item m="1" x="374"/>
        <item m="1" x="404"/>
        <item x="68"/>
        <item x="148"/>
        <item m="1" x="455"/>
        <item x="137"/>
        <item x="186"/>
        <item x="42"/>
        <item m="1" x="388"/>
        <item x="61"/>
        <item m="1" x="454"/>
        <item x="26"/>
        <item x="142"/>
        <item m="1" x="315"/>
        <item m="1" x="333"/>
        <item x="93"/>
        <item m="1" x="446"/>
        <item m="1" x="308"/>
        <item x="192"/>
        <item x="108"/>
        <item m="1" x="346"/>
        <item x="236"/>
        <item x="128"/>
        <item m="1" x="345"/>
        <item m="1" x="328"/>
        <item m="1" x="321"/>
        <item x="293"/>
        <item m="1" x="409"/>
        <item x="48"/>
        <item x="52"/>
        <item x="37"/>
        <item x="80"/>
        <item x="62"/>
        <item x="90"/>
        <item m="1" x="466"/>
        <item m="1" x="467"/>
        <item x="154"/>
        <item x="29"/>
        <item m="1" x="449"/>
        <item m="1" x="486"/>
        <item m="1" x="375"/>
        <item m="1" x="360"/>
        <item x="100"/>
        <item x="101"/>
        <item m="1" x="443"/>
        <item m="1" x="343"/>
        <item x="155"/>
        <item x="197"/>
        <item x="168"/>
        <item x="79"/>
        <item x="70"/>
        <item m="1" x="341"/>
        <item m="1" x="302"/>
        <item x="178"/>
        <item x="216"/>
        <item x="8"/>
        <item x="182"/>
        <item x="16"/>
        <item x="280"/>
        <item x="180"/>
        <item m="1" x="403"/>
        <item m="1" x="347"/>
        <item m="1" x="336"/>
        <item x="58"/>
        <item x="34"/>
        <item x="229"/>
        <item m="1" x="353"/>
        <item x="149"/>
        <item x="167"/>
        <item m="1" x="313"/>
        <item m="1" x="433"/>
        <item x="20"/>
        <item x="31"/>
        <item m="1" x="439"/>
        <item m="1" x="406"/>
        <item x="102"/>
        <item x="129"/>
        <item m="1" x="325"/>
        <item m="1" x="309"/>
        <item m="1" x="418"/>
        <item x="107"/>
        <item m="1" x="432"/>
        <item m="1" x="421"/>
        <item m="1" x="327"/>
        <item x="36"/>
        <item m="1" x="412"/>
        <item m="1" x="331"/>
        <item x="39"/>
        <item x="41"/>
        <item x="55"/>
        <item m="1" x="332"/>
        <item x="46"/>
        <item x="3"/>
        <item m="1" x="299"/>
        <item x="6"/>
        <item x="35"/>
        <item x="19"/>
        <item m="1" x="312"/>
        <item m="1" x="300"/>
        <item x="32"/>
        <item m="1" x="359"/>
        <item x="112"/>
        <item x="69"/>
        <item m="1" x="381"/>
        <item m="1" x="316"/>
        <item x="5"/>
        <item x="17"/>
        <item x="60"/>
        <item m="1" x="414"/>
        <item x="67"/>
        <item m="1" x="377"/>
        <item x="97"/>
        <item m="1" x="342"/>
        <item x="99"/>
        <item x="94"/>
        <item x="54"/>
        <item m="1" x="329"/>
        <item x="38"/>
        <item x="73"/>
        <item x="77"/>
        <item m="1" x="447"/>
        <item x="13"/>
        <item m="1" x="305"/>
        <item x="250"/>
        <item x="283"/>
        <item x="12"/>
        <item m="1" x="314"/>
        <item m="1" x="319"/>
        <item m="1" x="362"/>
        <item x="53"/>
        <item m="1" x="407"/>
        <item x="123"/>
        <item m="1" x="536"/>
        <item m="1" x="524"/>
        <item x="248"/>
        <item m="1" x="366"/>
        <item x="247"/>
        <item x="222"/>
        <item m="1" x="468"/>
        <item m="1" x="303"/>
        <item x="226"/>
        <item m="1" x="469"/>
        <item m="1" x="491"/>
        <item x="284"/>
        <item m="1" x="492"/>
        <item m="1" x="530"/>
        <item m="1" x="438"/>
        <item x="238"/>
        <item m="1" x="301"/>
        <item m="1" x="413"/>
        <item m="1" x="508"/>
        <item x="209"/>
        <item x="286"/>
        <item x="9"/>
        <item m="1" x="506"/>
        <item m="1" x="510"/>
        <item x="120"/>
        <item m="1" x="411"/>
        <item m="1" x="434"/>
        <item x="7"/>
        <item x="288"/>
        <item m="1" x="437"/>
        <item x="287"/>
        <item m="1" x="373"/>
        <item x="189"/>
        <item m="1" x="493"/>
        <item m="1" x="473"/>
        <item x="15"/>
        <item m="1" x="295"/>
        <item x="227"/>
        <item m="1" x="502"/>
        <item m="1" x="494"/>
        <item x="105"/>
        <item x="265"/>
        <item x="0"/>
        <item m="1" x="399"/>
        <item m="1" x="426"/>
        <item m="1" x="350"/>
        <item m="1" x="525"/>
        <item x="157"/>
        <item x="95"/>
        <item m="1" x="534"/>
        <item x="257"/>
        <item m="1" x="419"/>
        <item x="153"/>
        <item m="1" x="307"/>
        <item m="1" x="451"/>
        <item m="1" x="490"/>
        <item x="272"/>
        <item x="14"/>
        <item m="1" x="306"/>
        <item x="196"/>
        <item x="207"/>
        <item m="1" x="476"/>
        <item m="1" x="482"/>
        <item x="150"/>
        <item m="1" x="512"/>
        <item m="1" x="298"/>
        <item m="1" x="458"/>
        <item m="1" x="385"/>
        <item x="269"/>
        <item x="4"/>
        <item x="96"/>
        <item m="1" x="380"/>
        <item x="11"/>
        <item x="170"/>
        <item x="270"/>
        <item x="252"/>
        <item m="1" x="383"/>
        <item x="44"/>
        <item m="1" x="297"/>
        <item x="2"/>
        <item x="110"/>
        <item m="1" x="296"/>
        <item x="1"/>
        <item x="245"/>
        <item x="28"/>
        <item x="184"/>
        <item x="218"/>
        <item x="18"/>
        <item x="1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1">
    <i>
      <x v="33"/>
    </i>
    <i>
      <x v="44"/>
    </i>
    <i>
      <x v="84"/>
    </i>
    <i>
      <x v="298"/>
    </i>
    <i>
      <x v="310"/>
    </i>
    <i>
      <x v="359"/>
    </i>
    <i>
      <x v="371"/>
    </i>
    <i>
      <x v="421"/>
    </i>
    <i>
      <x v="491"/>
    </i>
    <i>
      <x v="508"/>
    </i>
    <i t="grand">
      <x/>
    </i>
  </rowItems>
  <colItems count="1">
    <i/>
  </colItems>
  <dataFields count="1">
    <dataField name="Sum of Price (USD)" fld="2" baseField="0" baseItem="0"/>
  </dataFields>
  <chartFormats count="1">
    <chartFormat chart="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3000000}" name="PivotTable10" cacheId="1" applyNumberFormats="0" applyBorderFormats="0" applyFontFormats="0" applyPatternFormats="0" applyAlignmentFormats="0" applyWidthHeightFormats="1" dataCaption="Values" updatedVersion="8" minRefreshableVersion="3" useAutoFormatting="1" createdVersion="8" indent="0" outline="1" outlineData="1" multipleFieldFilters="0" chartFormat="6" rowHeaderCaption="Coin Name">
  <location ref="A20:B31" firstHeaderRow="1" firstDataRow="1" firstDataCol="1"/>
  <pivotFields count="10">
    <pivotField axis="axisRow" showAll="0" measureFilter="1">
      <items count="3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t="default"/>
      </items>
    </pivotField>
    <pivotField showAll="0"/>
    <pivotField showAll="0">
      <items count="295">
        <item x="109"/>
        <item x="208"/>
        <item x="51"/>
        <item x="111"/>
        <item x="48"/>
        <item x="286"/>
        <item x="209"/>
        <item x="21"/>
        <item x="198"/>
        <item x="113"/>
        <item x="144"/>
        <item x="70"/>
        <item x="31"/>
        <item x="288"/>
        <item x="55"/>
        <item x="150"/>
        <item x="32"/>
        <item x="39"/>
        <item x="232"/>
        <item x="118"/>
        <item x="0"/>
        <item x="227"/>
        <item x="275"/>
        <item x="17"/>
        <item x="176"/>
        <item x="235"/>
        <item x="201"/>
        <item x="95"/>
        <item x="79"/>
        <item x="233"/>
        <item x="268"/>
        <item x="97"/>
        <item x="66"/>
        <item x="185"/>
        <item x="156"/>
        <item x="174"/>
        <item x="92"/>
        <item x="178"/>
        <item x="120"/>
        <item x="57"/>
        <item x="257"/>
        <item x="152"/>
        <item x="5"/>
        <item x="284"/>
        <item x="81"/>
        <item x="126"/>
        <item x="214"/>
        <item x="77"/>
        <item x="183"/>
        <item x="129"/>
        <item x="182"/>
        <item x="99"/>
        <item x="76"/>
        <item x="250"/>
        <item x="104"/>
        <item x="65"/>
        <item x="215"/>
        <item x="259"/>
        <item x="213"/>
        <item x="49"/>
        <item x="248"/>
        <item x="148"/>
        <item x="133"/>
        <item x="224"/>
        <item x="143"/>
        <item x="72"/>
        <item x="93"/>
        <item x="96"/>
        <item x="4"/>
        <item x="101"/>
        <item x="260"/>
        <item x="236"/>
        <item x="103"/>
        <item x="146"/>
        <item x="241"/>
        <item x="163"/>
        <item x="82"/>
        <item x="258"/>
        <item x="23"/>
        <item x="281"/>
        <item x="171"/>
        <item x="247"/>
        <item x="219"/>
        <item x="274"/>
        <item x="127"/>
        <item x="161"/>
        <item x="290"/>
        <item x="40"/>
        <item x="147"/>
        <item x="87"/>
        <item x="136"/>
        <item x="253"/>
        <item x="153"/>
        <item x="6"/>
        <item x="106"/>
        <item x="287"/>
        <item x="13"/>
        <item x="192"/>
        <item x="206"/>
        <item x="78"/>
        <item x="116"/>
        <item x="180"/>
        <item x="211"/>
        <item x="228"/>
        <item x="165"/>
        <item x="181"/>
        <item x="110"/>
        <item x="42"/>
        <item x="108"/>
        <item x="130"/>
        <item x="94"/>
        <item x="67"/>
        <item x="234"/>
        <item x="278"/>
        <item x="157"/>
        <item x="22"/>
        <item x="276"/>
        <item x="172"/>
        <item x="230"/>
        <item x="45"/>
        <item x="199"/>
        <item x="169"/>
        <item x="75"/>
        <item x="91"/>
        <item x="160"/>
        <item x="244"/>
        <item x="58"/>
        <item x="30"/>
        <item x="154"/>
        <item x="277"/>
        <item x="47"/>
        <item x="16"/>
        <item x="140"/>
        <item x="279"/>
        <item x="249"/>
        <item x="194"/>
        <item x="216"/>
        <item x="265"/>
        <item x="282"/>
        <item x="245"/>
        <item x="71"/>
        <item x="195"/>
        <item x="293"/>
        <item x="29"/>
        <item x="188"/>
        <item x="63"/>
        <item x="190"/>
        <item x="222"/>
        <item x="128"/>
        <item x="141"/>
        <item x="117"/>
        <item x="115"/>
        <item x="114"/>
        <item x="46"/>
        <item x="80"/>
        <item x="134"/>
        <item x="205"/>
        <item x="155"/>
        <item x="38"/>
        <item x="3"/>
        <item x="56"/>
        <item x="34"/>
        <item x="168"/>
        <item x="262"/>
        <item x="119"/>
        <item x="74"/>
        <item x="98"/>
        <item x="64"/>
        <item x="135"/>
        <item x="285"/>
        <item x="10"/>
        <item x="54"/>
        <item x="167"/>
        <item x="203"/>
        <item x="226"/>
        <item x="212"/>
        <item x="107"/>
        <item x="28"/>
        <item x="202"/>
        <item x="239"/>
        <item x="18"/>
        <item x="196"/>
        <item x="25"/>
        <item x="261"/>
        <item x="90"/>
        <item x="26"/>
        <item x="124"/>
        <item x="125"/>
        <item x="60"/>
        <item x="41"/>
        <item x="291"/>
        <item x="229"/>
        <item x="221"/>
        <item x="37"/>
        <item x="243"/>
        <item x="270"/>
        <item x="121"/>
        <item x="53"/>
        <item x="191"/>
        <item x="15"/>
        <item x="52"/>
        <item x="256"/>
        <item x="210"/>
        <item x="12"/>
        <item x="280"/>
        <item x="83"/>
        <item x="251"/>
        <item x="27"/>
        <item x="193"/>
        <item x="88"/>
        <item x="9"/>
        <item x="151"/>
        <item x="266"/>
        <item x="1"/>
        <item x="173"/>
        <item x="200"/>
        <item x="36"/>
        <item x="137"/>
        <item x="263"/>
        <item x="242"/>
        <item x="89"/>
        <item x="68"/>
        <item x="145"/>
        <item x="289"/>
        <item x="19"/>
        <item x="177"/>
        <item x="86"/>
        <item x="272"/>
        <item x="102"/>
        <item x="255"/>
        <item x="273"/>
        <item x="100"/>
        <item x="73"/>
        <item x="164"/>
        <item x="139"/>
        <item x="179"/>
        <item x="187"/>
        <item x="85"/>
        <item x="59"/>
        <item x="197"/>
        <item x="186"/>
        <item x="123"/>
        <item x="142"/>
        <item x="138"/>
        <item x="264"/>
        <item x="271"/>
        <item x="35"/>
        <item x="69"/>
        <item x="252"/>
        <item x="237"/>
        <item x="105"/>
        <item x="269"/>
        <item x="112"/>
        <item x="223"/>
        <item x="122"/>
        <item x="20"/>
        <item x="24"/>
        <item x="204"/>
        <item x="220"/>
        <item x="132"/>
        <item x="238"/>
        <item x="131"/>
        <item x="218"/>
        <item x="217"/>
        <item x="283"/>
        <item x="246"/>
        <item x="14"/>
        <item x="240"/>
        <item x="231"/>
        <item x="7"/>
        <item x="8"/>
        <item x="62"/>
        <item x="61"/>
        <item x="207"/>
        <item x="158"/>
        <item x="175"/>
        <item x="184"/>
        <item x="43"/>
        <item x="11"/>
        <item x="254"/>
        <item x="170"/>
        <item x="50"/>
        <item x="267"/>
        <item x="292"/>
        <item x="2"/>
        <item x="162"/>
        <item x="159"/>
        <item x="44"/>
        <item x="149"/>
        <item x="189"/>
        <item x="166"/>
        <item x="225"/>
        <item x="84"/>
        <item x="33"/>
        <item t="default"/>
      </items>
    </pivotField>
    <pivotField dataField="1" showAll="0"/>
    <pivotField showAll="0"/>
    <pivotField showAll="0"/>
    <pivotField showAll="0"/>
    <pivotField showAll="0"/>
    <pivotField showAll="0"/>
    <pivotField showAll="0"/>
  </pivotFields>
  <rowFields count="1">
    <field x="0"/>
  </rowFields>
  <rowItems count="11">
    <i>
      <x v="12"/>
    </i>
    <i>
      <x v="21"/>
    </i>
    <i>
      <x v="95"/>
    </i>
    <i>
      <x v="107"/>
    </i>
    <i>
      <x v="152"/>
    </i>
    <i>
      <x v="174"/>
    </i>
    <i>
      <x v="185"/>
    </i>
    <i>
      <x v="192"/>
    </i>
    <i>
      <x v="219"/>
    </i>
    <i>
      <x v="270"/>
    </i>
    <i t="grand">
      <x/>
    </i>
  </rowItems>
  <colItems count="1">
    <i/>
  </colItems>
  <dataFields count="1">
    <dataField name="Sum of 1h Change (%)" fld="3" baseField="0" baseItem="0"/>
  </dataFields>
  <chartFormats count="2">
    <chartFormat chart="3"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600-00000A000000}" name="PivotTable12" cacheId="1" applyNumberFormats="0" applyBorderFormats="0" applyFontFormats="0" applyPatternFormats="0" applyAlignmentFormats="0" applyWidthHeightFormats="1" dataCaption="Values" updatedVersion="8" minRefreshableVersion="3" useAutoFormatting="1" createdVersion="8" indent="0" outline="1" outlineData="1" multipleFieldFilters="0" chartFormat="7" rowHeaderCaption="Coin Name">
  <location ref="A37:C48" firstHeaderRow="0" firstDataRow="1" firstDataCol="1"/>
  <pivotFields count="10">
    <pivotField axis="axisRow" showAll="0" measureFilter="1">
      <items count="3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t="default"/>
      </items>
    </pivotField>
    <pivotField showAll="0"/>
    <pivotField dataField="1" showAll="0">
      <items count="295">
        <item x="109"/>
        <item x="208"/>
        <item x="51"/>
        <item x="111"/>
        <item x="48"/>
        <item x="286"/>
        <item x="209"/>
        <item x="21"/>
        <item x="198"/>
        <item x="113"/>
        <item x="144"/>
        <item x="70"/>
        <item x="31"/>
        <item x="288"/>
        <item x="55"/>
        <item x="150"/>
        <item x="32"/>
        <item x="39"/>
        <item x="232"/>
        <item x="118"/>
        <item x="0"/>
        <item x="227"/>
        <item x="275"/>
        <item x="17"/>
        <item x="176"/>
        <item x="235"/>
        <item x="201"/>
        <item x="95"/>
        <item x="79"/>
        <item x="233"/>
        <item x="268"/>
        <item x="97"/>
        <item x="66"/>
        <item x="185"/>
        <item x="156"/>
        <item x="174"/>
        <item x="92"/>
        <item x="178"/>
        <item x="120"/>
        <item x="57"/>
        <item x="257"/>
        <item x="152"/>
        <item x="5"/>
        <item x="284"/>
        <item x="81"/>
        <item x="126"/>
        <item x="214"/>
        <item x="77"/>
        <item x="183"/>
        <item x="129"/>
        <item x="182"/>
        <item x="99"/>
        <item x="76"/>
        <item x="250"/>
        <item x="104"/>
        <item x="65"/>
        <item x="215"/>
        <item x="259"/>
        <item x="213"/>
        <item x="49"/>
        <item x="248"/>
        <item x="148"/>
        <item x="133"/>
        <item x="224"/>
        <item x="143"/>
        <item x="72"/>
        <item x="93"/>
        <item x="96"/>
        <item x="4"/>
        <item x="101"/>
        <item x="260"/>
        <item x="236"/>
        <item x="103"/>
        <item x="146"/>
        <item x="241"/>
        <item x="163"/>
        <item x="82"/>
        <item x="258"/>
        <item x="23"/>
        <item x="281"/>
        <item x="171"/>
        <item x="247"/>
        <item x="219"/>
        <item x="274"/>
        <item x="127"/>
        <item x="161"/>
        <item x="290"/>
        <item x="40"/>
        <item x="147"/>
        <item x="87"/>
        <item x="136"/>
        <item x="253"/>
        <item x="153"/>
        <item x="6"/>
        <item x="106"/>
        <item x="287"/>
        <item x="13"/>
        <item x="192"/>
        <item x="206"/>
        <item x="78"/>
        <item x="116"/>
        <item x="180"/>
        <item x="211"/>
        <item x="228"/>
        <item x="165"/>
        <item x="181"/>
        <item x="110"/>
        <item x="42"/>
        <item x="108"/>
        <item x="130"/>
        <item x="94"/>
        <item x="67"/>
        <item x="234"/>
        <item x="278"/>
        <item x="157"/>
        <item x="22"/>
        <item x="276"/>
        <item x="172"/>
        <item x="230"/>
        <item x="45"/>
        <item x="199"/>
        <item x="169"/>
        <item x="75"/>
        <item x="91"/>
        <item x="160"/>
        <item x="244"/>
        <item x="58"/>
        <item x="30"/>
        <item x="154"/>
        <item x="277"/>
        <item x="47"/>
        <item x="16"/>
        <item x="140"/>
        <item x="279"/>
        <item x="249"/>
        <item x="194"/>
        <item x="216"/>
        <item x="265"/>
        <item x="282"/>
        <item x="245"/>
        <item x="71"/>
        <item x="195"/>
        <item x="293"/>
        <item x="29"/>
        <item x="188"/>
        <item x="63"/>
        <item x="190"/>
        <item x="222"/>
        <item x="128"/>
        <item x="141"/>
        <item x="117"/>
        <item x="115"/>
        <item x="114"/>
        <item x="46"/>
        <item x="80"/>
        <item x="134"/>
        <item x="205"/>
        <item x="155"/>
        <item x="38"/>
        <item x="3"/>
        <item x="56"/>
        <item x="34"/>
        <item x="168"/>
        <item x="262"/>
        <item x="119"/>
        <item x="74"/>
        <item x="98"/>
        <item x="64"/>
        <item x="135"/>
        <item x="285"/>
        <item x="10"/>
        <item x="54"/>
        <item x="167"/>
        <item x="203"/>
        <item x="226"/>
        <item x="212"/>
        <item x="107"/>
        <item x="28"/>
        <item x="202"/>
        <item x="239"/>
        <item x="18"/>
        <item x="196"/>
        <item x="25"/>
        <item x="261"/>
        <item x="90"/>
        <item x="26"/>
        <item x="124"/>
        <item x="125"/>
        <item x="60"/>
        <item x="41"/>
        <item x="291"/>
        <item x="229"/>
        <item x="221"/>
        <item x="37"/>
        <item x="243"/>
        <item x="270"/>
        <item x="121"/>
        <item x="53"/>
        <item x="191"/>
        <item x="15"/>
        <item x="52"/>
        <item x="256"/>
        <item x="210"/>
        <item x="12"/>
        <item x="280"/>
        <item x="83"/>
        <item x="251"/>
        <item x="27"/>
        <item x="193"/>
        <item x="88"/>
        <item x="9"/>
        <item x="151"/>
        <item x="266"/>
        <item x="1"/>
        <item x="173"/>
        <item x="200"/>
        <item x="36"/>
        <item x="137"/>
        <item x="263"/>
        <item x="242"/>
        <item x="89"/>
        <item x="68"/>
        <item x="145"/>
        <item x="289"/>
        <item x="19"/>
        <item x="177"/>
        <item x="86"/>
        <item x="272"/>
        <item x="102"/>
        <item x="255"/>
        <item x="273"/>
        <item x="100"/>
        <item x="73"/>
        <item x="164"/>
        <item x="139"/>
        <item x="179"/>
        <item x="187"/>
        <item x="85"/>
        <item x="59"/>
        <item x="197"/>
        <item x="186"/>
        <item x="123"/>
        <item x="142"/>
        <item x="138"/>
        <item x="264"/>
        <item x="271"/>
        <item x="35"/>
        <item x="69"/>
        <item x="252"/>
        <item x="237"/>
        <item x="105"/>
        <item x="269"/>
        <item x="112"/>
        <item x="223"/>
        <item x="122"/>
        <item x="20"/>
        <item x="24"/>
        <item x="204"/>
        <item x="220"/>
        <item x="132"/>
        <item x="238"/>
        <item x="131"/>
        <item x="218"/>
        <item x="217"/>
        <item x="283"/>
        <item x="246"/>
        <item x="14"/>
        <item x="240"/>
        <item x="231"/>
        <item x="7"/>
        <item x="8"/>
        <item x="62"/>
        <item x="61"/>
        <item x="207"/>
        <item x="158"/>
        <item x="175"/>
        <item x="184"/>
        <item x="43"/>
        <item x="11"/>
        <item x="254"/>
        <item x="170"/>
        <item x="50"/>
        <item x="267"/>
        <item x="292"/>
        <item x="2"/>
        <item x="162"/>
        <item x="159"/>
        <item x="44"/>
        <item x="149"/>
        <item x="189"/>
        <item x="166"/>
        <item x="225"/>
        <item x="84"/>
        <item x="33"/>
        <item t="default"/>
      </items>
    </pivotField>
    <pivotField showAll="0"/>
    <pivotField showAll="0"/>
    <pivotField showAll="0"/>
    <pivotField showAll="0"/>
    <pivotField dataField="1" showAll="0"/>
    <pivotField showAll="0"/>
    <pivotField showAll="0"/>
  </pivotFields>
  <rowFields count="1">
    <field x="0"/>
  </rowFields>
  <rowItems count="11">
    <i>
      <x v="1"/>
    </i>
    <i>
      <x v="2"/>
    </i>
    <i>
      <x v="100"/>
    </i>
    <i>
      <x v="114"/>
    </i>
    <i>
      <x v="154"/>
    </i>
    <i>
      <x v="161"/>
    </i>
    <i>
      <x v="174"/>
    </i>
    <i>
      <x v="211"/>
    </i>
    <i>
      <x v="269"/>
    </i>
    <i>
      <x v="275"/>
    </i>
    <i t="grand">
      <x/>
    </i>
  </rowItems>
  <colFields count="1">
    <field x="-2"/>
  </colFields>
  <colItems count="2">
    <i>
      <x/>
    </i>
    <i i="1">
      <x v="1"/>
    </i>
  </colItems>
  <dataFields count="2">
    <dataField name="Sum of Doller Volume per Supply" fld="7" baseField="0" baseItem="0"/>
    <dataField name="Sum of Price (USD)" fld="2" baseField="0" baseItem="0"/>
  </dataField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600-000004000000}" name="PivotTable18" cacheId="1" applyNumberFormats="0" applyBorderFormats="0" applyFontFormats="0" applyPatternFormats="0" applyAlignmentFormats="0" applyWidthHeightFormats="1" dataCaption="Values" updatedVersion="8" minRefreshableVersion="3" useAutoFormatting="1" createdVersion="8" indent="0" outline="1" outlineData="1" multipleFieldFilters="0" rowHeaderCaption="Coin Name">
  <location ref="Q114:Q115" firstHeaderRow="1" firstDataRow="1" firstDataCol="0"/>
  <pivotFields count="10">
    <pivotField showAll="0"/>
    <pivotField showAll="0"/>
    <pivotField showAll="0">
      <items count="295">
        <item x="109"/>
        <item x="208"/>
        <item x="51"/>
        <item x="111"/>
        <item x="48"/>
        <item x="286"/>
        <item x="209"/>
        <item x="21"/>
        <item x="198"/>
        <item x="113"/>
        <item x="144"/>
        <item x="70"/>
        <item x="31"/>
        <item x="288"/>
        <item x="55"/>
        <item x="150"/>
        <item x="32"/>
        <item x="39"/>
        <item x="232"/>
        <item x="118"/>
        <item x="0"/>
        <item x="227"/>
        <item x="275"/>
        <item x="17"/>
        <item x="176"/>
        <item x="235"/>
        <item x="201"/>
        <item x="95"/>
        <item x="79"/>
        <item x="233"/>
        <item x="268"/>
        <item x="97"/>
        <item x="66"/>
        <item x="185"/>
        <item x="156"/>
        <item x="174"/>
        <item x="92"/>
        <item x="178"/>
        <item x="120"/>
        <item x="57"/>
        <item x="257"/>
        <item x="152"/>
        <item x="5"/>
        <item x="284"/>
        <item x="81"/>
        <item x="126"/>
        <item x="214"/>
        <item x="77"/>
        <item x="183"/>
        <item x="129"/>
        <item x="182"/>
        <item x="99"/>
        <item x="76"/>
        <item x="250"/>
        <item x="104"/>
        <item x="65"/>
        <item x="215"/>
        <item x="259"/>
        <item x="213"/>
        <item x="49"/>
        <item x="248"/>
        <item x="148"/>
        <item x="133"/>
        <item x="224"/>
        <item x="143"/>
        <item x="72"/>
        <item x="93"/>
        <item x="96"/>
        <item x="4"/>
        <item x="101"/>
        <item x="260"/>
        <item x="236"/>
        <item x="103"/>
        <item x="146"/>
        <item x="241"/>
        <item x="163"/>
        <item x="82"/>
        <item x="258"/>
        <item x="23"/>
        <item x="281"/>
        <item x="171"/>
        <item x="247"/>
        <item x="219"/>
        <item x="274"/>
        <item x="127"/>
        <item x="161"/>
        <item x="290"/>
        <item x="40"/>
        <item x="147"/>
        <item x="87"/>
        <item x="136"/>
        <item x="253"/>
        <item x="153"/>
        <item x="6"/>
        <item x="106"/>
        <item x="287"/>
        <item x="13"/>
        <item x="192"/>
        <item x="206"/>
        <item x="78"/>
        <item x="116"/>
        <item x="180"/>
        <item x="211"/>
        <item x="228"/>
        <item x="165"/>
        <item x="181"/>
        <item x="110"/>
        <item x="42"/>
        <item x="108"/>
        <item x="130"/>
        <item x="94"/>
        <item x="67"/>
        <item x="234"/>
        <item x="278"/>
        <item x="157"/>
        <item x="22"/>
        <item x="276"/>
        <item x="172"/>
        <item x="230"/>
        <item x="45"/>
        <item x="199"/>
        <item x="169"/>
        <item x="75"/>
        <item x="91"/>
        <item x="160"/>
        <item x="244"/>
        <item x="58"/>
        <item x="30"/>
        <item x="154"/>
        <item x="277"/>
        <item x="47"/>
        <item x="16"/>
        <item x="140"/>
        <item x="279"/>
        <item x="249"/>
        <item x="194"/>
        <item x="216"/>
        <item x="265"/>
        <item x="282"/>
        <item x="245"/>
        <item x="71"/>
        <item x="195"/>
        <item x="293"/>
        <item x="29"/>
        <item x="188"/>
        <item x="63"/>
        <item x="190"/>
        <item x="222"/>
        <item x="128"/>
        <item x="141"/>
        <item x="117"/>
        <item x="115"/>
        <item x="114"/>
        <item x="46"/>
        <item x="80"/>
        <item x="134"/>
        <item x="205"/>
        <item x="155"/>
        <item x="38"/>
        <item x="3"/>
        <item x="56"/>
        <item x="34"/>
        <item x="168"/>
        <item x="262"/>
        <item x="119"/>
        <item x="74"/>
        <item x="98"/>
        <item x="64"/>
        <item x="135"/>
        <item x="285"/>
        <item x="10"/>
        <item x="54"/>
        <item x="167"/>
        <item x="203"/>
        <item x="226"/>
        <item x="212"/>
        <item x="107"/>
        <item x="28"/>
        <item x="202"/>
        <item x="239"/>
        <item x="18"/>
        <item x="196"/>
        <item x="25"/>
        <item x="261"/>
        <item x="90"/>
        <item x="26"/>
        <item x="124"/>
        <item x="125"/>
        <item x="60"/>
        <item x="41"/>
        <item x="291"/>
        <item x="229"/>
        <item x="221"/>
        <item x="37"/>
        <item x="243"/>
        <item x="270"/>
        <item x="121"/>
        <item x="53"/>
        <item x="191"/>
        <item x="15"/>
        <item x="52"/>
        <item x="256"/>
        <item x="210"/>
        <item x="12"/>
        <item x="280"/>
        <item x="83"/>
        <item x="251"/>
        <item x="27"/>
        <item x="193"/>
        <item x="88"/>
        <item x="9"/>
        <item x="151"/>
        <item x="266"/>
        <item x="1"/>
        <item x="173"/>
        <item x="200"/>
        <item x="36"/>
        <item x="137"/>
        <item x="263"/>
        <item x="242"/>
        <item x="89"/>
        <item x="68"/>
        <item x="145"/>
        <item x="289"/>
        <item x="19"/>
        <item x="177"/>
        <item x="86"/>
        <item x="272"/>
        <item x="102"/>
        <item x="255"/>
        <item x="273"/>
        <item x="100"/>
        <item x="73"/>
        <item x="164"/>
        <item x="139"/>
        <item x="179"/>
        <item x="187"/>
        <item x="85"/>
        <item x="59"/>
        <item x="197"/>
        <item x="186"/>
        <item x="123"/>
        <item x="142"/>
        <item x="138"/>
        <item x="264"/>
        <item x="271"/>
        <item x="35"/>
        <item x="69"/>
        <item x="252"/>
        <item x="237"/>
        <item x="105"/>
        <item x="269"/>
        <item x="112"/>
        <item x="223"/>
        <item x="122"/>
        <item x="20"/>
        <item x="24"/>
        <item x="204"/>
        <item x="220"/>
        <item x="132"/>
        <item x="238"/>
        <item x="131"/>
        <item x="218"/>
        <item x="217"/>
        <item x="283"/>
        <item x="246"/>
        <item x="14"/>
        <item x="240"/>
        <item x="231"/>
        <item x="7"/>
        <item x="8"/>
        <item x="62"/>
        <item x="61"/>
        <item x="207"/>
        <item x="158"/>
        <item x="175"/>
        <item x="184"/>
        <item x="43"/>
        <item x="11"/>
        <item x="254"/>
        <item x="170"/>
        <item x="50"/>
        <item x="267"/>
        <item x="292"/>
        <item x="2"/>
        <item x="162"/>
        <item x="159"/>
        <item x="44"/>
        <item x="149"/>
        <item x="189"/>
        <item x="166"/>
        <item x="225"/>
        <item x="84"/>
        <item x="33"/>
        <item t="default"/>
      </items>
    </pivotField>
    <pivotField showAll="0"/>
    <pivotField showAll="0"/>
    <pivotField showAll="0"/>
    <pivotField dataField="1" showAll="0"/>
    <pivotField showAll="0"/>
    <pivotField showAll="0"/>
    <pivotField showAll="0"/>
  </pivotFields>
  <rowItems count="1">
    <i/>
  </rowItems>
  <colItems count="1">
    <i/>
  </colItems>
  <dataFields count="1">
    <dataField name="Sum of Circulating Supply"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600-000008000000}" name="PivotTable1" cacheId="1" applyNumberFormats="0" applyBorderFormats="0" applyFontFormats="0" applyPatternFormats="0" applyAlignmentFormats="0" applyWidthHeightFormats="1" dataCaption="Values" updatedVersion="8" minRefreshableVersion="3" useAutoFormatting="1" createdVersion="8" indent="0" outline="1" outlineData="1" multipleFieldFilters="0" rowHeaderCaption="Coin Name">
  <location ref="W64:X85" firstHeaderRow="1" firstDataRow="1" firstDataCol="1"/>
  <pivotFields count="10">
    <pivotField axis="axisRow" showAll="0" measureFilter="1" sortType="descending">
      <items count="301">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axis="axisRow" showAll="0">
      <items count="300">
        <item x="169"/>
        <item x="15"/>
        <item x="107"/>
        <item x="205"/>
        <item x="253"/>
        <item x="16"/>
        <item x="14"/>
        <item x="4"/>
        <item x="53"/>
        <item x="0"/>
        <item x="1"/>
        <item x="5"/>
        <item x="9"/>
        <item x="2"/>
        <item x="11"/>
        <item x="17"/>
        <item x="18"/>
        <item x="19"/>
        <item x="21"/>
        <item x="20"/>
        <item x="10"/>
        <item x="22"/>
        <item x="23"/>
        <item x="50"/>
        <item x="24"/>
        <item x="6"/>
        <item x="7"/>
        <item x="8"/>
        <item x="25"/>
        <item x="26"/>
        <item x="88"/>
        <item x="157"/>
        <item x="34"/>
        <item x="51"/>
        <item x="36"/>
        <item x="28"/>
        <item x="43"/>
        <item x="29"/>
        <item x="30"/>
        <item x="31"/>
        <item x="32"/>
        <item x="39"/>
        <item x="40"/>
        <item x="44"/>
        <item x="27"/>
        <item x="45"/>
        <item x="46"/>
        <item x="47"/>
        <item x="48"/>
        <item x="49"/>
        <item x="41"/>
        <item x="42"/>
        <item x="35"/>
        <item x="33"/>
        <item x="38"/>
        <item x="216"/>
        <item x="54"/>
        <item x="56"/>
        <item x="57"/>
        <item x="63"/>
        <item x="296"/>
        <item x="62"/>
        <item x="60"/>
        <item x="65"/>
        <item x="64"/>
        <item x="52"/>
        <item x="70"/>
        <item x="69"/>
        <item x="68"/>
        <item x="67"/>
        <item x="58"/>
        <item x="73"/>
        <item x="77"/>
        <item x="71"/>
        <item x="74"/>
        <item x="75"/>
        <item x="76"/>
        <item x="222"/>
        <item x="78"/>
        <item x="79"/>
        <item x="80"/>
        <item x="66"/>
        <item x="292"/>
        <item x="82"/>
        <item x="132"/>
        <item x="83"/>
        <item x="81"/>
        <item x="84"/>
        <item x="85"/>
        <item x="242"/>
        <item x="87"/>
        <item x="89"/>
        <item x="91"/>
        <item x="12"/>
        <item x="90"/>
        <item x="92"/>
        <item x="93"/>
        <item x="98"/>
        <item x="94"/>
        <item x="96"/>
        <item x="97"/>
        <item x="101"/>
        <item x="102"/>
        <item x="99"/>
        <item x="171"/>
        <item x="103"/>
        <item x="104"/>
        <item x="106"/>
        <item x="100"/>
        <item x="95"/>
        <item x="108"/>
        <item x="109"/>
        <item x="118"/>
        <item x="110"/>
        <item x="120"/>
        <item x="111"/>
        <item x="112"/>
        <item x="113"/>
        <item x="114"/>
        <item x="115"/>
        <item x="116"/>
        <item x="117"/>
        <item x="122"/>
        <item x="131"/>
        <item x="125"/>
        <item x="123"/>
        <item x="126"/>
        <item x="124"/>
        <item x="127"/>
        <item x="129"/>
        <item x="130"/>
        <item x="133"/>
        <item x="134"/>
        <item x="135"/>
        <item x="136"/>
        <item x="138"/>
        <item x="137"/>
        <item x="139"/>
        <item x="140"/>
        <item x="141"/>
        <item x="142"/>
        <item x="143"/>
        <item x="201"/>
        <item x="271"/>
        <item x="146"/>
        <item x="37"/>
        <item x="147"/>
        <item x="148"/>
        <item x="149"/>
        <item x="144"/>
        <item x="152"/>
        <item x="151"/>
        <item x="153"/>
        <item x="155"/>
        <item x="159"/>
        <item x="156"/>
        <item x="160"/>
        <item x="161"/>
        <item x="163"/>
        <item x="165"/>
        <item x="150"/>
        <item x="154"/>
        <item x="167"/>
        <item x="168"/>
        <item x="158"/>
        <item x="246"/>
        <item x="164"/>
        <item x="105"/>
        <item x="175"/>
        <item x="174"/>
        <item x="3"/>
        <item x="180"/>
        <item x="179"/>
        <item x="183"/>
        <item x="182"/>
        <item x="184"/>
        <item x="177"/>
        <item x="185"/>
        <item x="186"/>
        <item x="190"/>
        <item x="193"/>
        <item x="188"/>
        <item x="191"/>
        <item x="192"/>
        <item x="194"/>
        <item x="196"/>
        <item x="197"/>
        <item x="178"/>
        <item x="198"/>
        <item x="199"/>
        <item x="217"/>
        <item x="195"/>
        <item x="202"/>
        <item x="203"/>
        <item x="189"/>
        <item x="200"/>
        <item x="181"/>
        <item x="206"/>
        <item x="207"/>
        <item x="208"/>
        <item x="210"/>
        <item x="211"/>
        <item x="212"/>
        <item x="61"/>
        <item x="72"/>
        <item x="214"/>
        <item x="215"/>
        <item x="121"/>
        <item x="218"/>
        <item x="219"/>
        <item x="162"/>
        <item x="166"/>
        <item x="220"/>
        <item x="221"/>
        <item x="224"/>
        <item x="223"/>
        <item x="267"/>
        <item x="213"/>
        <item x="209"/>
        <item x="225"/>
        <item x="226"/>
        <item x="227"/>
        <item x="228"/>
        <item x="241"/>
        <item x="234"/>
        <item x="229"/>
        <item x="232"/>
        <item x="172"/>
        <item x="233"/>
        <item x="231"/>
        <item x="55"/>
        <item x="264"/>
        <item x="236"/>
        <item x="237"/>
        <item x="239"/>
        <item x="230"/>
        <item x="240"/>
        <item x="261"/>
        <item x="244"/>
        <item x="245"/>
        <item x="247"/>
        <item x="243"/>
        <item x="248"/>
        <item x="249"/>
        <item x="259"/>
        <item x="250"/>
        <item x="251"/>
        <item x="258"/>
        <item x="260"/>
        <item x="204"/>
        <item x="263"/>
        <item x="252"/>
        <item x="265"/>
        <item x="128"/>
        <item x="266"/>
        <item x="254"/>
        <item x="262"/>
        <item x="268"/>
        <item x="270"/>
        <item x="269"/>
        <item x="277"/>
        <item x="272"/>
        <item x="273"/>
        <item x="274"/>
        <item x="86"/>
        <item x="275"/>
        <item x="276"/>
        <item x="255"/>
        <item x="187"/>
        <item x="238"/>
        <item x="278"/>
        <item x="279"/>
        <item x="281"/>
        <item x="280"/>
        <item x="282"/>
        <item x="283"/>
        <item x="284"/>
        <item x="285"/>
        <item x="291"/>
        <item x="288"/>
        <item x="286"/>
        <item x="119"/>
        <item x="287"/>
        <item x="257"/>
        <item x="290"/>
        <item x="289"/>
        <item x="235"/>
        <item x="13"/>
        <item x="59"/>
        <item x="176"/>
        <item x="170"/>
        <item x="173"/>
        <item x="293"/>
        <item x="294"/>
        <item x="295"/>
        <item x="256"/>
        <item x="297"/>
        <item x="298"/>
        <item x="145"/>
        <item t="default"/>
      </items>
    </pivotField>
    <pivotField showAll="0">
      <items count="295">
        <item x="109"/>
        <item x="208"/>
        <item x="51"/>
        <item x="111"/>
        <item x="48"/>
        <item x="286"/>
        <item x="209"/>
        <item x="21"/>
        <item x="198"/>
        <item x="113"/>
        <item x="144"/>
        <item x="70"/>
        <item x="31"/>
        <item x="288"/>
        <item x="55"/>
        <item x="150"/>
        <item x="32"/>
        <item x="39"/>
        <item x="232"/>
        <item x="118"/>
        <item x="0"/>
        <item x="227"/>
        <item x="275"/>
        <item x="17"/>
        <item x="176"/>
        <item x="235"/>
        <item x="201"/>
        <item x="95"/>
        <item x="79"/>
        <item x="233"/>
        <item x="268"/>
        <item x="97"/>
        <item x="66"/>
        <item x="185"/>
        <item x="156"/>
        <item x="174"/>
        <item x="92"/>
        <item x="178"/>
        <item x="120"/>
        <item x="57"/>
        <item x="257"/>
        <item x="152"/>
        <item x="5"/>
        <item x="284"/>
        <item x="81"/>
        <item x="126"/>
        <item x="214"/>
        <item x="77"/>
        <item x="183"/>
        <item x="129"/>
        <item x="182"/>
        <item x="99"/>
        <item x="76"/>
        <item x="250"/>
        <item x="104"/>
        <item x="65"/>
        <item x="215"/>
        <item x="259"/>
        <item x="213"/>
        <item x="49"/>
        <item x="248"/>
        <item x="148"/>
        <item x="133"/>
        <item x="224"/>
        <item x="143"/>
        <item x="72"/>
        <item x="93"/>
        <item x="96"/>
        <item x="4"/>
        <item x="101"/>
        <item x="260"/>
        <item x="236"/>
        <item x="103"/>
        <item x="146"/>
        <item x="241"/>
        <item x="163"/>
        <item x="82"/>
        <item x="258"/>
        <item x="23"/>
        <item x="281"/>
        <item x="171"/>
        <item x="247"/>
        <item x="219"/>
        <item x="274"/>
        <item x="127"/>
        <item x="161"/>
        <item x="290"/>
        <item x="40"/>
        <item x="147"/>
        <item x="87"/>
        <item x="136"/>
        <item x="253"/>
        <item x="153"/>
        <item x="6"/>
        <item x="106"/>
        <item x="287"/>
        <item x="13"/>
        <item x="192"/>
        <item x="206"/>
        <item x="78"/>
        <item x="116"/>
        <item x="180"/>
        <item x="211"/>
        <item x="228"/>
        <item x="165"/>
        <item x="181"/>
        <item x="110"/>
        <item x="42"/>
        <item x="108"/>
        <item x="130"/>
        <item x="94"/>
        <item x="67"/>
        <item x="234"/>
        <item x="278"/>
        <item x="157"/>
        <item x="22"/>
        <item x="276"/>
        <item x="172"/>
        <item x="230"/>
        <item x="45"/>
        <item x="199"/>
        <item x="169"/>
        <item x="75"/>
        <item x="91"/>
        <item x="160"/>
        <item x="244"/>
        <item x="58"/>
        <item x="30"/>
        <item x="154"/>
        <item x="277"/>
        <item x="47"/>
        <item x="16"/>
        <item x="140"/>
        <item x="279"/>
        <item x="249"/>
        <item x="194"/>
        <item x="216"/>
        <item x="265"/>
        <item x="282"/>
        <item x="245"/>
        <item x="71"/>
        <item x="195"/>
        <item x="293"/>
        <item x="29"/>
        <item x="188"/>
        <item x="63"/>
        <item x="190"/>
        <item x="222"/>
        <item x="128"/>
        <item x="141"/>
        <item x="117"/>
        <item x="115"/>
        <item x="114"/>
        <item x="46"/>
        <item x="80"/>
        <item x="134"/>
        <item x="205"/>
        <item x="155"/>
        <item x="38"/>
        <item x="3"/>
        <item x="56"/>
        <item x="34"/>
        <item x="168"/>
        <item x="262"/>
        <item x="119"/>
        <item x="74"/>
        <item x="98"/>
        <item x="64"/>
        <item x="135"/>
        <item x="285"/>
        <item x="10"/>
        <item x="54"/>
        <item x="167"/>
        <item x="203"/>
        <item x="226"/>
        <item x="212"/>
        <item x="107"/>
        <item x="28"/>
        <item x="202"/>
        <item x="239"/>
        <item x="18"/>
        <item x="196"/>
        <item x="25"/>
        <item x="261"/>
        <item x="90"/>
        <item x="26"/>
        <item x="124"/>
        <item x="125"/>
        <item x="60"/>
        <item x="41"/>
        <item x="291"/>
        <item x="229"/>
        <item x="221"/>
        <item x="37"/>
        <item x="243"/>
        <item x="270"/>
        <item x="121"/>
        <item x="53"/>
        <item x="191"/>
        <item x="15"/>
        <item x="52"/>
        <item x="256"/>
        <item x="210"/>
        <item x="12"/>
        <item x="280"/>
        <item x="83"/>
        <item x="251"/>
        <item x="27"/>
        <item x="193"/>
        <item x="88"/>
        <item x="9"/>
        <item x="151"/>
        <item x="266"/>
        <item x="1"/>
        <item x="173"/>
        <item x="200"/>
        <item x="36"/>
        <item x="137"/>
        <item x="263"/>
        <item x="242"/>
        <item x="89"/>
        <item x="68"/>
        <item x="145"/>
        <item x="289"/>
        <item x="19"/>
        <item x="177"/>
        <item x="86"/>
        <item x="272"/>
        <item x="102"/>
        <item x="255"/>
        <item x="273"/>
        <item x="100"/>
        <item x="73"/>
        <item x="164"/>
        <item x="139"/>
        <item x="179"/>
        <item x="187"/>
        <item x="85"/>
        <item x="59"/>
        <item x="197"/>
        <item x="186"/>
        <item x="123"/>
        <item x="142"/>
        <item x="138"/>
        <item x="264"/>
        <item x="271"/>
        <item x="35"/>
        <item x="69"/>
        <item x="252"/>
        <item x="237"/>
        <item x="105"/>
        <item x="269"/>
        <item x="112"/>
        <item x="223"/>
        <item x="122"/>
        <item x="20"/>
        <item x="24"/>
        <item x="204"/>
        <item x="220"/>
        <item x="132"/>
        <item x="238"/>
        <item x="131"/>
        <item x="218"/>
        <item x="217"/>
        <item x="283"/>
        <item x="246"/>
        <item x="14"/>
        <item x="240"/>
        <item x="231"/>
        <item x="7"/>
        <item x="8"/>
        <item x="62"/>
        <item x="61"/>
        <item x="207"/>
        <item x="158"/>
        <item x="175"/>
        <item x="184"/>
        <item x="43"/>
        <item x="11"/>
        <item x="254"/>
        <item x="170"/>
        <item x="50"/>
        <item x="267"/>
        <item x="292"/>
        <item x="2"/>
        <item x="162"/>
        <item x="159"/>
        <item x="44"/>
        <item x="149"/>
        <item x="189"/>
        <item x="166"/>
        <item x="225"/>
        <item x="84"/>
        <item x="33"/>
        <item t="default"/>
      </items>
    </pivotField>
    <pivotField dataField="1" showAll="0"/>
    <pivotField showAll="0"/>
    <pivotField showAll="0"/>
    <pivotField showAll="0"/>
    <pivotField showAll="0"/>
    <pivotField showAll="0"/>
    <pivotField showAll="0"/>
  </pivotFields>
  <rowFields count="2">
    <field x="0"/>
    <field x="1"/>
  </rowFields>
  <rowItems count="21">
    <i>
      <x v="29"/>
    </i>
    <i r="1">
      <x v="259"/>
    </i>
    <i>
      <x v="80"/>
    </i>
    <i r="1">
      <x v="208"/>
    </i>
    <i>
      <x v="107"/>
    </i>
    <i r="1">
      <x v="183"/>
    </i>
    <i>
      <x v="114"/>
    </i>
    <i r="1">
      <x v="177"/>
    </i>
    <i>
      <x v="125"/>
    </i>
    <i r="1">
      <x v="169"/>
    </i>
    <i>
      <x v="147"/>
    </i>
    <i r="1">
      <x v="150"/>
    </i>
    <i>
      <x v="192"/>
    </i>
    <i r="1">
      <x v="2"/>
    </i>
    <i>
      <x v="204"/>
    </i>
    <i r="1">
      <x v="109"/>
    </i>
    <i>
      <x v="278"/>
    </i>
    <i r="1">
      <x v="18"/>
    </i>
    <i>
      <x v="287"/>
    </i>
    <i r="1">
      <x v="93"/>
    </i>
    <i t="grand">
      <x/>
    </i>
  </rowItems>
  <colItems count="1">
    <i/>
  </colItems>
  <dataFields count="1">
    <dataField name="Sum of 1h Change (%)" fld="3" baseField="0" baseItem="0"/>
  </dataFields>
  <pivotTableStyleInfo name="PivotStyleLight16"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600-000007000000}" name="PivotTable9" cacheId="1" applyNumberFormats="0" applyBorderFormats="0" applyFontFormats="0" applyPatternFormats="0" applyAlignmentFormats="0" applyWidthHeightFormats="1" dataCaption="Values" updatedVersion="8" minRefreshableVersion="3" useAutoFormatting="1" createdVersion="8" indent="0" outline="1" outlineData="1" multipleFieldFilters="0" chartFormat="3" rowHeaderCaption="Coin Name">
  <location ref="A2:B13" firstHeaderRow="1" firstDataRow="1" firstDataCol="1"/>
  <pivotFields count="10">
    <pivotField axis="axisRow" showAll="0" measureFilter="1">
      <items count="3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t="default"/>
      </items>
    </pivotField>
    <pivotField showAll="0"/>
    <pivotField dataField="1" showAll="0">
      <items count="295">
        <item x="109"/>
        <item x="208"/>
        <item x="51"/>
        <item x="111"/>
        <item x="48"/>
        <item x="286"/>
        <item x="209"/>
        <item x="21"/>
        <item x="198"/>
        <item x="113"/>
        <item x="144"/>
        <item x="70"/>
        <item x="31"/>
        <item x="288"/>
        <item x="55"/>
        <item x="150"/>
        <item x="32"/>
        <item x="39"/>
        <item x="232"/>
        <item x="118"/>
        <item x="0"/>
        <item x="227"/>
        <item x="275"/>
        <item x="17"/>
        <item x="176"/>
        <item x="235"/>
        <item x="201"/>
        <item x="95"/>
        <item x="79"/>
        <item x="233"/>
        <item x="268"/>
        <item x="97"/>
        <item x="66"/>
        <item x="185"/>
        <item x="156"/>
        <item x="174"/>
        <item x="92"/>
        <item x="178"/>
        <item x="120"/>
        <item x="57"/>
        <item x="257"/>
        <item x="152"/>
        <item x="5"/>
        <item x="284"/>
        <item x="81"/>
        <item x="126"/>
        <item x="214"/>
        <item x="77"/>
        <item x="183"/>
        <item x="129"/>
        <item x="182"/>
        <item x="99"/>
        <item x="76"/>
        <item x="250"/>
        <item x="104"/>
        <item x="65"/>
        <item x="215"/>
        <item x="259"/>
        <item x="213"/>
        <item x="49"/>
        <item x="248"/>
        <item x="148"/>
        <item x="133"/>
        <item x="224"/>
        <item x="143"/>
        <item x="72"/>
        <item x="93"/>
        <item x="96"/>
        <item x="4"/>
        <item x="101"/>
        <item x="260"/>
        <item x="236"/>
        <item x="103"/>
        <item x="146"/>
        <item x="241"/>
        <item x="163"/>
        <item x="82"/>
        <item x="258"/>
        <item x="23"/>
        <item x="281"/>
        <item x="171"/>
        <item x="247"/>
        <item x="219"/>
        <item x="274"/>
        <item x="127"/>
        <item x="161"/>
        <item x="290"/>
        <item x="40"/>
        <item x="147"/>
        <item x="87"/>
        <item x="136"/>
        <item x="253"/>
        <item x="153"/>
        <item x="6"/>
        <item x="106"/>
        <item x="287"/>
        <item x="13"/>
        <item x="192"/>
        <item x="206"/>
        <item x="78"/>
        <item x="116"/>
        <item x="180"/>
        <item x="211"/>
        <item x="228"/>
        <item x="165"/>
        <item x="181"/>
        <item x="110"/>
        <item x="42"/>
        <item x="108"/>
        <item x="130"/>
        <item x="94"/>
        <item x="67"/>
        <item x="234"/>
        <item x="278"/>
        <item x="157"/>
        <item x="22"/>
        <item x="276"/>
        <item x="172"/>
        <item x="230"/>
        <item x="45"/>
        <item x="199"/>
        <item x="169"/>
        <item x="75"/>
        <item x="91"/>
        <item x="160"/>
        <item x="244"/>
        <item x="58"/>
        <item x="30"/>
        <item x="154"/>
        <item x="277"/>
        <item x="47"/>
        <item x="16"/>
        <item x="140"/>
        <item x="279"/>
        <item x="249"/>
        <item x="194"/>
        <item x="216"/>
        <item x="265"/>
        <item x="282"/>
        <item x="245"/>
        <item x="71"/>
        <item x="195"/>
        <item x="293"/>
        <item x="29"/>
        <item x="188"/>
        <item x="63"/>
        <item x="190"/>
        <item x="222"/>
        <item x="128"/>
        <item x="141"/>
        <item x="117"/>
        <item x="115"/>
        <item x="114"/>
        <item x="46"/>
        <item x="80"/>
        <item x="134"/>
        <item x="205"/>
        <item x="155"/>
        <item x="38"/>
        <item x="3"/>
        <item x="56"/>
        <item x="34"/>
        <item x="168"/>
        <item x="262"/>
        <item x="119"/>
        <item x="74"/>
        <item x="98"/>
        <item x="64"/>
        <item x="135"/>
        <item x="285"/>
        <item x="10"/>
        <item x="54"/>
        <item x="167"/>
        <item x="203"/>
        <item x="226"/>
        <item x="212"/>
        <item x="107"/>
        <item x="28"/>
        <item x="202"/>
        <item x="239"/>
        <item x="18"/>
        <item x="196"/>
        <item x="25"/>
        <item x="261"/>
        <item x="90"/>
        <item x="26"/>
        <item x="124"/>
        <item x="125"/>
        <item x="60"/>
        <item x="41"/>
        <item x="291"/>
        <item x="229"/>
        <item x="221"/>
        <item x="37"/>
        <item x="243"/>
        <item x="270"/>
        <item x="121"/>
        <item x="53"/>
        <item x="191"/>
        <item x="15"/>
        <item x="52"/>
        <item x="256"/>
        <item x="210"/>
        <item x="12"/>
        <item x="280"/>
        <item x="83"/>
        <item x="251"/>
        <item x="27"/>
        <item x="193"/>
        <item x="88"/>
        <item x="9"/>
        <item x="151"/>
        <item x="266"/>
        <item x="1"/>
        <item x="173"/>
        <item x="200"/>
        <item x="36"/>
        <item x="137"/>
        <item x="263"/>
        <item x="242"/>
        <item x="89"/>
        <item x="68"/>
        <item x="145"/>
        <item x="289"/>
        <item x="19"/>
        <item x="177"/>
        <item x="86"/>
        <item x="272"/>
        <item x="102"/>
        <item x="255"/>
        <item x="273"/>
        <item x="100"/>
        <item x="73"/>
        <item x="164"/>
        <item x="139"/>
        <item x="179"/>
        <item x="187"/>
        <item x="85"/>
        <item x="59"/>
        <item x="197"/>
        <item x="186"/>
        <item x="123"/>
        <item x="142"/>
        <item x="138"/>
        <item x="264"/>
        <item x="271"/>
        <item x="35"/>
        <item x="69"/>
        <item x="252"/>
        <item x="237"/>
        <item x="105"/>
        <item x="269"/>
        <item x="112"/>
        <item x="223"/>
        <item x="122"/>
        <item x="20"/>
        <item x="24"/>
        <item x="204"/>
        <item x="220"/>
        <item x="132"/>
        <item x="238"/>
        <item x="131"/>
        <item x="218"/>
        <item x="217"/>
        <item x="283"/>
        <item x="246"/>
        <item x="14"/>
        <item x="240"/>
        <item x="231"/>
        <item x="7"/>
        <item x="8"/>
        <item x="62"/>
        <item x="61"/>
        <item x="207"/>
        <item x="158"/>
        <item x="175"/>
        <item x="184"/>
        <item x="43"/>
        <item x="11"/>
        <item x="254"/>
        <item x="170"/>
        <item x="50"/>
        <item x="267"/>
        <item x="292"/>
        <item x="2"/>
        <item x="162"/>
        <item x="159"/>
        <item x="44"/>
        <item x="149"/>
        <item x="189"/>
        <item x="166"/>
        <item x="225"/>
        <item x="84"/>
        <item x="33"/>
        <item t="default"/>
      </items>
    </pivotField>
    <pivotField showAll="0"/>
    <pivotField showAll="0"/>
    <pivotField showAll="0"/>
    <pivotField showAll="0"/>
    <pivotField showAll="0"/>
    <pivotField showAll="0"/>
    <pivotField showAll="0"/>
  </pivotFields>
  <rowFields count="1">
    <field x="0"/>
  </rowFields>
  <rowItems count="11">
    <i>
      <x v="2"/>
    </i>
    <i>
      <x v="33"/>
    </i>
    <i>
      <x v="44"/>
    </i>
    <i>
      <x v="84"/>
    </i>
    <i>
      <x v="149"/>
    </i>
    <i>
      <x v="159"/>
    </i>
    <i>
      <x v="162"/>
    </i>
    <i>
      <x v="166"/>
    </i>
    <i>
      <x v="189"/>
    </i>
    <i>
      <x v="225"/>
    </i>
    <i t="grand">
      <x/>
    </i>
  </rowItems>
  <colItems count="1">
    <i/>
  </colItems>
  <dataFields count="1">
    <dataField name="Sum of Price (USD)" fld="2" baseField="0" baseItem="0"/>
  </dataFields>
  <chartFormats count="2">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600-000006000000}" name="PivotTable16" cacheId="1" applyNumberFormats="0" applyBorderFormats="0" applyFontFormats="0" applyPatternFormats="0" applyAlignmentFormats="0" applyWidthHeightFormats="1" dataCaption="Values" updatedVersion="8" minRefreshableVersion="3" useAutoFormatting="1" createdVersion="8" indent="0" outline="1" outlineData="1" multipleFieldFilters="0" rowHeaderCaption="Coin Name">
  <location ref="Q108:Q109" firstHeaderRow="1" firstDataRow="1" firstDataCol="0"/>
  <pivotFields count="10">
    <pivotField showAll="0" sortType="descending">
      <autoSortScope>
        <pivotArea dataOnly="0" outline="0" fieldPosition="0">
          <references count="1">
            <reference field="4294967294" count="1" selected="0">
              <x v="0"/>
            </reference>
          </references>
        </pivotArea>
      </autoSortScope>
    </pivotField>
    <pivotField showAll="0"/>
    <pivotField showAll="0">
      <items count="295">
        <item x="109"/>
        <item x="208"/>
        <item x="51"/>
        <item x="111"/>
        <item x="48"/>
        <item x="286"/>
        <item x="209"/>
        <item x="21"/>
        <item x="198"/>
        <item x="113"/>
        <item x="144"/>
        <item x="70"/>
        <item x="31"/>
        <item x="288"/>
        <item x="55"/>
        <item x="150"/>
        <item x="32"/>
        <item x="39"/>
        <item x="232"/>
        <item x="118"/>
        <item x="0"/>
        <item x="227"/>
        <item x="275"/>
        <item x="17"/>
        <item x="176"/>
        <item x="235"/>
        <item x="201"/>
        <item x="95"/>
        <item x="79"/>
        <item x="233"/>
        <item x="268"/>
        <item x="97"/>
        <item x="66"/>
        <item x="185"/>
        <item x="156"/>
        <item x="174"/>
        <item x="92"/>
        <item x="178"/>
        <item x="120"/>
        <item x="57"/>
        <item x="257"/>
        <item x="152"/>
        <item x="5"/>
        <item x="284"/>
        <item x="81"/>
        <item x="126"/>
        <item x="214"/>
        <item x="77"/>
        <item x="183"/>
        <item x="129"/>
        <item x="182"/>
        <item x="99"/>
        <item x="76"/>
        <item x="250"/>
        <item x="104"/>
        <item x="65"/>
        <item x="215"/>
        <item x="259"/>
        <item x="213"/>
        <item x="49"/>
        <item x="248"/>
        <item x="148"/>
        <item x="133"/>
        <item x="224"/>
        <item x="143"/>
        <item x="72"/>
        <item x="93"/>
        <item x="96"/>
        <item x="4"/>
        <item x="101"/>
        <item x="260"/>
        <item x="236"/>
        <item x="103"/>
        <item x="146"/>
        <item x="241"/>
        <item x="163"/>
        <item x="82"/>
        <item x="258"/>
        <item x="23"/>
        <item x="281"/>
        <item x="171"/>
        <item x="247"/>
        <item x="219"/>
        <item x="274"/>
        <item x="127"/>
        <item x="161"/>
        <item x="290"/>
        <item x="40"/>
        <item x="147"/>
        <item x="87"/>
        <item x="136"/>
        <item x="253"/>
        <item x="153"/>
        <item x="6"/>
        <item x="106"/>
        <item x="287"/>
        <item x="13"/>
        <item x="192"/>
        <item x="206"/>
        <item x="78"/>
        <item x="116"/>
        <item x="180"/>
        <item x="211"/>
        <item x="228"/>
        <item x="165"/>
        <item x="181"/>
        <item x="110"/>
        <item x="42"/>
        <item x="108"/>
        <item x="130"/>
        <item x="94"/>
        <item x="67"/>
        <item x="234"/>
        <item x="278"/>
        <item x="157"/>
        <item x="22"/>
        <item x="276"/>
        <item x="172"/>
        <item x="230"/>
        <item x="45"/>
        <item x="199"/>
        <item x="169"/>
        <item x="75"/>
        <item x="91"/>
        <item x="160"/>
        <item x="244"/>
        <item x="58"/>
        <item x="30"/>
        <item x="154"/>
        <item x="277"/>
        <item x="47"/>
        <item x="16"/>
        <item x="140"/>
        <item x="279"/>
        <item x="249"/>
        <item x="194"/>
        <item x="216"/>
        <item x="265"/>
        <item x="282"/>
        <item x="245"/>
        <item x="71"/>
        <item x="195"/>
        <item x="293"/>
        <item x="29"/>
        <item x="188"/>
        <item x="63"/>
        <item x="190"/>
        <item x="222"/>
        <item x="128"/>
        <item x="141"/>
        <item x="117"/>
        <item x="115"/>
        <item x="114"/>
        <item x="46"/>
        <item x="80"/>
        <item x="134"/>
        <item x="205"/>
        <item x="155"/>
        <item x="38"/>
        <item x="3"/>
        <item x="56"/>
        <item x="34"/>
        <item x="168"/>
        <item x="262"/>
        <item x="119"/>
        <item x="74"/>
        <item x="98"/>
        <item x="64"/>
        <item x="135"/>
        <item x="285"/>
        <item x="10"/>
        <item x="54"/>
        <item x="167"/>
        <item x="203"/>
        <item x="226"/>
        <item x="212"/>
        <item x="107"/>
        <item x="28"/>
        <item x="202"/>
        <item x="239"/>
        <item x="18"/>
        <item x="196"/>
        <item x="25"/>
        <item x="261"/>
        <item x="90"/>
        <item x="26"/>
        <item x="124"/>
        <item x="125"/>
        <item x="60"/>
        <item x="41"/>
        <item x="291"/>
        <item x="229"/>
        <item x="221"/>
        <item x="37"/>
        <item x="243"/>
        <item x="270"/>
        <item x="121"/>
        <item x="53"/>
        <item x="191"/>
        <item x="15"/>
        <item x="52"/>
        <item x="256"/>
        <item x="210"/>
        <item x="12"/>
        <item x="280"/>
        <item x="83"/>
        <item x="251"/>
        <item x="27"/>
        <item x="193"/>
        <item x="88"/>
        <item x="9"/>
        <item x="151"/>
        <item x="266"/>
        <item x="1"/>
        <item x="173"/>
        <item x="200"/>
        <item x="36"/>
        <item x="137"/>
        <item x="263"/>
        <item x="242"/>
        <item x="89"/>
        <item x="68"/>
        <item x="145"/>
        <item x="289"/>
        <item x="19"/>
        <item x="177"/>
        <item x="86"/>
        <item x="272"/>
        <item x="102"/>
        <item x="255"/>
        <item x="273"/>
        <item x="100"/>
        <item x="73"/>
        <item x="164"/>
        <item x="139"/>
        <item x="179"/>
        <item x="187"/>
        <item x="85"/>
        <item x="59"/>
        <item x="197"/>
        <item x="186"/>
        <item x="123"/>
        <item x="142"/>
        <item x="138"/>
        <item x="264"/>
        <item x="271"/>
        <item x="35"/>
        <item x="69"/>
        <item x="252"/>
        <item x="237"/>
        <item x="105"/>
        <item x="269"/>
        <item x="112"/>
        <item x="223"/>
        <item x="122"/>
        <item x="20"/>
        <item x="24"/>
        <item x="204"/>
        <item x="220"/>
        <item x="132"/>
        <item x="238"/>
        <item x="131"/>
        <item x="218"/>
        <item x="217"/>
        <item x="283"/>
        <item x="246"/>
        <item x="14"/>
        <item x="240"/>
        <item x="231"/>
        <item x="7"/>
        <item x="8"/>
        <item x="62"/>
        <item x="61"/>
        <item x="207"/>
        <item x="158"/>
        <item x="175"/>
        <item x="184"/>
        <item x="43"/>
        <item x="11"/>
        <item x="254"/>
        <item x="170"/>
        <item x="50"/>
        <item x="267"/>
        <item x="292"/>
        <item x="2"/>
        <item x="162"/>
        <item x="159"/>
        <item x="44"/>
        <item x="149"/>
        <item x="189"/>
        <item x="166"/>
        <item x="225"/>
        <item x="84"/>
        <item x="33"/>
        <item t="default"/>
      </items>
    </pivotField>
    <pivotField showAll="0"/>
    <pivotField dataField="1" showAll="0"/>
    <pivotField showAll="0"/>
    <pivotField showAll="0"/>
    <pivotField showAll="0"/>
    <pivotField showAll="0"/>
    <pivotField showAll="0"/>
  </pivotFields>
  <rowItems count="1">
    <i/>
  </rowItems>
  <colItems count="1">
    <i/>
  </colItems>
  <dataFields count="1">
    <dataField name="Sum of Market Cap"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600-000009000000}" name="PivotTable17" cacheId="1" applyNumberFormats="0" applyBorderFormats="0" applyFontFormats="0" applyPatternFormats="0" applyAlignmentFormats="0" applyWidthHeightFormats="1" dataCaption="Values" updatedVersion="8" minRefreshableVersion="3" useAutoFormatting="1" createdVersion="8" indent="0" outline="1" outlineData="1" multipleFieldFilters="0" rowHeaderCaption="Coin Name">
  <location ref="Q111:Q112" firstHeaderRow="1" firstDataRow="1" firstDataCol="0"/>
  <pivotFields count="10">
    <pivotField showAll="0"/>
    <pivotField showAll="0"/>
    <pivotField dataField="1" showAll="0">
      <items count="295">
        <item x="109"/>
        <item x="208"/>
        <item x="51"/>
        <item x="111"/>
        <item x="48"/>
        <item x="286"/>
        <item x="209"/>
        <item x="21"/>
        <item x="198"/>
        <item x="113"/>
        <item x="144"/>
        <item x="70"/>
        <item x="31"/>
        <item x="288"/>
        <item x="55"/>
        <item x="150"/>
        <item x="32"/>
        <item x="39"/>
        <item x="232"/>
        <item x="118"/>
        <item x="0"/>
        <item x="227"/>
        <item x="275"/>
        <item x="17"/>
        <item x="176"/>
        <item x="235"/>
        <item x="201"/>
        <item x="95"/>
        <item x="79"/>
        <item x="233"/>
        <item x="268"/>
        <item x="97"/>
        <item x="66"/>
        <item x="185"/>
        <item x="156"/>
        <item x="174"/>
        <item x="92"/>
        <item x="178"/>
        <item x="120"/>
        <item x="57"/>
        <item x="257"/>
        <item x="152"/>
        <item x="5"/>
        <item x="284"/>
        <item x="81"/>
        <item x="126"/>
        <item x="214"/>
        <item x="77"/>
        <item x="183"/>
        <item x="129"/>
        <item x="182"/>
        <item x="99"/>
        <item x="76"/>
        <item x="250"/>
        <item x="104"/>
        <item x="65"/>
        <item x="215"/>
        <item x="259"/>
        <item x="213"/>
        <item x="49"/>
        <item x="248"/>
        <item x="148"/>
        <item x="133"/>
        <item x="224"/>
        <item x="143"/>
        <item x="72"/>
        <item x="93"/>
        <item x="96"/>
        <item x="4"/>
        <item x="101"/>
        <item x="260"/>
        <item x="236"/>
        <item x="103"/>
        <item x="146"/>
        <item x="241"/>
        <item x="163"/>
        <item x="82"/>
        <item x="258"/>
        <item x="23"/>
        <item x="281"/>
        <item x="171"/>
        <item x="247"/>
        <item x="219"/>
        <item x="274"/>
        <item x="127"/>
        <item x="161"/>
        <item x="290"/>
        <item x="40"/>
        <item x="147"/>
        <item x="87"/>
        <item x="136"/>
        <item x="253"/>
        <item x="153"/>
        <item x="6"/>
        <item x="106"/>
        <item x="287"/>
        <item x="13"/>
        <item x="192"/>
        <item x="206"/>
        <item x="78"/>
        <item x="116"/>
        <item x="180"/>
        <item x="211"/>
        <item x="228"/>
        <item x="165"/>
        <item x="181"/>
        <item x="110"/>
        <item x="42"/>
        <item x="108"/>
        <item x="130"/>
        <item x="94"/>
        <item x="67"/>
        <item x="234"/>
        <item x="278"/>
        <item x="157"/>
        <item x="22"/>
        <item x="276"/>
        <item x="172"/>
        <item x="230"/>
        <item x="45"/>
        <item x="199"/>
        <item x="169"/>
        <item x="75"/>
        <item x="91"/>
        <item x="160"/>
        <item x="244"/>
        <item x="58"/>
        <item x="30"/>
        <item x="154"/>
        <item x="277"/>
        <item x="47"/>
        <item x="16"/>
        <item x="140"/>
        <item x="279"/>
        <item x="249"/>
        <item x="194"/>
        <item x="216"/>
        <item x="265"/>
        <item x="282"/>
        <item x="245"/>
        <item x="71"/>
        <item x="195"/>
        <item x="293"/>
        <item x="29"/>
        <item x="188"/>
        <item x="63"/>
        <item x="190"/>
        <item x="222"/>
        <item x="128"/>
        <item x="141"/>
        <item x="117"/>
        <item x="115"/>
        <item x="114"/>
        <item x="46"/>
        <item x="80"/>
        <item x="134"/>
        <item x="205"/>
        <item x="155"/>
        <item x="38"/>
        <item x="3"/>
        <item x="56"/>
        <item x="34"/>
        <item x="168"/>
        <item x="262"/>
        <item x="119"/>
        <item x="74"/>
        <item x="98"/>
        <item x="64"/>
        <item x="135"/>
        <item x="285"/>
        <item x="10"/>
        <item x="54"/>
        <item x="167"/>
        <item x="203"/>
        <item x="226"/>
        <item x="212"/>
        <item x="107"/>
        <item x="28"/>
        <item x="202"/>
        <item x="239"/>
        <item x="18"/>
        <item x="196"/>
        <item x="25"/>
        <item x="261"/>
        <item x="90"/>
        <item x="26"/>
        <item x="124"/>
        <item x="125"/>
        <item x="60"/>
        <item x="41"/>
        <item x="291"/>
        <item x="229"/>
        <item x="221"/>
        <item x="37"/>
        <item x="243"/>
        <item x="270"/>
        <item x="121"/>
        <item x="53"/>
        <item x="191"/>
        <item x="15"/>
        <item x="52"/>
        <item x="256"/>
        <item x="210"/>
        <item x="12"/>
        <item x="280"/>
        <item x="83"/>
        <item x="251"/>
        <item x="27"/>
        <item x="193"/>
        <item x="88"/>
        <item x="9"/>
        <item x="151"/>
        <item x="266"/>
        <item x="1"/>
        <item x="173"/>
        <item x="200"/>
        <item x="36"/>
        <item x="137"/>
        <item x="263"/>
        <item x="242"/>
        <item x="89"/>
        <item x="68"/>
        <item x="145"/>
        <item x="289"/>
        <item x="19"/>
        <item x="177"/>
        <item x="86"/>
        <item x="272"/>
        <item x="102"/>
        <item x="255"/>
        <item x="273"/>
        <item x="100"/>
        <item x="73"/>
        <item x="164"/>
        <item x="139"/>
        <item x="179"/>
        <item x="187"/>
        <item x="85"/>
        <item x="59"/>
        <item x="197"/>
        <item x="186"/>
        <item x="123"/>
        <item x="142"/>
        <item x="138"/>
        <item x="264"/>
        <item x="271"/>
        <item x="35"/>
        <item x="69"/>
        <item x="252"/>
        <item x="237"/>
        <item x="105"/>
        <item x="269"/>
        <item x="112"/>
        <item x="223"/>
        <item x="122"/>
        <item x="20"/>
        <item x="24"/>
        <item x="204"/>
        <item x="220"/>
        <item x="132"/>
        <item x="238"/>
        <item x="131"/>
        <item x="218"/>
        <item x="217"/>
        <item x="283"/>
        <item x="246"/>
        <item x="14"/>
        <item x="240"/>
        <item x="231"/>
        <item x="7"/>
        <item x="8"/>
        <item x="62"/>
        <item x="61"/>
        <item x="207"/>
        <item x="158"/>
        <item x="175"/>
        <item x="184"/>
        <item x="43"/>
        <item x="11"/>
        <item x="254"/>
        <item x="170"/>
        <item x="50"/>
        <item x="267"/>
        <item x="292"/>
        <item x="2"/>
        <item x="162"/>
        <item x="159"/>
        <item x="44"/>
        <item x="149"/>
        <item x="189"/>
        <item x="166"/>
        <item x="225"/>
        <item x="84"/>
        <item x="33"/>
        <item t="default"/>
      </items>
    </pivotField>
    <pivotField showAll="0"/>
    <pivotField showAll="0"/>
    <pivotField showAll="0"/>
    <pivotField showAll="0"/>
    <pivotField showAll="0"/>
    <pivotField showAll="0"/>
    <pivotField showAll="0"/>
  </pivotFields>
  <rowItems count="1">
    <i/>
  </rowItems>
  <colItems count="1">
    <i/>
  </colItems>
  <dataFields count="1">
    <dataField name="Sum of Price (USD)"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5000000}" name="PivotTable13" cacheId="1" applyNumberFormats="0" applyBorderFormats="0" applyFontFormats="0" applyPatternFormats="0" applyAlignmentFormats="0" applyWidthHeightFormats="1" dataCaption="Values" updatedVersion="8" minRefreshableVersion="3" useAutoFormatting="1" createdVersion="8" indent="0" outline="1" outlineData="1" multipleFieldFilters="0" rowHeaderCaption="Coin Name">
  <location ref="A57:B358" firstHeaderRow="1" firstDataRow="1" firstDataCol="1"/>
  <pivotFields count="10">
    <pivotField axis="axisRow" showAll="0" sortType="descending">
      <items count="3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t="default"/>
      </items>
      <autoSortScope>
        <pivotArea dataOnly="0" outline="0" fieldPosition="0">
          <references count="1">
            <reference field="4294967294" count="1" selected="0">
              <x v="0"/>
            </reference>
          </references>
        </pivotArea>
      </autoSortScope>
    </pivotField>
    <pivotField showAll="0"/>
    <pivotField showAll="0">
      <items count="295">
        <item x="109"/>
        <item x="208"/>
        <item x="51"/>
        <item x="111"/>
        <item x="48"/>
        <item x="286"/>
        <item x="209"/>
        <item x="21"/>
        <item x="198"/>
        <item x="113"/>
        <item x="144"/>
        <item x="70"/>
        <item x="31"/>
        <item x="288"/>
        <item x="55"/>
        <item x="150"/>
        <item x="32"/>
        <item x="39"/>
        <item x="232"/>
        <item x="118"/>
        <item x="0"/>
        <item x="227"/>
        <item x="275"/>
        <item x="17"/>
        <item x="176"/>
        <item x="235"/>
        <item x="201"/>
        <item x="95"/>
        <item x="79"/>
        <item x="233"/>
        <item x="268"/>
        <item x="97"/>
        <item x="66"/>
        <item x="185"/>
        <item x="156"/>
        <item x="174"/>
        <item x="92"/>
        <item x="178"/>
        <item x="120"/>
        <item x="57"/>
        <item x="257"/>
        <item x="152"/>
        <item x="5"/>
        <item x="284"/>
        <item x="81"/>
        <item x="126"/>
        <item x="214"/>
        <item x="77"/>
        <item x="183"/>
        <item x="129"/>
        <item x="182"/>
        <item x="99"/>
        <item x="76"/>
        <item x="250"/>
        <item x="104"/>
        <item x="65"/>
        <item x="215"/>
        <item x="259"/>
        <item x="213"/>
        <item x="49"/>
        <item x="248"/>
        <item x="148"/>
        <item x="133"/>
        <item x="224"/>
        <item x="143"/>
        <item x="72"/>
        <item x="93"/>
        <item x="96"/>
        <item x="4"/>
        <item x="101"/>
        <item x="260"/>
        <item x="236"/>
        <item x="103"/>
        <item x="146"/>
        <item x="241"/>
        <item x="163"/>
        <item x="82"/>
        <item x="258"/>
        <item x="23"/>
        <item x="281"/>
        <item x="171"/>
        <item x="247"/>
        <item x="219"/>
        <item x="274"/>
        <item x="127"/>
        <item x="161"/>
        <item x="290"/>
        <item x="40"/>
        <item x="147"/>
        <item x="87"/>
        <item x="136"/>
        <item x="253"/>
        <item x="153"/>
        <item x="6"/>
        <item x="106"/>
        <item x="287"/>
        <item x="13"/>
        <item x="192"/>
        <item x="206"/>
        <item x="78"/>
        <item x="116"/>
        <item x="180"/>
        <item x="211"/>
        <item x="228"/>
        <item x="165"/>
        <item x="181"/>
        <item x="110"/>
        <item x="42"/>
        <item x="108"/>
        <item x="130"/>
        <item x="94"/>
        <item x="67"/>
        <item x="234"/>
        <item x="278"/>
        <item x="157"/>
        <item x="22"/>
        <item x="276"/>
        <item x="172"/>
        <item x="230"/>
        <item x="45"/>
        <item x="199"/>
        <item x="169"/>
        <item x="75"/>
        <item x="91"/>
        <item x="160"/>
        <item x="244"/>
        <item x="58"/>
        <item x="30"/>
        <item x="154"/>
        <item x="277"/>
        <item x="47"/>
        <item x="16"/>
        <item x="140"/>
        <item x="279"/>
        <item x="249"/>
        <item x="194"/>
        <item x="216"/>
        <item x="265"/>
        <item x="282"/>
        <item x="245"/>
        <item x="71"/>
        <item x="195"/>
        <item x="293"/>
        <item x="29"/>
        <item x="188"/>
        <item x="63"/>
        <item x="190"/>
        <item x="222"/>
        <item x="128"/>
        <item x="141"/>
        <item x="117"/>
        <item x="115"/>
        <item x="114"/>
        <item x="46"/>
        <item x="80"/>
        <item x="134"/>
        <item x="205"/>
        <item x="155"/>
        <item x="38"/>
        <item x="3"/>
        <item x="56"/>
        <item x="34"/>
        <item x="168"/>
        <item x="262"/>
        <item x="119"/>
        <item x="74"/>
        <item x="98"/>
        <item x="64"/>
        <item x="135"/>
        <item x="285"/>
        <item x="10"/>
        <item x="54"/>
        <item x="167"/>
        <item x="203"/>
        <item x="226"/>
        <item x="212"/>
        <item x="107"/>
        <item x="28"/>
        <item x="202"/>
        <item x="239"/>
        <item x="18"/>
        <item x="196"/>
        <item x="25"/>
        <item x="261"/>
        <item x="90"/>
        <item x="26"/>
        <item x="124"/>
        <item x="125"/>
        <item x="60"/>
        <item x="41"/>
        <item x="291"/>
        <item x="229"/>
        <item x="221"/>
        <item x="37"/>
        <item x="243"/>
        <item x="270"/>
        <item x="121"/>
        <item x="53"/>
        <item x="191"/>
        <item x="15"/>
        <item x="52"/>
        <item x="256"/>
        <item x="210"/>
        <item x="12"/>
        <item x="280"/>
        <item x="83"/>
        <item x="251"/>
        <item x="27"/>
        <item x="193"/>
        <item x="88"/>
        <item x="9"/>
        <item x="151"/>
        <item x="266"/>
        <item x="1"/>
        <item x="173"/>
        <item x="200"/>
        <item x="36"/>
        <item x="137"/>
        <item x="263"/>
        <item x="242"/>
        <item x="89"/>
        <item x="68"/>
        <item x="145"/>
        <item x="289"/>
        <item x="19"/>
        <item x="177"/>
        <item x="86"/>
        <item x="272"/>
        <item x="102"/>
        <item x="255"/>
        <item x="273"/>
        <item x="100"/>
        <item x="73"/>
        <item x="164"/>
        <item x="139"/>
        <item x="179"/>
        <item x="187"/>
        <item x="85"/>
        <item x="59"/>
        <item x="197"/>
        <item x="186"/>
        <item x="123"/>
        <item x="142"/>
        <item x="138"/>
        <item x="264"/>
        <item x="271"/>
        <item x="35"/>
        <item x="69"/>
        <item x="252"/>
        <item x="237"/>
        <item x="105"/>
        <item x="269"/>
        <item x="112"/>
        <item x="223"/>
        <item x="122"/>
        <item x="20"/>
        <item x="24"/>
        <item x="204"/>
        <item x="220"/>
        <item x="132"/>
        <item x="238"/>
        <item x="131"/>
        <item x="218"/>
        <item x="217"/>
        <item x="283"/>
        <item x="246"/>
        <item x="14"/>
        <item x="240"/>
        <item x="231"/>
        <item x="7"/>
        <item x="8"/>
        <item x="62"/>
        <item x="61"/>
        <item x="207"/>
        <item x="158"/>
        <item x="175"/>
        <item x="184"/>
        <item x="43"/>
        <item x="11"/>
        <item x="254"/>
        <item x="170"/>
        <item x="50"/>
        <item x="267"/>
        <item x="292"/>
        <item x="2"/>
        <item x="162"/>
        <item x="159"/>
        <item x="44"/>
        <item x="149"/>
        <item x="189"/>
        <item x="166"/>
        <item x="225"/>
        <item x="84"/>
        <item x="33"/>
        <item t="default"/>
      </items>
    </pivotField>
    <pivotField showAll="0"/>
    <pivotField dataField="1" showAll="0"/>
    <pivotField showAll="0"/>
    <pivotField showAll="0"/>
    <pivotField showAll="0"/>
    <pivotField showAll="0"/>
    <pivotField showAll="0"/>
  </pivotFields>
  <rowFields count="1">
    <field x="0"/>
  </rowFields>
  <rowItems count="301">
    <i>
      <x v="33"/>
    </i>
    <i>
      <x v="84"/>
    </i>
    <i>
      <x v="256"/>
    </i>
    <i>
      <x v="44"/>
    </i>
    <i>
      <x v="275"/>
    </i>
    <i>
      <x v="294"/>
    </i>
    <i>
      <x v="238"/>
    </i>
    <i>
      <x v="267"/>
    </i>
    <i>
      <x v="122"/>
    </i>
    <i>
      <x v="74"/>
    </i>
    <i>
      <x v="272"/>
    </i>
    <i>
      <x v="211"/>
    </i>
    <i>
      <x v="68"/>
    </i>
    <i>
      <x v="298"/>
    </i>
    <i>
      <x v="170"/>
    </i>
    <i>
      <x v="53"/>
    </i>
    <i>
      <x v="187"/>
    </i>
    <i>
      <x v="117"/>
    </i>
    <i>
      <x v="86"/>
    </i>
    <i>
      <x v="276"/>
    </i>
    <i>
      <x v="52"/>
    </i>
    <i>
      <x v="138"/>
    </i>
    <i>
      <x v="28"/>
    </i>
    <i>
      <x v="102"/>
    </i>
    <i>
      <x v="278"/>
    </i>
    <i>
      <x v="239"/>
    </i>
    <i>
      <x v="273"/>
    </i>
    <i>
      <x v="271"/>
    </i>
    <i>
      <x v="145"/>
    </i>
    <i>
      <x v="3"/>
    </i>
    <i>
      <x v="79"/>
    </i>
    <i>
      <x v="38"/>
    </i>
    <i>
      <x v="139"/>
    </i>
    <i>
      <x v="137"/>
    </i>
    <i>
      <x v="35"/>
    </i>
    <i>
      <x v="244"/>
    </i>
    <i>
      <x v="197"/>
    </i>
    <i>
      <x v="169"/>
    </i>
    <i>
      <x v="46"/>
    </i>
    <i>
      <x v="69"/>
    </i>
    <i>
      <x v="63"/>
    </i>
    <i>
      <x v="257"/>
    </i>
    <i>
      <x v="133"/>
    </i>
    <i>
      <x v="124"/>
    </i>
    <i>
      <x v="213"/>
    </i>
    <i>
      <x v="200"/>
    </i>
    <i>
      <x v="134"/>
    </i>
    <i>
      <x v="30"/>
    </i>
    <i>
      <x v="299"/>
    </i>
    <i>
      <x v="25"/>
    </i>
    <i>
      <x v="151"/>
    </i>
    <i>
      <x v="142"/>
    </i>
    <i>
      <x v="269"/>
    </i>
    <i>
      <x v="9"/>
    </i>
    <i>
      <x v="15"/>
    </i>
    <i>
      <x v="259"/>
    </i>
    <i>
      <x v="191"/>
    </i>
    <i>
      <x v="173"/>
    </i>
    <i>
      <x v="93"/>
    </i>
    <i>
      <x v="184"/>
    </i>
    <i>
      <x v="195"/>
    </i>
    <i>
      <x v="222"/>
    </i>
    <i>
      <x v="36"/>
    </i>
    <i>
      <x v="260"/>
    </i>
    <i>
      <x v="130"/>
    </i>
    <i>
      <x v="167"/>
    </i>
    <i>
      <x v="100"/>
    </i>
    <i>
      <x v="49"/>
    </i>
    <i>
      <x v="64"/>
    </i>
    <i>
      <x v="85"/>
    </i>
    <i>
      <x v="193"/>
    </i>
    <i>
      <x v="56"/>
    </i>
    <i>
      <x v="253"/>
    </i>
    <i>
      <x v="194"/>
    </i>
    <i>
      <x v="154"/>
    </i>
    <i>
      <x v="180"/>
    </i>
    <i>
      <x v="277"/>
    </i>
    <i>
      <x v="112"/>
    </i>
    <i>
      <x v="21"/>
    </i>
    <i>
      <x v="290"/>
    </i>
    <i>
      <x v="291"/>
    </i>
    <i>
      <x v="235"/>
    </i>
    <i>
      <x v="80"/>
    </i>
    <i>
      <x v="125"/>
    </i>
    <i>
      <x v="155"/>
    </i>
    <i>
      <x v="231"/>
    </i>
    <i>
      <x v="41"/>
    </i>
    <i>
      <x v="27"/>
    </i>
    <i>
      <x v="13"/>
    </i>
    <i>
      <x v="123"/>
    </i>
    <i>
      <x v="240"/>
    </i>
    <i>
      <x v="103"/>
    </i>
    <i>
      <x v="166"/>
    </i>
    <i>
      <x v="59"/>
    </i>
    <i>
      <x v="129"/>
    </i>
    <i>
      <x v="164"/>
    </i>
    <i>
      <x v="225"/>
    </i>
    <i>
      <x v="189"/>
    </i>
    <i>
      <x v="246"/>
    </i>
    <i>
      <x v="289"/>
    </i>
    <i>
      <x v="226"/>
    </i>
    <i>
      <x v="221"/>
    </i>
    <i>
      <x v="261"/>
    </i>
    <i>
      <x v="188"/>
    </i>
    <i>
      <x v="127"/>
    </i>
    <i>
      <x v="245"/>
    </i>
    <i>
      <x v="40"/>
    </i>
    <i>
      <x v="92"/>
    </i>
    <i>
      <x v="17"/>
    </i>
    <i>
      <x v="39"/>
    </i>
    <i>
      <x v="281"/>
    </i>
    <i>
      <x v="287"/>
    </i>
    <i>
      <x v="158"/>
    </i>
    <i>
      <x v="219"/>
    </i>
    <i>
      <x v="119"/>
    </i>
    <i>
      <x v="251"/>
    </i>
    <i>
      <x v="1"/>
    </i>
    <i>
      <x v="297"/>
    </i>
    <i>
      <x v="97"/>
    </i>
    <i>
      <x v="22"/>
    </i>
    <i>
      <x v="89"/>
    </i>
    <i>
      <x v="237"/>
    </i>
    <i>
      <x v="206"/>
    </i>
    <i>
      <x v="210"/>
    </i>
    <i>
      <x v="163"/>
    </i>
    <i>
      <x v="247"/>
    </i>
    <i>
      <x v="274"/>
    </i>
    <i>
      <x v="131"/>
    </i>
    <i>
      <x v="186"/>
    </i>
    <i>
      <x v="228"/>
    </i>
    <i>
      <x v="192"/>
    </i>
    <i>
      <x v="295"/>
    </i>
    <i>
      <x v="34"/>
    </i>
    <i>
      <x v="255"/>
    </i>
    <i>
      <x v="110"/>
    </i>
    <i>
      <x v="161"/>
    </i>
    <i>
      <x v="177"/>
    </i>
    <i>
      <x v="4"/>
    </i>
    <i>
      <x v="45"/>
    </i>
    <i>
      <x v="60"/>
    </i>
    <i>
      <x v="67"/>
    </i>
    <i>
      <x v="75"/>
    </i>
    <i>
      <x v="175"/>
    </i>
    <i>
      <x v="128"/>
    </i>
    <i>
      <x v="136"/>
    </i>
    <i>
      <x v="140"/>
    </i>
    <i>
      <x v="179"/>
    </i>
    <i>
      <x v="87"/>
    </i>
    <i>
      <x v="171"/>
    </i>
    <i>
      <x v="78"/>
    </i>
    <i>
      <x v="19"/>
    </i>
    <i>
      <x v="264"/>
    </i>
    <i>
      <x v="172"/>
    </i>
    <i>
      <x v="14"/>
    </i>
    <i>
      <x v="23"/>
    </i>
    <i>
      <x v="241"/>
    </i>
    <i>
      <x v="132"/>
    </i>
    <i>
      <x v="243"/>
    </i>
    <i>
      <x v="108"/>
    </i>
    <i>
      <x v="282"/>
    </i>
    <i>
      <x v="66"/>
    </i>
    <i>
      <x v="26"/>
    </i>
    <i>
      <x v="198"/>
    </i>
    <i>
      <x v="88"/>
    </i>
    <i>
      <x v="62"/>
    </i>
    <i>
      <x v="106"/>
    </i>
    <i>
      <x v="143"/>
    </i>
    <i>
      <x v="121"/>
    </i>
    <i>
      <x v="208"/>
    </i>
    <i>
      <x v="156"/>
    </i>
    <i>
      <x v="265"/>
    </i>
    <i>
      <x v="83"/>
    </i>
    <i>
      <x v="250"/>
    </i>
    <i>
      <x v="50"/>
    </i>
    <i>
      <x v="153"/>
    </i>
    <i>
      <x v="10"/>
    </i>
    <i>
      <x v="266"/>
    </i>
    <i>
      <x v="37"/>
    </i>
    <i>
      <x v="279"/>
    </i>
    <i>
      <x v="229"/>
    </i>
    <i>
      <x v="82"/>
    </i>
    <i>
      <x v="284"/>
    </i>
    <i>
      <x v="150"/>
    </i>
    <i>
      <x v="149"/>
    </i>
    <i>
      <x v="147"/>
    </i>
    <i>
      <x v="176"/>
    </i>
    <i>
      <x v="168"/>
    </i>
    <i>
      <x v="51"/>
    </i>
    <i>
      <x v="5"/>
    </i>
    <i>
      <x v="224"/>
    </i>
    <i>
      <x v="116"/>
    </i>
    <i>
      <x v="96"/>
    </i>
    <i>
      <x v="16"/>
    </i>
    <i>
      <x v="54"/>
    </i>
    <i>
      <x v="201"/>
    </i>
    <i>
      <x v="185"/>
    </i>
    <i>
      <x v="285"/>
    </i>
    <i>
      <x v="223"/>
    </i>
    <i>
      <x v="20"/>
    </i>
    <i>
      <x v="292"/>
    </i>
    <i>
      <x v="73"/>
    </i>
    <i>
      <x v="157"/>
    </i>
    <i>
      <x v="215"/>
    </i>
    <i>
      <x v="12"/>
    </i>
    <i>
      <x v="94"/>
    </i>
    <i>
      <x v="101"/>
    </i>
    <i>
      <x v="8"/>
    </i>
    <i>
      <x v="2"/>
    </i>
    <i>
      <x v="57"/>
    </i>
    <i>
      <x v="205"/>
    </i>
    <i>
      <x v="196"/>
    </i>
    <i>
      <x v="126"/>
    </i>
    <i>
      <x v="249"/>
    </i>
    <i>
      <x v="47"/>
    </i>
    <i>
      <x v="91"/>
    </i>
    <i>
      <x v="162"/>
    </i>
    <i>
      <x v="181"/>
    </i>
    <i>
      <x v="286"/>
    </i>
    <i>
      <x v="160"/>
    </i>
    <i>
      <x v="104"/>
    </i>
    <i>
      <x v="6"/>
    </i>
    <i>
      <x v="81"/>
    </i>
    <i>
      <x v="29"/>
    </i>
    <i>
      <x v="280"/>
    </i>
    <i>
      <x v="252"/>
    </i>
    <i>
      <x v="90"/>
    </i>
    <i>
      <x v="268"/>
    </i>
    <i>
      <x v="77"/>
    </i>
    <i>
      <x v="204"/>
    </i>
    <i>
      <x v="182"/>
    </i>
    <i>
      <x v="24"/>
    </i>
    <i>
      <x v="207"/>
    </i>
    <i>
      <x v="7"/>
    </i>
    <i>
      <x v="248"/>
    </i>
    <i>
      <x v="293"/>
    </i>
    <i>
      <x v="146"/>
    </i>
    <i>
      <x v="135"/>
    </i>
    <i>
      <x v="233"/>
    </i>
    <i>
      <x v="48"/>
    </i>
    <i>
      <x v="118"/>
    </i>
    <i>
      <x v="283"/>
    </i>
    <i>
      <x v="141"/>
    </i>
    <i>
      <x v="32"/>
    </i>
    <i>
      <x v="76"/>
    </i>
    <i>
      <x v="61"/>
    </i>
    <i>
      <x v="31"/>
    </i>
    <i>
      <x v="263"/>
    </i>
    <i>
      <x v="296"/>
    </i>
    <i>
      <x v="217"/>
    </i>
    <i>
      <x v="18"/>
    </i>
    <i>
      <x v="165"/>
    </i>
    <i>
      <x v="212"/>
    </i>
    <i>
      <x v="218"/>
    </i>
    <i>
      <x v="111"/>
    </i>
    <i>
      <x v="95"/>
    </i>
    <i>
      <x v="288"/>
    </i>
    <i>
      <x v="159"/>
    </i>
    <i>
      <x v="214"/>
    </i>
    <i>
      <x v="254"/>
    </i>
    <i>
      <x v="58"/>
    </i>
    <i>
      <x v="72"/>
    </i>
    <i>
      <x v="99"/>
    </i>
    <i>
      <x v="262"/>
    </i>
    <i>
      <x v="258"/>
    </i>
    <i>
      <x v="234"/>
    </i>
    <i>
      <x v="152"/>
    </i>
    <i>
      <x v="216"/>
    </i>
    <i>
      <x v="199"/>
    </i>
    <i>
      <x/>
    </i>
    <i>
      <x v="65"/>
    </i>
    <i>
      <x v="202"/>
    </i>
    <i>
      <x v="114"/>
    </i>
    <i>
      <x v="109"/>
    </i>
    <i>
      <x v="120"/>
    </i>
    <i>
      <x v="107"/>
    </i>
    <i>
      <x v="203"/>
    </i>
    <i>
      <x v="227"/>
    </i>
    <i>
      <x v="209"/>
    </i>
    <i>
      <x v="270"/>
    </i>
    <i>
      <x v="183"/>
    </i>
    <i>
      <x v="43"/>
    </i>
    <i>
      <x v="178"/>
    </i>
    <i>
      <x v="115"/>
    </i>
    <i>
      <x v="144"/>
    </i>
    <i>
      <x v="98"/>
    </i>
    <i>
      <x v="148"/>
    </i>
    <i>
      <x v="220"/>
    </i>
    <i>
      <x v="55"/>
    </i>
    <i>
      <x v="70"/>
    </i>
    <i>
      <x v="230"/>
    </i>
    <i>
      <x v="71"/>
    </i>
    <i>
      <x v="236"/>
    </i>
    <i>
      <x v="11"/>
    </i>
    <i>
      <x v="113"/>
    </i>
    <i>
      <x v="190"/>
    </i>
    <i>
      <x v="105"/>
    </i>
    <i>
      <x v="42"/>
    </i>
    <i>
      <x v="242"/>
    </i>
    <i>
      <x v="232"/>
    </i>
    <i>
      <x v="174"/>
    </i>
    <i t="grand">
      <x/>
    </i>
  </rowItems>
  <colItems count="1">
    <i/>
  </colItems>
  <dataFields count="1">
    <dataField name="Sum of Market Cap"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07071B7-55EB-406B-883E-31C56F0B51E3}"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14" firstHeaderRow="0" firstDataRow="1" firstDataCol="1" rowPageCount="1" colPageCount="1"/>
  <pivotFields count="9">
    <pivotField axis="axisRow" showAll="0" measureFilter="1" sortType="descending">
      <items count="301">
        <item x="198"/>
        <item x="147"/>
        <item x="211"/>
        <item x="123"/>
        <item x="24"/>
        <item x="234"/>
        <item x="220"/>
        <item x="273"/>
        <item x="148"/>
        <item x="200"/>
        <item x="183"/>
        <item x="87"/>
        <item x="150"/>
        <item x="103"/>
        <item x="72"/>
        <item x="157"/>
        <item x="261"/>
        <item x="208"/>
        <item x="268"/>
        <item x="143"/>
        <item x="45"/>
        <item x="196"/>
        <item x="289"/>
        <item x="63"/>
        <item x="221"/>
        <item x="171"/>
        <item x="66"/>
        <item x="90"/>
        <item x="152"/>
        <item x="40"/>
        <item x="139"/>
        <item x="247"/>
        <item x="1"/>
        <item x="256"/>
        <item x="296"/>
        <item x="165"/>
        <item x="108"/>
        <item x="252"/>
        <item x="209"/>
        <item x="21"/>
        <item x="34"/>
        <item x="93"/>
        <item x="240"/>
        <item x="4"/>
        <item x="51"/>
        <item x="22"/>
        <item x="98"/>
        <item x="128"/>
        <item x="188"/>
        <item x="37"/>
        <item x="259"/>
        <item x="287"/>
        <item x="92"/>
        <item x="237"/>
        <item x="12"/>
        <item x="283"/>
        <item x="112"/>
        <item x="113"/>
        <item x="0"/>
        <item x="27"/>
        <item x="120"/>
        <item x="275"/>
        <item x="222"/>
        <item x="140"/>
        <item x="257"/>
        <item x="189"/>
        <item x="248"/>
        <item x="89"/>
        <item x="31"/>
        <item x="278"/>
        <item x="277"/>
        <item x="135"/>
        <item x="46"/>
        <item x="193"/>
        <item x="292"/>
        <item x="179"/>
        <item x="10"/>
        <item x="56"/>
        <item x="137"/>
        <item x="158"/>
        <item x="47"/>
        <item x="170"/>
        <item x="119"/>
        <item x="172"/>
        <item x="176"/>
        <item x="111"/>
        <item x="104"/>
        <item x="2"/>
        <item x="83"/>
        <item x="85"/>
        <item x="23"/>
        <item x="36"/>
        <item x="185"/>
        <item x="48"/>
        <item x="133"/>
        <item x="28"/>
        <item x="129"/>
        <item x="71"/>
        <item x="291"/>
        <item x="276"/>
        <item x="265"/>
        <item x="215"/>
        <item x="39"/>
        <item x="230"/>
        <item x="91"/>
        <item x="15"/>
        <item x="109"/>
        <item x="61"/>
        <item x="212"/>
        <item x="156"/>
        <item x="149"/>
        <item x="131"/>
        <item x="141"/>
        <item x="199"/>
        <item x="262"/>
        <item x="197"/>
        <item x="33"/>
        <item x="9"/>
        <item x="266"/>
        <item x="227"/>
        <item x="26"/>
        <item x="125"/>
        <item x="164"/>
        <item x="124"/>
        <item x="274"/>
        <item x="81"/>
        <item x="251"/>
        <item x="213"/>
        <item x="94"/>
        <item x="54"/>
        <item x="20"/>
        <item x="38"/>
        <item x="182"/>
        <item x="68"/>
        <item x="190"/>
        <item x="210"/>
        <item x="16"/>
        <item x="138"/>
        <item x="191"/>
        <item x="79"/>
        <item x="65"/>
        <item x="70"/>
        <item x="77"/>
        <item x="144"/>
        <item x="64"/>
        <item x="186"/>
        <item x="166"/>
        <item x="175"/>
        <item x="60"/>
        <item x="105"/>
        <item x="169"/>
        <item x="110"/>
        <item x="154"/>
        <item x="206"/>
        <item x="101"/>
        <item x="121"/>
        <item x="174"/>
        <item x="194"/>
        <item x="14"/>
        <item x="290"/>
        <item x="134"/>
        <item x="232"/>
        <item x="116"/>
        <item x="118"/>
        <item x="177"/>
        <item x="161"/>
        <item x="260"/>
        <item x="295"/>
        <item x="50"/>
        <item x="258"/>
        <item x="254"/>
        <item x="288"/>
        <item x="228"/>
        <item x="74"/>
        <item x="226"/>
        <item x="246"/>
        <item x="267"/>
        <item x="214"/>
        <item x="32"/>
        <item x="238"/>
        <item x="231"/>
        <item x="293"/>
        <item x="153"/>
        <item x="181"/>
        <item x="178"/>
        <item x="159"/>
        <item x="218"/>
        <item x="17"/>
        <item x="122"/>
        <item x="19"/>
        <item x="25"/>
        <item x="204"/>
        <item x="117"/>
        <item x="225"/>
        <item x="192"/>
        <item x="52"/>
        <item x="173"/>
        <item x="242"/>
        <item x="96"/>
        <item x="180"/>
        <item x="299"/>
        <item x="151"/>
        <item x="59"/>
        <item x="30"/>
        <item x="136"/>
        <item x="239"/>
        <item x="281"/>
        <item x="160"/>
        <item x="187"/>
        <item x="255"/>
        <item x="284"/>
        <item x="285"/>
        <item x="62"/>
        <item x="132"/>
        <item x="235"/>
        <item x="184"/>
        <item x="99"/>
        <item x="86"/>
        <item x="250"/>
        <item x="282"/>
        <item x="224"/>
        <item x="223"/>
        <item x="280"/>
        <item x="294"/>
        <item x="269"/>
        <item x="286"/>
        <item x="271"/>
        <item x="127"/>
        <item x="7"/>
        <item x="43"/>
        <item x="130"/>
        <item x="115"/>
        <item x="145"/>
        <item x="69"/>
        <item x="162"/>
        <item x="57"/>
        <item x="219"/>
        <item x="97"/>
        <item x="100"/>
        <item x="88"/>
        <item x="107"/>
        <item x="142"/>
        <item x="168"/>
        <item x="55"/>
        <item x="75"/>
        <item x="18"/>
        <item x="82"/>
        <item x="3"/>
        <item x="244"/>
        <item x="114"/>
        <item x="29"/>
        <item x="146"/>
        <item x="243"/>
        <item x="73"/>
        <item x="279"/>
        <item x="263"/>
        <item x="155"/>
        <item x="298"/>
        <item x="8"/>
        <item x="205"/>
        <item x="195"/>
        <item x="163"/>
        <item x="44"/>
        <item x="13"/>
        <item x="42"/>
        <item x="6"/>
        <item x="35"/>
        <item x="95"/>
        <item x="41"/>
        <item x="264"/>
        <item x="233"/>
        <item x="76"/>
        <item x="217"/>
        <item x="58"/>
        <item x="249"/>
        <item x="67"/>
        <item x="207"/>
        <item x="201"/>
        <item x="297"/>
        <item x="84"/>
        <item x="167"/>
        <item x="270"/>
        <item x="203"/>
        <item x="241"/>
        <item x="102"/>
        <item x="78"/>
        <item x="229"/>
        <item x="49"/>
        <item x="53"/>
        <item x="5"/>
        <item x="253"/>
        <item x="202"/>
        <item x="126"/>
        <item x="106"/>
        <item x="11"/>
        <item x="216"/>
        <item x="236"/>
        <item x="80"/>
        <item x="272"/>
        <item x="245"/>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dataField="1" showAll="0"/>
    <pivotField axis="axisPage" showAll="0">
      <items count="8">
        <item m="1" x="6"/>
        <item m="1" x="5"/>
        <item x="0"/>
        <item x="1"/>
        <item x="2"/>
        <item x="3"/>
        <item x="4"/>
        <item t="default"/>
      </items>
    </pivotField>
  </pivotFields>
  <rowFields count="1">
    <field x="0"/>
  </rowFields>
  <rowItems count="11">
    <i>
      <x v="245"/>
    </i>
    <i>
      <x v="95"/>
    </i>
    <i>
      <x v="158"/>
    </i>
    <i>
      <x v="62"/>
    </i>
    <i>
      <x v="73"/>
    </i>
    <i>
      <x v="123"/>
    </i>
    <i>
      <x v="294"/>
    </i>
    <i>
      <x v="228"/>
    </i>
    <i>
      <x v="43"/>
    </i>
    <i>
      <x v="72"/>
    </i>
    <i t="grand">
      <x/>
    </i>
  </rowItems>
  <colFields count="1">
    <field x="-2"/>
  </colFields>
  <colItems count="3">
    <i>
      <x/>
    </i>
    <i i="1">
      <x v="1"/>
    </i>
    <i i="2">
      <x v="2"/>
    </i>
  </colItems>
  <pageFields count="1">
    <pageField fld="8" item="2" hier="-1"/>
  </pageFields>
  <dataFields count="3">
    <dataField name="Sum of 1h Change (%)" fld="3" baseField="0" baseItem="0"/>
    <dataField name="Max of 7-Day Price" fld="6" subtotal="max" baseField="0" baseItem="0"/>
    <dataField name="Max of 24-Hour Price" fld="7" subtotal="max" baseField="0" baseItem="0"/>
  </dataField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11BD455-7A35-4FEE-85EA-CE492B912BDE}"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84" firstHeaderRow="0" firstDataRow="1" firstDataCol="1" rowPageCount="1" colPageCount="1"/>
  <pivotFields count="10">
    <pivotField axis="axisRow" dataField="1" showAll="0" sortType="ascending">
      <items count="301">
        <item x="198"/>
        <item x="147"/>
        <item x="211"/>
        <item x="123"/>
        <item x="24"/>
        <item x="234"/>
        <item x="220"/>
        <item x="273"/>
        <item x="148"/>
        <item x="200"/>
        <item x="183"/>
        <item x="87"/>
        <item x="150"/>
        <item x="103"/>
        <item x="72"/>
        <item x="157"/>
        <item x="261"/>
        <item x="208"/>
        <item x="268"/>
        <item x="143"/>
        <item x="45"/>
        <item x="196"/>
        <item x="289"/>
        <item x="63"/>
        <item x="221"/>
        <item x="171"/>
        <item x="66"/>
        <item x="90"/>
        <item x="152"/>
        <item x="40"/>
        <item x="139"/>
        <item x="247"/>
        <item x="1"/>
        <item x="256"/>
        <item x="296"/>
        <item x="165"/>
        <item x="108"/>
        <item x="252"/>
        <item x="209"/>
        <item x="21"/>
        <item x="34"/>
        <item x="93"/>
        <item x="240"/>
        <item x="4"/>
        <item x="51"/>
        <item x="22"/>
        <item x="98"/>
        <item x="128"/>
        <item x="188"/>
        <item x="37"/>
        <item x="259"/>
        <item x="287"/>
        <item x="92"/>
        <item x="237"/>
        <item x="12"/>
        <item x="283"/>
        <item x="112"/>
        <item x="113"/>
        <item x="0"/>
        <item x="27"/>
        <item x="120"/>
        <item x="275"/>
        <item x="222"/>
        <item x="140"/>
        <item x="257"/>
        <item x="189"/>
        <item x="248"/>
        <item x="89"/>
        <item x="31"/>
        <item x="278"/>
        <item x="277"/>
        <item x="135"/>
        <item x="46"/>
        <item x="193"/>
        <item x="292"/>
        <item x="179"/>
        <item x="10"/>
        <item x="56"/>
        <item x="137"/>
        <item x="158"/>
        <item x="47"/>
        <item x="170"/>
        <item x="119"/>
        <item x="172"/>
        <item x="176"/>
        <item x="111"/>
        <item x="104"/>
        <item x="2"/>
        <item x="83"/>
        <item x="85"/>
        <item x="23"/>
        <item x="36"/>
        <item x="185"/>
        <item x="48"/>
        <item x="133"/>
        <item x="28"/>
        <item x="129"/>
        <item x="71"/>
        <item x="291"/>
        <item x="276"/>
        <item x="265"/>
        <item x="215"/>
        <item x="39"/>
        <item x="230"/>
        <item x="91"/>
        <item x="15"/>
        <item x="109"/>
        <item x="61"/>
        <item x="212"/>
        <item x="156"/>
        <item x="149"/>
        <item x="131"/>
        <item x="141"/>
        <item x="199"/>
        <item x="262"/>
        <item x="197"/>
        <item x="33"/>
        <item x="9"/>
        <item x="266"/>
        <item x="227"/>
        <item x="26"/>
        <item x="125"/>
        <item x="164"/>
        <item x="124"/>
        <item x="274"/>
        <item x="81"/>
        <item x="251"/>
        <item x="213"/>
        <item x="94"/>
        <item x="54"/>
        <item x="20"/>
        <item x="38"/>
        <item x="182"/>
        <item x="68"/>
        <item x="190"/>
        <item x="210"/>
        <item x="16"/>
        <item x="138"/>
        <item x="191"/>
        <item x="79"/>
        <item x="65"/>
        <item x="70"/>
        <item x="77"/>
        <item x="144"/>
        <item x="64"/>
        <item x="186"/>
        <item x="166"/>
        <item x="175"/>
        <item x="60"/>
        <item x="105"/>
        <item x="169"/>
        <item x="110"/>
        <item x="154"/>
        <item x="206"/>
        <item x="101"/>
        <item x="121"/>
        <item x="174"/>
        <item x="194"/>
        <item x="14"/>
        <item x="290"/>
        <item x="134"/>
        <item x="232"/>
        <item x="116"/>
        <item x="118"/>
        <item x="177"/>
        <item x="161"/>
        <item x="260"/>
        <item x="295"/>
        <item x="50"/>
        <item x="258"/>
        <item x="254"/>
        <item x="288"/>
        <item x="228"/>
        <item x="74"/>
        <item x="226"/>
        <item x="246"/>
        <item x="267"/>
        <item x="214"/>
        <item x="32"/>
        <item x="238"/>
        <item x="231"/>
        <item x="293"/>
        <item x="153"/>
        <item x="181"/>
        <item x="178"/>
        <item x="159"/>
        <item x="218"/>
        <item x="17"/>
        <item x="122"/>
        <item x="19"/>
        <item x="25"/>
        <item x="204"/>
        <item x="117"/>
        <item x="225"/>
        <item x="192"/>
        <item x="52"/>
        <item x="173"/>
        <item x="242"/>
        <item x="96"/>
        <item x="180"/>
        <item x="299"/>
        <item x="151"/>
        <item x="59"/>
        <item x="30"/>
        <item x="136"/>
        <item x="239"/>
        <item x="281"/>
        <item x="160"/>
        <item x="187"/>
        <item x="255"/>
        <item x="284"/>
        <item x="285"/>
        <item x="62"/>
        <item x="132"/>
        <item x="235"/>
        <item x="184"/>
        <item x="99"/>
        <item x="86"/>
        <item x="250"/>
        <item x="282"/>
        <item x="224"/>
        <item x="223"/>
        <item x="280"/>
        <item x="294"/>
        <item x="269"/>
        <item x="286"/>
        <item x="271"/>
        <item x="127"/>
        <item x="7"/>
        <item x="43"/>
        <item x="130"/>
        <item x="115"/>
        <item x="145"/>
        <item x="69"/>
        <item x="162"/>
        <item x="57"/>
        <item x="219"/>
        <item x="97"/>
        <item x="100"/>
        <item x="88"/>
        <item x="107"/>
        <item x="142"/>
        <item x="168"/>
        <item x="55"/>
        <item x="75"/>
        <item x="18"/>
        <item x="82"/>
        <item x="3"/>
        <item x="244"/>
        <item x="114"/>
        <item x="29"/>
        <item x="146"/>
        <item x="243"/>
        <item x="73"/>
        <item x="279"/>
        <item x="263"/>
        <item x="155"/>
        <item x="298"/>
        <item x="8"/>
        <item x="205"/>
        <item x="195"/>
        <item x="163"/>
        <item x="44"/>
        <item x="13"/>
        <item x="42"/>
        <item x="6"/>
        <item x="35"/>
        <item x="95"/>
        <item x="41"/>
        <item x="264"/>
        <item x="233"/>
        <item x="76"/>
        <item x="217"/>
        <item x="58"/>
        <item x="249"/>
        <item x="67"/>
        <item x="207"/>
        <item x="201"/>
        <item x="297"/>
        <item x="84"/>
        <item x="167"/>
        <item x="270"/>
        <item x="203"/>
        <item x="241"/>
        <item x="102"/>
        <item x="78"/>
        <item x="229"/>
        <item x="49"/>
        <item x="53"/>
        <item x="5"/>
        <item x="253"/>
        <item x="202"/>
        <item x="126"/>
        <item x="106"/>
        <item x="11"/>
        <item x="216"/>
        <item x="236"/>
        <item x="80"/>
        <item x="272"/>
        <item x="245"/>
        <item t="default"/>
      </items>
      <autoSortScope>
        <pivotArea dataOnly="0" outline="0" fieldPosition="0">
          <references count="1">
            <reference field="4294967294" count="1" selected="0">
              <x v="1"/>
            </reference>
          </references>
        </pivotArea>
      </autoSortScope>
    </pivotField>
    <pivotField showAll="0">
      <items count="301">
        <item x="243"/>
        <item x="259"/>
        <item x="198"/>
        <item x="261"/>
        <item x="157"/>
        <item x="147"/>
        <item x="245"/>
        <item x="123"/>
        <item x="196"/>
        <item x="268"/>
        <item x="234"/>
        <item x="211"/>
        <item x="200"/>
        <item x="183"/>
        <item x="208"/>
        <item x="150"/>
        <item x="103"/>
        <item x="72"/>
        <item x="143"/>
        <item x="45"/>
        <item x="163"/>
        <item x="289"/>
        <item x="98"/>
        <item x="171"/>
        <item x="221"/>
        <item x="220"/>
        <item x="66"/>
        <item x="90"/>
        <item x="152"/>
        <item x="70"/>
        <item x="51"/>
        <item x="188"/>
        <item x="40"/>
        <item x="63"/>
        <item x="240"/>
        <item x="139"/>
        <item x="247"/>
        <item x="129"/>
        <item x="252"/>
        <item x="108"/>
        <item x="4"/>
        <item x="22"/>
        <item x="165"/>
        <item x="256"/>
        <item x="93"/>
        <item x="1"/>
        <item x="209"/>
        <item x="21"/>
        <item x="34"/>
        <item x="296"/>
        <item x="287"/>
        <item x="92"/>
        <item x="112"/>
        <item x="237"/>
        <item x="27"/>
        <item x="283"/>
        <item x="186"/>
        <item x="0"/>
        <item x="120"/>
        <item x="275"/>
        <item x="140"/>
        <item x="222"/>
        <item x="37"/>
        <item x="257"/>
        <item x="189"/>
        <item x="248"/>
        <item x="31"/>
        <item x="277"/>
        <item x="89"/>
        <item x="56"/>
        <item x="135"/>
        <item x="46"/>
        <item x="292"/>
        <item x="179"/>
        <item x="10"/>
        <item x="137"/>
        <item x="57"/>
        <item x="170"/>
        <item x="176"/>
        <item x="172"/>
        <item x="111"/>
        <item x="104"/>
        <item x="119"/>
        <item x="126"/>
        <item x="2"/>
        <item x="83"/>
        <item x="273"/>
        <item x="244"/>
        <item x="185"/>
        <item x="23"/>
        <item x="48"/>
        <item x="133"/>
        <item x="28"/>
        <item x="291"/>
        <item x="61"/>
        <item x="265"/>
        <item x="215"/>
        <item x="39"/>
        <item x="91"/>
        <item x="15"/>
        <item x="109"/>
        <item x="285"/>
        <item x="212"/>
        <item x="156"/>
        <item x="149"/>
        <item x="131"/>
        <item x="141"/>
        <item x="199"/>
        <item x="262"/>
        <item x="197"/>
        <item x="33"/>
        <item x="9"/>
        <item x="213"/>
        <item x="227"/>
        <item x="26"/>
        <item x="125"/>
        <item x="251"/>
        <item x="94"/>
        <item x="54"/>
        <item x="38"/>
        <item x="276"/>
        <item x="20"/>
        <item x="182"/>
        <item x="190"/>
        <item x="68"/>
        <item x="204"/>
        <item x="184"/>
        <item x="16"/>
        <item x="13"/>
        <item x="263"/>
        <item x="266"/>
        <item x="191"/>
        <item x="12"/>
        <item x="79"/>
        <item x="138"/>
        <item x="65"/>
        <item x="210"/>
        <item x="18"/>
        <item x="77"/>
        <item x="64"/>
        <item x="60"/>
        <item x="105"/>
        <item x="134"/>
        <item x="175"/>
        <item x="169"/>
        <item x="110"/>
        <item x="154"/>
        <item x="206"/>
        <item x="101"/>
        <item x="121"/>
        <item x="144"/>
        <item x="194"/>
        <item x="166"/>
        <item x="290"/>
        <item x="181"/>
        <item x="174"/>
        <item x="232"/>
        <item x="118"/>
        <item x="177"/>
        <item x="161"/>
        <item x="24"/>
        <item x="116"/>
        <item x="260"/>
        <item x="258"/>
        <item x="254"/>
        <item x="288"/>
        <item x="74"/>
        <item x="226"/>
        <item x="50"/>
        <item x="295"/>
        <item x="246"/>
        <item x="267"/>
        <item x="214"/>
        <item x="238"/>
        <item x="47"/>
        <item x="231"/>
        <item x="192"/>
        <item x="293"/>
        <item x="178"/>
        <item x="218"/>
        <item x="17"/>
        <item x="122"/>
        <item x="19"/>
        <item x="117"/>
        <item x="219"/>
        <item x="225"/>
        <item x="52"/>
        <item x="159"/>
        <item x="158"/>
        <item x="153"/>
        <item x="173"/>
        <item x="96"/>
        <item x="180"/>
        <item x="299"/>
        <item x="228"/>
        <item x="151"/>
        <item x="274"/>
        <item x="59"/>
        <item x="145"/>
        <item x="30"/>
        <item x="136"/>
        <item x="142"/>
        <item x="255"/>
        <item x="230"/>
        <item x="239"/>
        <item x="281"/>
        <item x="187"/>
        <item x="284"/>
        <item x="124"/>
        <item x="62"/>
        <item x="85"/>
        <item x="132"/>
        <item x="160"/>
        <item x="235"/>
        <item x="86"/>
        <item x="224"/>
        <item x="250"/>
        <item x="282"/>
        <item x="162"/>
        <item x="99"/>
        <item x="223"/>
        <item x="280"/>
        <item x="294"/>
        <item x="286"/>
        <item x="269"/>
        <item x="271"/>
        <item x="75"/>
        <item x="55"/>
        <item x="81"/>
        <item x="88"/>
        <item x="127"/>
        <item x="7"/>
        <item x="130"/>
        <item x="193"/>
        <item x="115"/>
        <item x="100"/>
        <item x="69"/>
        <item x="107"/>
        <item x="97"/>
        <item x="168"/>
        <item x="164"/>
        <item x="205"/>
        <item x="73"/>
        <item x="146"/>
        <item x="279"/>
        <item x="155"/>
        <item x="242"/>
        <item x="298"/>
        <item x="195"/>
        <item x="8"/>
        <item x="278"/>
        <item x="44"/>
        <item x="41"/>
        <item x="42"/>
        <item x="6"/>
        <item x="36"/>
        <item x="35"/>
        <item x="3"/>
        <item x="32"/>
        <item x="82"/>
        <item x="95"/>
        <item x="43"/>
        <item x="264"/>
        <item x="233"/>
        <item x="76"/>
        <item x="217"/>
        <item x="58"/>
        <item x="201"/>
        <item x="249"/>
        <item x="207"/>
        <item x="49"/>
        <item x="148"/>
        <item x="84"/>
        <item x="297"/>
        <item x="270"/>
        <item x="203"/>
        <item x="241"/>
        <item x="78"/>
        <item x="229"/>
        <item x="102"/>
        <item x="53"/>
        <item x="167"/>
        <item x="87"/>
        <item x="114"/>
        <item x="14"/>
        <item x="113"/>
        <item x="25"/>
        <item x="5"/>
        <item x="253"/>
        <item x="29"/>
        <item x="67"/>
        <item x="202"/>
        <item x="106"/>
        <item x="71"/>
        <item x="11"/>
        <item x="236"/>
        <item x="272"/>
        <item x="128"/>
        <item x="80"/>
        <item x="216"/>
        <item t="default"/>
      </items>
    </pivotField>
    <pivotField dataField="1" showAll="0"/>
    <pivotField showAll="0"/>
    <pivotField showAll="0"/>
    <pivotField showAll="0"/>
    <pivotField showAll="0"/>
    <pivotField showAll="0"/>
    <pivotField axis="axisPage" showAll="0">
      <items count="6">
        <item x="4"/>
        <item x="2"/>
        <item x="1"/>
        <item x="3"/>
        <item x="0"/>
        <item t="default"/>
      </items>
    </pivotField>
    <pivotField dataField="1" showAll="0"/>
  </pivotFields>
  <rowFields count="1">
    <field x="0"/>
  </rowFields>
  <rowItems count="81">
    <i>
      <x v="109"/>
    </i>
    <i>
      <x v="42"/>
    </i>
    <i>
      <x v="257"/>
    </i>
    <i>
      <x v="128"/>
    </i>
    <i>
      <x v="79"/>
    </i>
    <i>
      <x v="116"/>
    </i>
    <i>
      <x v="29"/>
    </i>
    <i>
      <x v="168"/>
    </i>
    <i>
      <x v="4"/>
    </i>
    <i>
      <x v="112"/>
    </i>
    <i>
      <x v="258"/>
    </i>
    <i>
      <x v="202"/>
    </i>
    <i>
      <x v="21"/>
    </i>
    <i>
      <x v="248"/>
    </i>
    <i>
      <x v="213"/>
    </i>
    <i>
      <x v="134"/>
    </i>
    <i>
      <x v="251"/>
    </i>
    <i>
      <x v="149"/>
    </i>
    <i>
      <x v="176"/>
    </i>
    <i>
      <x v="52"/>
    </i>
    <i>
      <x v="207"/>
    </i>
    <i>
      <x v="145"/>
    </i>
    <i>
      <x v="83"/>
    </i>
    <i>
      <x v="288"/>
    </i>
    <i>
      <x v="270"/>
    </i>
    <i>
      <x v="56"/>
    </i>
    <i>
      <x v="132"/>
    </i>
    <i>
      <x v="96"/>
    </i>
    <i>
      <x v="49"/>
    </i>
    <i>
      <x v="39"/>
    </i>
    <i>
      <x v="237"/>
    </i>
    <i>
      <x v="232"/>
    </i>
    <i>
      <x v="28"/>
    </i>
    <i>
      <x v="17"/>
    </i>
    <i>
      <x v="36"/>
    </i>
    <i>
      <x v="250"/>
    </i>
    <i>
      <x v="100"/>
    </i>
    <i>
      <x v="139"/>
    </i>
    <i>
      <x v="279"/>
    </i>
    <i>
      <x v="215"/>
    </i>
    <i>
      <x v="88"/>
    </i>
    <i>
      <x v="141"/>
    </i>
    <i>
      <x v="41"/>
    </i>
    <i>
      <x v="185"/>
    </i>
    <i>
      <x v="281"/>
    </i>
    <i>
      <x v="198"/>
    </i>
    <i>
      <x v="59"/>
    </i>
    <i>
      <x v="35"/>
    </i>
    <i>
      <x v="262"/>
    </i>
    <i>
      <x v="186"/>
    </i>
    <i>
      <x v="276"/>
    </i>
    <i>
      <x v="148"/>
    </i>
    <i>
      <x v="136"/>
    </i>
    <i>
      <x v="234"/>
    </i>
    <i>
      <x v="50"/>
    </i>
    <i>
      <x v="133"/>
    </i>
    <i>
      <x v="150"/>
    </i>
    <i>
      <x v="190"/>
    </i>
    <i>
      <x v="76"/>
    </i>
    <i>
      <x v="86"/>
    </i>
    <i>
      <x v="55"/>
    </i>
    <i>
      <x v="114"/>
    </i>
    <i>
      <x v="175"/>
    </i>
    <i>
      <x v="40"/>
    </i>
    <i>
      <x v="120"/>
    </i>
    <i>
      <x v="137"/>
    </i>
    <i>
      <x v="90"/>
    </i>
    <i>
      <x v="261"/>
    </i>
    <i>
      <x v="144"/>
    </i>
    <i>
      <x v="3"/>
    </i>
    <i>
      <x v="211"/>
    </i>
    <i>
      <x v="45"/>
    </i>
    <i>
      <x v="34"/>
    </i>
    <i>
      <x v="277"/>
    </i>
    <i>
      <x v="23"/>
    </i>
    <i>
      <x v="14"/>
    </i>
    <i>
      <x v="195"/>
    </i>
    <i>
      <x v="12"/>
    </i>
    <i>
      <x v="20"/>
    </i>
    <i>
      <x v="193"/>
    </i>
    <i t="grand">
      <x/>
    </i>
  </rowItems>
  <colFields count="1">
    <field x="-2"/>
  </colFields>
  <colItems count="3">
    <i>
      <x/>
    </i>
    <i i="1">
      <x v="1"/>
    </i>
    <i i="2">
      <x v="2"/>
    </i>
  </colItems>
  <pageFields count="1">
    <pageField fld="8" item="1" hier="-1"/>
  </pageFields>
  <dataFields count="3">
    <dataField name="Min of Price (USD)" fld="2" subtotal="min" baseField="0" baseItem="0"/>
    <dataField name="Min of Average Downfall (%)" fld="9" subtotal="min" baseField="0" baseItem="0"/>
    <dataField name="Count of Coin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300-000000000000}" autoFormatId="16" applyNumberFormats="0" applyBorderFormats="0" applyFontFormats="1" applyPatternFormats="1" applyAlignmentFormats="0" applyWidthHeightFormats="0">
  <queryTableRefresh nextId="16">
    <queryTableFields count="15">
      <queryTableField id="1" name="Coin Name" tableColumnId="1"/>
      <queryTableField id="2" name="Symbol" tableColumnId="2"/>
      <queryTableField id="3" name="Price (USD)" tableColumnId="3"/>
      <queryTableField id="4" name="1h Change (%)" tableColumnId="4"/>
      <queryTableField id="5" name="Market Cap" tableColumnId="5"/>
      <queryTableField id="6" name="Volume (24h)" tableColumnId="6"/>
      <queryTableField id="7" name="Circulating Supply" tableColumnId="7"/>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_USD1" xr10:uid="{00000000-0013-0000-FFFF-FFFF01000000}" sourceName="Price (USD)">
  <pivotTables>
    <pivotTable tabId="5" name="PivotTable9"/>
    <pivotTable tabId="5" name="PivotTable10"/>
    <pivotTable tabId="5" name="PivotTable12"/>
    <pivotTable tabId="5" name="PivotTable13"/>
    <pivotTable tabId="5" name="PivotTable16"/>
    <pivotTable tabId="5" name="PivotTable17"/>
    <pivotTable tabId="5" name="PivotTable18"/>
    <pivotTable tabId="5" name="PivotTable1"/>
    <pivotTable tabId="16" name="PivotTable2"/>
  </pivotTables>
  <data>
    <tabular pivotCacheId="1">
      <items count="294">
        <i x="109" s="1"/>
        <i x="208" s="1"/>
        <i x="51" s="1"/>
        <i x="111" s="1"/>
        <i x="48" s="1"/>
        <i x="286" s="1"/>
        <i x="209" s="1"/>
        <i x="21" s="1"/>
        <i x="198" s="1"/>
        <i x="113" s="1"/>
        <i x="144" s="1"/>
        <i x="70" s="1"/>
        <i x="31" s="1"/>
        <i x="288" s="1"/>
        <i x="55" s="1"/>
        <i x="150" s="1"/>
        <i x="32" s="1"/>
        <i x="39" s="1"/>
        <i x="232" s="1"/>
        <i x="118" s="1"/>
        <i x="0" s="1"/>
        <i x="227" s="1"/>
        <i x="275" s="1"/>
        <i x="17" s="1"/>
        <i x="176" s="1"/>
        <i x="235" s="1"/>
        <i x="201" s="1"/>
        <i x="95" s="1"/>
        <i x="79" s="1"/>
        <i x="233" s="1"/>
        <i x="268" s="1"/>
        <i x="97" s="1"/>
        <i x="66" s="1"/>
        <i x="185" s="1"/>
        <i x="156" s="1"/>
        <i x="174" s="1"/>
        <i x="92" s="1"/>
        <i x="178" s="1"/>
        <i x="120" s="1"/>
        <i x="57" s="1"/>
        <i x="257" s="1"/>
        <i x="152" s="1"/>
        <i x="5" s="1"/>
        <i x="284" s="1"/>
        <i x="81" s="1"/>
        <i x="126" s="1"/>
        <i x="214" s="1"/>
        <i x="77" s="1"/>
        <i x="183" s="1"/>
        <i x="129" s="1"/>
        <i x="182" s="1"/>
        <i x="99" s="1"/>
        <i x="76" s="1"/>
        <i x="250" s="1"/>
        <i x="104" s="1"/>
        <i x="65" s="1"/>
        <i x="215" s="1"/>
        <i x="259" s="1"/>
        <i x="213" s="1"/>
        <i x="49" s="1"/>
        <i x="248" s="1"/>
        <i x="148" s="1"/>
        <i x="133" s="1"/>
        <i x="224" s="1"/>
        <i x="143" s="1"/>
        <i x="72" s="1"/>
        <i x="93" s="1"/>
        <i x="96" s="1"/>
        <i x="4" s="1"/>
        <i x="101" s="1"/>
        <i x="260" s="1"/>
        <i x="236" s="1"/>
        <i x="103" s="1"/>
        <i x="146" s="1"/>
        <i x="241" s="1"/>
        <i x="163" s="1"/>
        <i x="82" s="1"/>
        <i x="258" s="1"/>
        <i x="23" s="1"/>
        <i x="281" s="1"/>
        <i x="171" s="1"/>
        <i x="247" s="1"/>
        <i x="219" s="1"/>
        <i x="274" s="1"/>
        <i x="127" s="1"/>
        <i x="161" s="1"/>
        <i x="290" s="1"/>
        <i x="40" s="1"/>
        <i x="147" s="1"/>
        <i x="87" s="1"/>
        <i x="136" s="1"/>
        <i x="253" s="1"/>
        <i x="153" s="1"/>
        <i x="6" s="1"/>
        <i x="106" s="1"/>
        <i x="287" s="1"/>
        <i x="13" s="1"/>
        <i x="192" s="1"/>
        <i x="206" s="1"/>
        <i x="78" s="1"/>
        <i x="116" s="1"/>
        <i x="180" s="1"/>
        <i x="211" s="1"/>
        <i x="228" s="1"/>
        <i x="165" s="1"/>
        <i x="181" s="1"/>
        <i x="110" s="1"/>
        <i x="42" s="1"/>
        <i x="108" s="1"/>
        <i x="130" s="1"/>
        <i x="94" s="1"/>
        <i x="67" s="1"/>
        <i x="234" s="1"/>
        <i x="278" s="1"/>
        <i x="157" s="1"/>
        <i x="22" s="1"/>
        <i x="276" s="1"/>
        <i x="172" s="1"/>
        <i x="230" s="1"/>
        <i x="45" s="1"/>
        <i x="199" s="1"/>
        <i x="169" s="1"/>
        <i x="75" s="1"/>
        <i x="91" s="1"/>
        <i x="160" s="1"/>
        <i x="244" s="1"/>
        <i x="58" s="1"/>
        <i x="30" s="1"/>
        <i x="154" s="1"/>
        <i x="277" s="1"/>
        <i x="47" s="1"/>
        <i x="16" s="1"/>
        <i x="140" s="1"/>
        <i x="279" s="1"/>
        <i x="249" s="1"/>
        <i x="194" s="1"/>
        <i x="216" s="1"/>
        <i x="265" s="1"/>
        <i x="282" s="1"/>
        <i x="245" s="1"/>
        <i x="71" s="1"/>
        <i x="195" s="1"/>
        <i x="293" s="1"/>
        <i x="29" s="1"/>
        <i x="188" s="1"/>
        <i x="63" s="1"/>
        <i x="190" s="1"/>
        <i x="222" s="1"/>
        <i x="128" s="1"/>
        <i x="141" s="1"/>
        <i x="117" s="1"/>
        <i x="115" s="1"/>
        <i x="114" s="1"/>
        <i x="46" s="1"/>
        <i x="80" s="1"/>
        <i x="134" s="1"/>
        <i x="205" s="1"/>
        <i x="155" s="1"/>
        <i x="38" s="1"/>
        <i x="3" s="1"/>
        <i x="56" s="1"/>
        <i x="34" s="1"/>
        <i x="168" s="1"/>
        <i x="262" s="1"/>
        <i x="119" s="1"/>
        <i x="74" s="1"/>
        <i x="98" s="1"/>
        <i x="64" s="1"/>
        <i x="135" s="1"/>
        <i x="285" s="1"/>
        <i x="10" s="1"/>
        <i x="54" s="1"/>
        <i x="167" s="1"/>
        <i x="203" s="1"/>
        <i x="226" s="1"/>
        <i x="212" s="1"/>
        <i x="107" s="1"/>
        <i x="28" s="1"/>
        <i x="202" s="1"/>
        <i x="239" s="1"/>
        <i x="18" s="1"/>
        <i x="196" s="1"/>
        <i x="25" s="1"/>
        <i x="261" s="1"/>
        <i x="90" s="1"/>
        <i x="26" s="1"/>
        <i x="124" s="1"/>
        <i x="125" s="1"/>
        <i x="60" s="1"/>
        <i x="41" s="1"/>
        <i x="291" s="1"/>
        <i x="229" s="1"/>
        <i x="221" s="1"/>
        <i x="37" s="1"/>
        <i x="243" s="1"/>
        <i x="270" s="1"/>
        <i x="121" s="1"/>
        <i x="53" s="1"/>
        <i x="191" s="1"/>
        <i x="15" s="1"/>
        <i x="52" s="1"/>
        <i x="256" s="1"/>
        <i x="210" s="1"/>
        <i x="12" s="1"/>
        <i x="280" s="1"/>
        <i x="83" s="1"/>
        <i x="251" s="1"/>
        <i x="27" s="1"/>
        <i x="193" s="1"/>
        <i x="88" s="1"/>
        <i x="9" s="1"/>
        <i x="151" s="1"/>
        <i x="266" s="1"/>
        <i x="1" s="1"/>
        <i x="173" s="1"/>
        <i x="200" s="1"/>
        <i x="36" s="1"/>
        <i x="137" s="1"/>
        <i x="263" s="1"/>
        <i x="242" s="1"/>
        <i x="89" s="1"/>
        <i x="68" s="1"/>
        <i x="145" s="1"/>
        <i x="289" s="1"/>
        <i x="19" s="1"/>
        <i x="177" s="1"/>
        <i x="86" s="1"/>
        <i x="272" s="1"/>
        <i x="102" s="1"/>
        <i x="255" s="1"/>
        <i x="273" s="1"/>
        <i x="100" s="1"/>
        <i x="73" s="1"/>
        <i x="164" s="1"/>
        <i x="139" s="1"/>
        <i x="179" s="1"/>
        <i x="187" s="1"/>
        <i x="85" s="1"/>
        <i x="59" s="1"/>
        <i x="197" s="1"/>
        <i x="186" s="1"/>
        <i x="123" s="1"/>
        <i x="142" s="1"/>
        <i x="138" s="1"/>
        <i x="264" s="1"/>
        <i x="271" s="1"/>
        <i x="35" s="1"/>
        <i x="69" s="1"/>
        <i x="252" s="1"/>
        <i x="237" s="1"/>
        <i x="105" s="1"/>
        <i x="269" s="1"/>
        <i x="112" s="1"/>
        <i x="223" s="1"/>
        <i x="122" s="1"/>
        <i x="20" s="1"/>
        <i x="24" s="1"/>
        <i x="204" s="1"/>
        <i x="220" s="1"/>
        <i x="132" s="1"/>
        <i x="238" s="1"/>
        <i x="131" s="1"/>
        <i x="218" s="1"/>
        <i x="217" s="1"/>
        <i x="283" s="1"/>
        <i x="246" s="1"/>
        <i x="14" s="1"/>
        <i x="240" s="1"/>
        <i x="231" s="1"/>
        <i x="7" s="1"/>
        <i x="8" s="1"/>
        <i x="62" s="1"/>
        <i x="61" s="1"/>
        <i x="207" s="1"/>
        <i x="158" s="1"/>
        <i x="175" s="1"/>
        <i x="184" s="1"/>
        <i x="43" s="1"/>
        <i x="11" s="1"/>
        <i x="254" s="1"/>
        <i x="170" s="1"/>
        <i x="50" s="1"/>
        <i x="267" s="1"/>
        <i x="292" s="1"/>
        <i x="2" s="1"/>
        <i x="162" s="1"/>
        <i x="159" s="1"/>
        <i x="44" s="1"/>
        <i x="149" s="1"/>
        <i x="189" s="1"/>
        <i x="166" s="1"/>
        <i x="225" s="1"/>
        <i x="84" s="1"/>
        <i x="3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1h_Change" xr10:uid="{00000000-0013-0000-FFFF-FFFF02000000}" sourceName="1h Change (%)">
  <pivotTables>
    <pivotTable tabId="3" name="PivotTable3"/>
  </pivotTables>
  <data>
    <tabular pivotCacheId="2">
      <items count="183">
        <i x="6" s="1"/>
        <i x="3" s="1"/>
        <i x="30" s="1"/>
        <i x="8" s="1"/>
        <i x="26" s="1"/>
        <i x="67" s="1"/>
        <i x="13" s="1"/>
        <i x="0" s="1"/>
        <i x="20" s="1"/>
        <i x="33" s="1"/>
        <i x="65" s="1"/>
        <i x="57" s="1"/>
        <i x="2" s="1"/>
        <i x="71" s="1"/>
        <i x="45" s="1"/>
        <i x="78" s="1"/>
        <i x="128" s="1"/>
        <i x="12" s="1"/>
        <i x="1" s="1"/>
        <i x="75" s="1"/>
        <i x="29" s="1"/>
        <i x="47" s="1"/>
        <i x="90" s="1"/>
        <i x="23" s="1"/>
        <i x="79" s="1"/>
        <i x="108" s="1"/>
        <i x="9" s="1"/>
        <i x="124" s="1"/>
        <i x="54" s="1"/>
        <i x="80" s="1"/>
        <i x="94" s="1"/>
        <i x="32" s="1"/>
        <i x="31" s="1"/>
        <i x="93" s="1"/>
        <i x="50" s="1"/>
        <i x="69" s="1"/>
        <i x="42" s="1"/>
        <i x="62" s="1"/>
        <i x="46" s="1"/>
        <i x="72" s="1"/>
        <i x="91" s="1"/>
        <i x="104" s="1"/>
        <i x="130" s="1"/>
        <i x="106" s="1"/>
        <i x="15" s="1"/>
        <i x="77" s="1"/>
        <i x="39" s="1"/>
        <i x="36" s="1"/>
        <i x="131" s="1"/>
        <i x="4" s="1"/>
        <i x="55" s="1"/>
        <i x="88" s="1"/>
        <i x="70" s="1"/>
        <i x="7" s="1"/>
        <i x="44" s="1"/>
        <i x="11" s="1"/>
        <i x="38" s="1"/>
        <i x="60" s="1"/>
        <i x="85" s="1"/>
        <i x="10" s="1"/>
        <i x="110" s="1"/>
        <i x="28" s="1"/>
        <i x="102" s="1"/>
        <i x="73" s="1"/>
        <i x="40" s="1"/>
        <i x="58" s="1"/>
        <i x="49" s="1"/>
        <i x="96" s="1"/>
        <i x="81" s="1"/>
        <i x="24" s="1"/>
        <i x="66" s="1"/>
        <i x="5" s="1"/>
        <i x="95" s="1"/>
        <i x="82" s="1"/>
        <i x="64" s="1"/>
        <i x="99" s="1"/>
        <i x="25" s="1"/>
        <i x="74" s="1"/>
        <i x="52" s="1"/>
        <i x="41" s="1"/>
        <i x="14" s="1"/>
        <i x="61" s="1"/>
        <i x="84" s="1"/>
        <i x="53" s="1"/>
        <i x="51" s="1"/>
        <i x="129" s="1"/>
        <i x="27" s="1"/>
        <i x="18" s="1"/>
        <i x="122" s="1"/>
        <i x="121" s="1"/>
        <i x="111" s="1"/>
        <i x="68" s="1"/>
        <i x="105" s="1"/>
        <i x="63" s="1"/>
        <i x="56" s="1"/>
        <i x="112" s="1"/>
        <i x="17" s="1"/>
        <i x="16" s="1"/>
        <i x="97" s="1"/>
        <i x="22" s="1"/>
        <i x="103" s="1"/>
        <i x="92" s="1"/>
        <i x="19" s="1"/>
        <i x="123" s="1"/>
        <i x="48" s="1"/>
        <i x="117" s="1"/>
        <i x="21" s="1"/>
        <i x="107" s="1"/>
        <i x="59" s="1"/>
        <i x="34" s="1"/>
        <i x="37" s="1"/>
        <i x="127" s="1"/>
        <i x="89" s="1"/>
        <i x="118" s="1"/>
        <i x="87" s="1"/>
        <i x="126" s="1"/>
        <i x="119" s="1"/>
        <i x="114" s="1"/>
        <i x="100" s="1"/>
        <i x="109" s="1"/>
        <i x="98" s="1"/>
        <i x="120" s="1"/>
        <i x="43" s="1"/>
        <i x="35" s="1"/>
        <i x="125" s="1"/>
        <i x="116" s="1"/>
        <i x="83" s="1"/>
        <i x="86" s="1"/>
        <i x="115" s="1"/>
        <i x="101" s="1"/>
        <i x="76" s="1"/>
        <i x="113" s="1"/>
        <i x="133" s="1" nd="1"/>
        <i x="165" s="1" nd="1"/>
        <i x="147" s="1" nd="1"/>
        <i x="151" s="1" nd="1"/>
        <i x="180" s="1" nd="1"/>
        <i x="156" s="1" nd="1"/>
        <i x="134" s="1" nd="1"/>
        <i x="138" s="1" nd="1"/>
        <i x="141" s="1" nd="1"/>
        <i x="169" s="1" nd="1"/>
        <i x="178" s="1" nd="1"/>
        <i x="142" s="1" nd="1"/>
        <i x="136" s="1" nd="1"/>
        <i x="146" s="1" nd="1"/>
        <i x="135" s="1" nd="1"/>
        <i x="161" s="1" nd="1"/>
        <i x="150" s="1" nd="1"/>
        <i x="132" s="1" nd="1"/>
        <i x="179" s="1" nd="1"/>
        <i x="163" s="1" nd="1"/>
        <i x="158" s="1" nd="1"/>
        <i x="143" s="1" nd="1"/>
        <i x="139" s="1" nd="1"/>
        <i x="148" s="1" nd="1"/>
        <i x="137" s="1" nd="1"/>
        <i x="175" s="1" nd="1"/>
        <i x="160" s="1" nd="1"/>
        <i x="152" s="1" nd="1"/>
        <i x="166" s="1" nd="1"/>
        <i x="170" s="1" nd="1"/>
        <i x="157" s="1" nd="1"/>
        <i x="168" s="1" nd="1"/>
        <i x="155" s="1" nd="1"/>
        <i x="171" s="1" nd="1"/>
        <i x="140" s="1" nd="1"/>
        <i x="181" s="1" nd="1"/>
        <i x="172" s="1" nd="1"/>
        <i x="167" s="1" nd="1"/>
        <i x="164" s="1" nd="1"/>
        <i x="145" s="1" nd="1"/>
        <i x="154" s="1" nd="1"/>
        <i x="153" s="1" nd="1"/>
        <i x="176" s="1" nd="1"/>
        <i x="162" s="1" nd="1"/>
        <i x="149" s="1" nd="1"/>
        <i x="182" s="1" nd="1"/>
        <i x="144" s="1" nd="1"/>
        <i x="159" s="1" nd="1"/>
        <i x="174" s="1" nd="1"/>
        <i x="173" s="1" nd="1"/>
        <i x="17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_USD" xr10:uid="{00000000-0013-0000-FFFF-FFFF03000000}" sourceName="Price (USD)">
  <pivotTables>
    <pivotTable tabId="3" name="PivotTable1"/>
    <pivotTable tabId="3" name="PivotTable3"/>
  </pivotTables>
  <data>
    <tabular pivotCacheId="2">
      <items count="539">
        <i x="219" s="1"/>
        <i x="118" s="1"/>
        <i x="292" s="1"/>
        <i x="164" s="1"/>
        <i x="243" s="1"/>
        <i x="45" s="1"/>
        <i x="179" s="1"/>
        <i x="254" s="1"/>
        <i x="160" s="1"/>
        <i x="191" s="1"/>
        <i x="289" s="1"/>
        <i x="72" s="1"/>
        <i x="140" s="1"/>
        <i x="86" s="1"/>
        <i x="275" s="1"/>
        <i x="212" s="1"/>
        <i x="200" s="1"/>
        <i x="195" s="1"/>
        <i x="130" s="1"/>
        <i x="267" s="1"/>
        <i x="211" s="1"/>
        <i x="169" s="1"/>
        <i x="213" s="1"/>
        <i x="290" s="1"/>
        <i x="210" s="1"/>
        <i x="253" s="1"/>
        <i x="85" s="1"/>
        <i x="294" s="1"/>
        <i x="282" s="1"/>
        <i x="181" s="1"/>
        <i x="273" s="1"/>
        <i x="271" s="1"/>
        <i x="172" s="1"/>
        <i x="260" s="1"/>
        <i x="259" s="1"/>
        <i x="255" s="1"/>
        <i x="264" s="1"/>
        <i x="246" s="1"/>
        <i x="281" s="1"/>
        <i x="239" s="1"/>
        <i x="262" s="1"/>
        <i x="223" s="1"/>
        <i x="231" s="1"/>
        <i x="151" s="1"/>
        <i x="235" s="1"/>
        <i x="232" s="1"/>
        <i x="244" s="1"/>
        <i x="65" s="1"/>
        <i x="237" s="1"/>
        <i x="228" s="1"/>
        <i x="126" s="1"/>
        <i x="233" s="1"/>
        <i x="220" s="1"/>
        <i x="145" s="1"/>
        <i x="136" s="1"/>
        <i x="71" s="1"/>
        <i x="59" s="1"/>
        <i x="198" s="1"/>
        <i x="194" s="1"/>
        <i x="225" s="1"/>
        <i x="241" s="1"/>
        <i x="131" s="1"/>
        <i x="78" s="1"/>
        <i x="176" s="1"/>
        <i x="279" s="1"/>
        <i x="84" s="1"/>
        <i x="127" s="1"/>
        <i x="249" s="1"/>
        <i x="175" s="1"/>
        <i x="174" s="1"/>
        <i x="206" s="1"/>
        <i x="121" s="1"/>
        <i x="268" s="1"/>
        <i x="76" s="1"/>
        <i x="109" s="1"/>
        <i x="162" s="1"/>
        <i x="113" s="1"/>
        <i x="87" s="1"/>
        <i x="185" s="1"/>
        <i x="63" s="1"/>
        <i x="173" s="1"/>
        <i x="82" s="1"/>
        <i x="147" s="1"/>
        <i x="234" s="1"/>
        <i x="221" s="1"/>
        <i x="230" s="1"/>
        <i x="47" s="1"/>
        <i x="215" s="1"/>
        <i x="166" s="1"/>
        <i x="177" s="1"/>
        <i x="187" s="1"/>
        <i x="143" s="1"/>
        <i x="205" s="1"/>
        <i x="193" s="1"/>
        <i x="98" s="1"/>
        <i x="202" s="1"/>
        <i x="83" s="1"/>
        <i x="91" s="1"/>
        <i x="224" s="1"/>
        <i x="115" s="1"/>
        <i x="138" s="1"/>
        <i x="208" s="1"/>
        <i x="199" s="1"/>
        <i x="183" s="1"/>
        <i x="81" s="1"/>
        <i x="144" s="1"/>
        <i x="135" s="1"/>
        <i x="122" s="1"/>
        <i x="30" s="1"/>
        <i x="64" s="1"/>
        <i x="163" s="1"/>
        <i x="106" s="1"/>
        <i x="217" s="1"/>
        <i x="285" s="1"/>
        <i x="132" s="1"/>
        <i x="56" s="1"/>
        <i x="171" s="1"/>
        <i x="251" s="1"/>
        <i x="133" s="1"/>
        <i x="49" s="1"/>
        <i x="103" s="1"/>
        <i x="277" s="1"/>
        <i x="116" s="1"/>
        <i x="190" s="1"/>
        <i x="114" s="1"/>
        <i x="139" s="1"/>
        <i x="276" s="1"/>
        <i x="74" s="1"/>
        <i x="188" s="1"/>
        <i x="201" s="1"/>
        <i x="124" s="1"/>
        <i x="274" s="1"/>
        <i x="256" s="1"/>
        <i x="117" s="1"/>
        <i x="27" s="1"/>
        <i x="88" s="1"/>
        <i x="291" s="1"/>
        <i x="33" s="1"/>
        <i x="203" s="1"/>
        <i x="240" s="1"/>
        <i x="22" s="1"/>
        <i x="258" s="1"/>
        <i x="104" s="1"/>
        <i x="119" s="1"/>
        <i x="51" s="1"/>
        <i x="50" s="1"/>
        <i x="24" s="1"/>
        <i x="21" s="1"/>
        <i x="156" s="1"/>
        <i x="57" s="1"/>
        <i x="125" s="1"/>
        <i x="165" s="1"/>
        <i x="75" s="1"/>
        <i x="161" s="1"/>
        <i x="141" s="1"/>
        <i x="278" s="1"/>
        <i x="66" s="1"/>
        <i x="242" s="1"/>
        <i x="134" s="1"/>
        <i x="40" s="1"/>
        <i x="263" s="1"/>
        <i x="146" s="1"/>
        <i x="214" s="1"/>
        <i x="92" s="1"/>
        <i x="43" s="1"/>
        <i x="204" s="1"/>
        <i x="23" s="1"/>
        <i x="152" s="1"/>
        <i x="10" s="1"/>
        <i x="89" s="1"/>
        <i x="25" s="1"/>
        <i x="266" s="1"/>
        <i x="261" s="1"/>
        <i x="159" s="1"/>
        <i x="158" s="1"/>
        <i x="68" s="1"/>
        <i x="148" s="1"/>
        <i x="137" s="1"/>
        <i x="186" s="1"/>
        <i x="42" s="1"/>
        <i x="61" s="1"/>
        <i x="26" s="1"/>
        <i x="142" s="1"/>
        <i x="93" s="1"/>
        <i x="192" s="1"/>
        <i x="108" s="1"/>
        <i x="236" s="1"/>
        <i x="128" s="1"/>
        <i x="293" s="1"/>
        <i x="48" s="1"/>
        <i x="52" s="1"/>
        <i x="37" s="1"/>
        <i x="80" s="1"/>
        <i x="62" s="1"/>
        <i x="90" s="1"/>
        <i x="154" s="1"/>
        <i x="29" s="1"/>
        <i x="100" s="1"/>
        <i x="101" s="1"/>
        <i x="155" s="1"/>
        <i x="197" s="1"/>
        <i x="168" s="1"/>
        <i x="79" s="1"/>
        <i x="70" s="1"/>
        <i x="178" s="1"/>
        <i x="216" s="1"/>
        <i x="8" s="1"/>
        <i x="182" s="1"/>
        <i x="16" s="1"/>
        <i x="280" s="1"/>
        <i x="180" s="1"/>
        <i x="58" s="1"/>
        <i x="34" s="1"/>
        <i x="229" s="1"/>
        <i x="149" s="1"/>
        <i x="167" s="1"/>
        <i x="20" s="1"/>
        <i x="31" s="1"/>
        <i x="102" s="1"/>
        <i x="129" s="1"/>
        <i x="107" s="1"/>
        <i x="36" s="1"/>
        <i x="39" s="1"/>
        <i x="41" s="1"/>
        <i x="55" s="1"/>
        <i x="46" s="1"/>
        <i x="3" s="1"/>
        <i x="6" s="1"/>
        <i x="35" s="1"/>
        <i x="19" s="1"/>
        <i x="32" s="1"/>
        <i x="112" s="1"/>
        <i x="69" s="1"/>
        <i x="5" s="1"/>
        <i x="17" s="1"/>
        <i x="60" s="1"/>
        <i x="67" s="1"/>
        <i x="97" s="1"/>
        <i x="99" s="1"/>
        <i x="94" s="1"/>
        <i x="54" s="1"/>
        <i x="38" s="1"/>
        <i x="73" s="1"/>
        <i x="77" s="1"/>
        <i x="13" s="1"/>
        <i x="250" s="1"/>
        <i x="283" s="1"/>
        <i x="12" s="1"/>
        <i x="53" s="1"/>
        <i x="123" s="1"/>
        <i x="248" s="1"/>
        <i x="247" s="1"/>
        <i x="222" s="1"/>
        <i x="226" s="1"/>
        <i x="284" s="1"/>
        <i x="238" s="1"/>
        <i x="209" s="1"/>
        <i x="286" s="1"/>
        <i x="9" s="1"/>
        <i x="120" s="1"/>
        <i x="7" s="1"/>
        <i x="288" s="1"/>
        <i x="287" s="1"/>
        <i x="189" s="1"/>
        <i x="15" s="1"/>
        <i x="227" s="1"/>
        <i x="105" s="1"/>
        <i x="265" s="1"/>
        <i x="0" s="1"/>
        <i x="157" s="1"/>
        <i x="95" s="1"/>
        <i x="257" s="1"/>
        <i x="153" s="1"/>
        <i x="272" s="1"/>
        <i x="14" s="1"/>
        <i x="196" s="1"/>
        <i x="207" s="1"/>
        <i x="150" s="1"/>
        <i x="269" s="1"/>
        <i x="4" s="1"/>
        <i x="96" s="1"/>
        <i x="11" s="1"/>
        <i x="170" s="1"/>
        <i x="270" s="1"/>
        <i x="252" s="1"/>
        <i x="44" s="1"/>
        <i x="2" s="1"/>
        <i x="110" s="1"/>
        <i x="1" s="1"/>
        <i x="245" s="1"/>
        <i x="28" s="1"/>
        <i x="184" s="1"/>
        <i x="218" s="1"/>
        <i x="18" s="1"/>
        <i x="111" s="1"/>
        <i x="368" s="1" nd="1"/>
        <i x="364" s="1" nd="1"/>
        <i x="396" s="1" nd="1"/>
        <i x="499" s="1" nd="1"/>
        <i x="395" s="1" nd="1"/>
        <i x="369" s="1" nd="1"/>
        <i x="334" s="1" nd="1"/>
        <i x="497" s="1" nd="1"/>
        <i x="344" s="1" nd="1"/>
        <i x="394" s="1" nd="1"/>
        <i x="527" s="1" nd="1"/>
        <i x="523" s="1" nd="1"/>
        <i x="474" s="1" nd="1"/>
        <i x="516" s="1" nd="1"/>
        <i x="461" s="1" nd="1"/>
        <i x="386" s="1" nd="1"/>
        <i x="479" s="1" nd="1"/>
        <i x="488" s="1" nd="1"/>
        <i x="528" s="1" nd="1"/>
        <i x="382" s="1" nd="1"/>
        <i x="518" s="1" nd="1"/>
        <i x="503" s="1" nd="1"/>
        <i x="402" s="1" nd="1"/>
        <i x="470" s="1" nd="1"/>
        <i x="354" s="1" nd="1"/>
        <i x="335" s="1" nd="1"/>
        <i x="357" s="1" nd="1"/>
        <i x="478" s="1" nd="1"/>
        <i x="322" s="1" nd="1"/>
        <i x="445" s="1" nd="1"/>
        <i x="514" s="1" nd="1"/>
        <i x="349" s="1" nd="1"/>
        <i x="463" s="1" nd="1"/>
        <i x="422" s="1" nd="1"/>
        <i x="475" s="1" nd="1"/>
        <i x="389" s="1" nd="1"/>
        <i x="533" s="1" nd="1"/>
        <i x="379" s="1" nd="1"/>
        <i x="496" s="1" nd="1"/>
        <i x="538" s="1" nd="1"/>
        <i x="410" s="1" nd="1"/>
        <i x="456" s="1" nd="1"/>
        <i x="348" s="1" nd="1"/>
        <i x="436" s="1" nd="1"/>
        <i x="484" s="1" nd="1"/>
        <i x="431" s="1" nd="1"/>
        <i x="495" s="1" nd="1"/>
        <i x="400" s="1" nd="1"/>
        <i x="391" s="1" nd="1"/>
        <i x="505" s="1" nd="1"/>
        <i x="393" s="1" nd="1"/>
        <i x="459" s="1" nd="1"/>
        <i x="430" s="1" nd="1"/>
        <i x="511" s="1" nd="1"/>
        <i x="450" s="1" nd="1"/>
        <i x="444" s="1" nd="1"/>
        <i x="471" s="1" nd="1"/>
        <i x="376" s="1" nd="1"/>
        <i x="416" s="1" nd="1"/>
        <i x="408" s="1" nd="1"/>
        <i x="462" s="1" nd="1"/>
        <i x="324" s="1" nd="1"/>
        <i x="415" s="1" nd="1"/>
        <i x="507" s="1" nd="1"/>
        <i x="483" s="1" nd="1"/>
        <i x="420" s="1" nd="1"/>
        <i x="537" s="1" nd="1"/>
        <i x="440" s="1" nd="1"/>
        <i x="355" s="1" nd="1"/>
        <i x="425" s="1" nd="1"/>
        <i x="520" s="1" nd="1"/>
        <i x="500" s="1" nd="1"/>
        <i x="472" s="1" nd="1"/>
        <i x="405" s="1" nd="1"/>
        <i x="397" s="1" nd="1"/>
        <i x="435" s="1" nd="1"/>
        <i x="531" s="1" nd="1"/>
        <i x="423" s="1" nd="1"/>
        <i x="517" s="1" nd="1"/>
        <i x="317" s="1" nd="1"/>
        <i x="427" s="1" nd="1"/>
        <i x="481" s="1" nd="1"/>
        <i x="485" s="1" nd="1"/>
        <i x="392" s="1" nd="1"/>
        <i x="513" s="1" nd="1"/>
        <i x="338" s="1" nd="1"/>
        <i x="365" s="1" nd="1"/>
        <i x="441" s="1" nd="1"/>
        <i x="480" s="1" nd="1"/>
        <i x="464" s="1" nd="1"/>
        <i x="429" s="1" nd="1"/>
        <i x="457" s="1" nd="1"/>
        <i x="448" s="1" nd="1"/>
        <i x="363" s="1" nd="1"/>
        <i x="519" s="1" nd="1"/>
        <i x="453" s="1" nd="1"/>
        <i x="398" s="1" nd="1"/>
        <i x="384" s="1" nd="1"/>
        <i x="532" s="1" nd="1"/>
        <i x="351" s="1" nd="1"/>
        <i x="339" s="1" nd="1"/>
        <i x="487" s="1" nd="1"/>
        <i x="390" s="1" nd="1"/>
        <i x="320" s="1" nd="1"/>
        <i x="535" s="1" nd="1"/>
        <i x="352" s="1" nd="1"/>
        <i x="428" s="1" nd="1"/>
        <i x="501" s="1" nd="1"/>
        <i x="326" s="1" nd="1"/>
        <i x="526" s="1" nd="1"/>
        <i x="521" s="1" nd="1"/>
        <i x="318" s="1" nd="1"/>
        <i x="370" s="1" nd="1"/>
        <i x="337" s="1" nd="1"/>
        <i x="372" s="1" nd="1"/>
        <i x="311" s="1" nd="1"/>
        <i x="310" s="1" nd="1"/>
        <i x="361" s="1" nd="1"/>
        <i x="417" s="1" nd="1"/>
        <i x="460" s="1" nd="1"/>
        <i x="504" s="1" nd="1"/>
        <i x="401" s="1" nd="1"/>
        <i x="304" s="1" nd="1"/>
        <i x="529" s="1" nd="1"/>
        <i x="358" s="1" nd="1"/>
        <i x="498" s="1" nd="1"/>
        <i x="367" s="1" nd="1"/>
        <i x="452" s="1" nd="1"/>
        <i x="465" s="1" nd="1"/>
        <i x="356" s="1" nd="1"/>
        <i x="387" s="1" nd="1"/>
        <i x="509" s="1" nd="1"/>
        <i x="522" s="1" nd="1"/>
        <i x="330" s="1" nd="1"/>
        <i x="378" s="1" nd="1"/>
        <i x="477" s="1" nd="1"/>
        <i x="340" s="1" nd="1"/>
        <i x="515" s="1" nd="1"/>
        <i x="489" s="1" nd="1"/>
        <i x="442" s="1" nd="1"/>
        <i x="323" s="1" nd="1"/>
        <i x="371" s="1" nd="1"/>
        <i x="424" s="1" nd="1"/>
        <i x="374" s="1" nd="1"/>
        <i x="404" s="1" nd="1"/>
        <i x="455" s="1" nd="1"/>
        <i x="388" s="1" nd="1"/>
        <i x="454" s="1" nd="1"/>
        <i x="315" s="1" nd="1"/>
        <i x="333" s="1" nd="1"/>
        <i x="446" s="1" nd="1"/>
        <i x="308" s="1" nd="1"/>
        <i x="346" s="1" nd="1"/>
        <i x="345" s="1" nd="1"/>
        <i x="328" s="1" nd="1"/>
        <i x="321" s="1" nd="1"/>
        <i x="409" s="1" nd="1"/>
        <i x="466" s="1" nd="1"/>
        <i x="467" s="1" nd="1"/>
        <i x="449" s="1" nd="1"/>
        <i x="486" s="1" nd="1"/>
        <i x="375" s="1" nd="1"/>
        <i x="360" s="1" nd="1"/>
        <i x="443" s="1" nd="1"/>
        <i x="343" s="1" nd="1"/>
        <i x="341" s="1" nd="1"/>
        <i x="302" s="1" nd="1"/>
        <i x="403" s="1" nd="1"/>
        <i x="347" s="1" nd="1"/>
        <i x="336" s="1" nd="1"/>
        <i x="353" s="1" nd="1"/>
        <i x="313" s="1" nd="1"/>
        <i x="433" s="1" nd="1"/>
        <i x="439" s="1" nd="1"/>
        <i x="406" s="1" nd="1"/>
        <i x="325" s="1" nd="1"/>
        <i x="309" s="1" nd="1"/>
        <i x="418" s="1" nd="1"/>
        <i x="432" s="1" nd="1"/>
        <i x="421" s="1" nd="1"/>
        <i x="327" s="1" nd="1"/>
        <i x="412" s="1" nd="1"/>
        <i x="331" s="1" nd="1"/>
        <i x="332" s="1" nd="1"/>
        <i x="299" s="1" nd="1"/>
        <i x="312" s="1" nd="1"/>
        <i x="300" s="1" nd="1"/>
        <i x="359" s="1" nd="1"/>
        <i x="381" s="1" nd="1"/>
        <i x="316" s="1" nd="1"/>
        <i x="414" s="1" nd="1"/>
        <i x="377" s="1" nd="1"/>
        <i x="342" s="1" nd="1"/>
        <i x="329" s="1" nd="1"/>
        <i x="447" s="1" nd="1"/>
        <i x="305" s="1" nd="1"/>
        <i x="314" s="1" nd="1"/>
        <i x="319" s="1" nd="1"/>
        <i x="362" s="1" nd="1"/>
        <i x="407" s="1" nd="1"/>
        <i x="536" s="1" nd="1"/>
        <i x="524" s="1" nd="1"/>
        <i x="366" s="1" nd="1"/>
        <i x="468" s="1" nd="1"/>
        <i x="303" s="1" nd="1"/>
        <i x="469" s="1" nd="1"/>
        <i x="491" s="1" nd="1"/>
        <i x="492" s="1" nd="1"/>
        <i x="530" s="1" nd="1"/>
        <i x="438" s="1" nd="1"/>
        <i x="301" s="1" nd="1"/>
        <i x="413" s="1" nd="1"/>
        <i x="508" s="1" nd="1"/>
        <i x="506" s="1" nd="1"/>
        <i x="510" s="1" nd="1"/>
        <i x="411" s="1" nd="1"/>
        <i x="434" s="1" nd="1"/>
        <i x="437" s="1" nd="1"/>
        <i x="373" s="1" nd="1"/>
        <i x="493" s="1" nd="1"/>
        <i x="473" s="1" nd="1"/>
        <i x="295" s="1" nd="1"/>
        <i x="502" s="1" nd="1"/>
        <i x="494" s="1" nd="1"/>
        <i x="399" s="1" nd="1"/>
        <i x="426" s="1" nd="1"/>
        <i x="350" s="1" nd="1"/>
        <i x="525" s="1" nd="1"/>
        <i x="534" s="1" nd="1"/>
        <i x="419" s="1" nd="1"/>
        <i x="307" s="1" nd="1"/>
        <i x="451" s="1" nd="1"/>
        <i x="490" s="1" nd="1"/>
        <i x="306" s="1" nd="1"/>
        <i x="476" s="1" nd="1"/>
        <i x="482" s="1" nd="1"/>
        <i x="512" s="1" nd="1"/>
        <i x="298" s="1" nd="1"/>
        <i x="458" s="1" nd="1"/>
        <i x="385" s="1" nd="1"/>
        <i x="380" s="1" nd="1"/>
        <i x="383" s="1" nd="1"/>
        <i x="297" s="1" nd="1"/>
        <i x="2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3FA5B579-225C-46CC-B7A1-E53C98F335A0}" sourceName="Price Range">
  <pivotTables>
    <pivotTable tabId="53" name="PivotTable1"/>
  </pivotTables>
  <data>
    <tabular pivotCacheId="1117437980">
      <items count="5">
        <i x="4"/>
        <i x="2" s="1"/>
        <i x="1"/>
        <i x="3"/>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1" xr10:uid="{AD981AEC-E9DB-48F3-A3ED-F729F82C9696}" cache="Slicer_Price_Range" caption="Price Rang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USD) 2" xr10:uid="{00000000-0014-0000-FFFF-FFFF04000000}" cache="Slicer_Price__USD1" caption="Price (USD)" startItem="3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1h Change (%)" xr10:uid="{00000000-0014-0000-FFFF-FFFF02000000}" cache="Slicer_1h_Change" caption="1h Change (%)" rowHeight="234950"/>
  <slicer name="Price (USD)" xr10:uid="{00000000-0014-0000-FFFF-FFFF01000000}" cache="Slicer_Price__USD" caption="Price (USD)" startItem="24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USD) 1" xr10:uid="{00000000-0014-0000-FFFF-FFFF03000000}" cache="Slicer_Price__USD1" caption="Price (USD)" startItem="32"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xr10:uid="{64178FEB-164A-46DF-BE22-9137EC6D89D9}" cache="Slicer_Price_Range" caption="Price Range"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BB453D0-C034-4CA4-973E-5E74C7A95AAA}" name="Table3" displayName="Table3" ref="G19:I25" totalsRowShown="0" headerRowDxfId="61" dataDxfId="60">
  <tableColumns count="3">
    <tableColumn id="1" xr3:uid="{A7217A38-6FFD-4FB4-B1BE-1F20062D650E}" name="Metric  " dataDxfId="59"/>
    <tableColumn id="2" xr3:uid="{AA9378E0-4E89-4EF1-9FDB-64A1EFAD112A}" name="Coin1" dataDxfId="58"/>
    <tableColumn id="3" xr3:uid="{9ECE1BFB-8125-45C5-9B27-B41E1B64A261}" name="Coin2" dataDxfId="57"/>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heet1" displayName="Sheet1" ref="A1:O301" tableType="queryTable" totalsRowShown="0">
  <autoFilter ref="A1:O301" xr:uid="{00000000-0009-0000-0100-000001000000}"/>
  <tableColumns count="15">
    <tableColumn id="1" xr3:uid="{00000000-0010-0000-0000-000001000000}" uniqueName="1" name="Coin Name" queryTableFieldId="1"/>
    <tableColumn id="2" xr3:uid="{00000000-0010-0000-0000-000002000000}" uniqueName="2" name="Symbol" queryTableFieldId="2"/>
    <tableColumn id="3" xr3:uid="{00000000-0010-0000-0000-000003000000}" uniqueName="3" name="Price (USD)" queryTableFieldId="3"/>
    <tableColumn id="4" xr3:uid="{00000000-0010-0000-0000-000004000000}" uniqueName="4" name="1h Change (%)" queryTableFieldId="4"/>
    <tableColumn id="5" xr3:uid="{00000000-0010-0000-0000-000005000000}" uniqueName="5" name="Market Cap" queryTableFieldId="5"/>
    <tableColumn id="6" xr3:uid="{00000000-0010-0000-0000-000006000000}" uniqueName="6" name="Volume (24h)" queryTableFieldId="6"/>
    <tableColumn id="7" xr3:uid="{00000000-0010-0000-0000-000007000000}" uniqueName="7" name="Circulating Supply" queryTableFieldId="7"/>
    <tableColumn id="8" xr3:uid="{00000000-0010-0000-0000-000008000000}" uniqueName="8" name="Doller Volume per Supply" queryTableFieldId="8" dataDxfId="9">
      <calculatedColumnFormula>Sheet1[[#This Row],[Volume (24h)]]/Sheet1[[#This Row],[Circulating Supply]]</calculatedColumnFormula>
    </tableColumn>
    <tableColumn id="9" xr3:uid="{00000000-0010-0000-0000-000009000000}" uniqueName="9" name="Rank " queryTableFieldId="9" dataDxfId="8">
      <calculatedColumnFormula>RANK(Sheet1[[#This Row],[Market Cap]],Sheet1[Market Cap],0)</calculatedColumnFormula>
    </tableColumn>
    <tableColumn id="10" xr3:uid="{00000000-0010-0000-0000-00000A000000}" uniqueName="10" name="Price range" queryTableFieldId="10" dataDxfId="7">
      <calculatedColumnFormula>IF(C212&lt;=0.5,"0-0.5",IF(C212&lt;=1,"0.5-1",IF(C212&lt;=2,"1-2",IF(C212&lt;=10,"2-10",IF(C212&lt;=100,"10-100",IF(C212&lt;=10000,"100-10000","10000+"))))))</calculatedColumnFormula>
    </tableColumn>
    <tableColumn id="11" xr3:uid="{00000000-0010-0000-0000-00000B000000}" uniqueName="11" name="Price Category" queryTableFieldId="11" dataDxfId="6">
      <calculatedColumnFormula>IF(C4&lt;=50,"$0-$50","Above $50")</calculatedColumnFormula>
    </tableColumn>
    <tableColumn id="12" xr3:uid="{00000000-0010-0000-0000-00000C000000}" uniqueName="12" name="Previous 1h Price" queryTableFieldId="12" dataDxfId="5">
      <calculatedColumnFormula>C2/(1+D2/100)</calculatedColumnFormula>
    </tableColumn>
    <tableColumn id="13" xr3:uid="{00000000-0010-0000-0000-00000D000000}" uniqueName="13" name="Task4 Price Range" queryTableFieldId="13" dataDxfId="4">
      <calculatedColumnFormula>IF(C4&lt;=10,"Up to $10","&gt;= $10")</calculatedColumnFormula>
    </tableColumn>
    <tableColumn id="14" xr3:uid="{00000000-0010-0000-0000-00000E000000}" uniqueName="14" name="24h Change (%)" queryTableFieldId="14" dataDxfId="3"/>
    <tableColumn id="15" xr3:uid="{00000000-0010-0000-0000-00000F000000}" uniqueName="15" name="7d Change (%)"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J301" totalsRowShown="0">
  <autoFilter ref="A1:J301" xr:uid="{00000000-0009-0000-0100-000002000000}"/>
  <tableColumns count="10">
    <tableColumn id="1" xr3:uid="{00000000-0010-0000-0100-000001000000}" name="Coin Name"/>
    <tableColumn id="2" xr3:uid="{00000000-0010-0000-0100-000002000000}" name="Symbol"/>
    <tableColumn id="3" xr3:uid="{00000000-0010-0000-0100-000003000000}" name="Price (USD)"/>
    <tableColumn id="4" xr3:uid="{00000000-0010-0000-0100-000004000000}" name="1h Change (%)"/>
    <tableColumn id="5" xr3:uid="{00000000-0010-0000-0100-000005000000}" name="Market Cap"/>
    <tableColumn id="6" xr3:uid="{00000000-0010-0000-0100-000006000000}" name="Volume (24h)"/>
    <tableColumn id="7" xr3:uid="{00000000-0010-0000-0100-000007000000}" name="Circulating Supply"/>
    <tableColumn id="8" xr3:uid="{00000000-0010-0000-0100-000008000000}" name="Doller Volume per Supply" dataDxfId="2">
      <calculatedColumnFormula>IFERROR(Sheet1[[#This Row],[Volume (24h)]]/Sheet1[[#This Row],[Circulating Supply]],0)</calculatedColumnFormula>
    </tableColumn>
    <tableColumn id="9" xr3:uid="{00000000-0010-0000-0100-000009000000}" name="Rank " dataDxfId="1">
      <calculatedColumnFormula>RANK(Table2[[#This Row],[Market Cap]],Table2[Market Cap],0)</calculatedColumnFormula>
    </tableColumn>
    <tableColumn id="10" xr3:uid="{00000000-0010-0000-0100-00000A000000}" name="Price range" dataDxfId="0">
      <calculatedColumnFormula>IF(C2&lt;=0.5,"0-0.5",IF(C2&lt;=1,"0.5-1",IF(C2&lt;=2,"1-2",IF(C2&lt;=10,"2-10",IF(C2&lt;=100,"10-100",IF(C2&lt;=10000,"100-10000","10000+"))))))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microsoft.com/office/2007/relationships/slicer" Target="../slicers/slicer3.xml"/></Relationships>
</file>

<file path=xl/worksheets/_rels/sheet14.xml.rels><?xml version="1.0" encoding="UTF-8" standalone="yes"?>
<Relationships xmlns="http://schemas.openxmlformats.org/package/2006/relationships"><Relationship Id="rId8" Type="http://schemas.openxmlformats.org/officeDocument/2006/relationships/pivotTable" Target="../pivotTables/pivotTable13.xml"/><Relationship Id="rId3" Type="http://schemas.openxmlformats.org/officeDocument/2006/relationships/pivotTable" Target="../pivotTables/pivotTable8.xml"/><Relationship Id="rId7" Type="http://schemas.openxmlformats.org/officeDocument/2006/relationships/pivotTable" Target="../pivotTables/pivotTable1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10" Type="http://schemas.microsoft.com/office/2007/relationships/slicer" Target="../slicers/slicer4.xml"/><Relationship Id="rId4" Type="http://schemas.openxmlformats.org/officeDocument/2006/relationships/pivotTable" Target="../pivotTables/pivotTable9.xml"/><Relationship Id="rId9"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10.xml"/><Relationship Id="rId1" Type="http://schemas.openxmlformats.org/officeDocument/2006/relationships/pivotTable" Target="../pivotTables/pivotTable1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J303"/>
  <sheetViews>
    <sheetView zoomScale="53" zoomScaleNormal="54" workbookViewId="0">
      <selection activeCell="K24" sqref="K24"/>
    </sheetView>
  </sheetViews>
  <sheetFormatPr defaultColWidth="9" defaultRowHeight="14.4"/>
  <cols>
    <col min="1" max="1" width="25.5546875" customWidth="1"/>
    <col min="3" max="3" width="11.44140625" customWidth="1"/>
    <col min="7" max="7" width="10" customWidth="1"/>
    <col min="8" max="8" width="11.77734375" customWidth="1"/>
    <col min="9" max="9" width="10.88671875" customWidth="1"/>
    <col min="10" max="10" width="20.44140625" customWidth="1"/>
  </cols>
  <sheetData>
    <row r="1" spans="1:10">
      <c r="A1" t="s">
        <v>902</v>
      </c>
    </row>
    <row r="3" spans="1:10" s="9" customFormat="1">
      <c r="A3" s="9" t="s">
        <v>307</v>
      </c>
      <c r="B3" s="9" t="s">
        <v>308</v>
      </c>
      <c r="C3" s="9" t="s">
        <v>312</v>
      </c>
      <c r="D3" s="9" t="s">
        <v>903</v>
      </c>
      <c r="F3" s="9" t="s">
        <v>904</v>
      </c>
      <c r="G3" s="9" t="s">
        <v>307</v>
      </c>
      <c r="H3" s="9" t="s">
        <v>312</v>
      </c>
      <c r="I3" s="10" t="s">
        <v>905</v>
      </c>
      <c r="J3" s="11">
        <f ca="1">NOW()</f>
        <v>46275.695887615744</v>
      </c>
    </row>
    <row r="4" spans="1:10">
      <c r="A4" t="str">
        <f>cleaned_data!A2</f>
        <v>CoinMarketCap 20 Index DTF</v>
      </c>
      <c r="B4" t="str">
        <f>cleaned_data!B2</f>
        <v>CMC20</v>
      </c>
      <c r="C4">
        <f>cleaned_data!F2</f>
        <v>2730000</v>
      </c>
      <c r="D4" t="str">
        <f>IF(OR(LEFT(A4,1)="A",LEFT(A4,1)="B",LEFT(A4,1)="C",LEFT(A4,1)="D",LEFT(A4,1)="E",LEFT(A4,1)="I",LEFT(A4,1)="O",LEFT(A4,1)="U"),"Yes","No")</f>
        <v>Yes</v>
      </c>
      <c r="F4" cm="1">
        <f t="array" ref="F4:F13">_xlfn.SEQUENCE(10)</f>
        <v>1</v>
      </c>
      <c r="G4" t="str" cm="1">
        <f t="array" ref="G4:H13">_xlfn.LET(_xlpm.names,A4:A303,_xlpm.volume,C4:C303,_xlpm.eligible,D4:D303="Yes",_xlfn._xlws.FILTER(_xlfn.SORTBY(_xlfn._xlws.FILTER(CHOOSE({1,2},_xlpm.names,_xlpm.volume),_xlpm.eligible),_xlfn._xlws.FILTER(_xlpm.volume,_xlpm.eligible),-1),_xlfn.SEQUENCE(ROWS(_xlfn._xlws.FILTER(_xlpm.names,_xlpm.eligible)))&lt;=10))</f>
        <v>BNB</v>
      </c>
      <c r="H4" s="25" t="str">
        <v>2049999999.9999998</v>
      </c>
      <c r="J4" s="12"/>
    </row>
    <row r="5" spans="1:10">
      <c r="A5" t="str">
        <f>cleaned_data!A3</f>
        <v>Bitcoin</v>
      </c>
      <c r="B5" t="str">
        <f>cleaned_data!B3</f>
        <v>BTC</v>
      </c>
      <c r="C5">
        <f>cleaned_data!F3</f>
        <v>60980000000</v>
      </c>
      <c r="D5" t="str">
        <f t="shared" ref="D5:D68" si="0">IF(OR(LEFT(A5,1)="A",LEFT(A5,1)="B",LEFT(A5,1)="C",LEFT(A5,1)="D",LEFT(A5,1)="E",LEFT(A5,1)="I",LEFT(A5,1)="O",LEFT(A5,1)="U"),"Yes","No")</f>
        <v>Yes</v>
      </c>
      <c r="F5">
        <v>2</v>
      </c>
      <c r="G5" t="str">
        <v>Dell Technologies Inc. tokenized stock (xStock)</v>
      </c>
      <c r="H5" s="25" t="str">
        <v>128770.00000000001</v>
      </c>
    </row>
    <row r="6" spans="1:10">
      <c r="A6" t="str">
        <f>cleaned_data!A4</f>
        <v>Ethereum</v>
      </c>
      <c r="B6" t="str">
        <f>cleaned_data!B4</f>
        <v>ETH</v>
      </c>
      <c r="C6">
        <f>cleaned_data!F4</f>
        <v>23510000000</v>
      </c>
      <c r="D6" t="str">
        <f t="shared" si="0"/>
        <v>Yes</v>
      </c>
      <c r="F6">
        <v>3</v>
      </c>
      <c r="G6" t="str">
        <v>Bitcoin</v>
      </c>
      <c r="H6">
        <v>60980000000</v>
      </c>
    </row>
    <row r="7" spans="1:10">
      <c r="A7" t="str">
        <f>cleaned_data!A5</f>
        <v>Tether</v>
      </c>
      <c r="B7" t="str">
        <f>cleaned_data!B5</f>
        <v>USDT</v>
      </c>
      <c r="C7" s="25" t="str">
        <f>cleaned_data!F5</f>
        <v>1.1449E+11</v>
      </c>
      <c r="D7" t="str">
        <f t="shared" si="0"/>
        <v>No</v>
      </c>
      <c r="F7" s="13">
        <v>4</v>
      </c>
      <c r="G7" t="str">
        <v>Ethereum</v>
      </c>
      <c r="H7">
        <v>23510000000</v>
      </c>
    </row>
    <row r="8" spans="1:10">
      <c r="A8" t="str">
        <f>cleaned_data!A6</f>
        <v>BNB</v>
      </c>
      <c r="B8" t="str">
        <f>cleaned_data!B6</f>
        <v>BNB</v>
      </c>
      <c r="C8" s="25" t="str">
        <f>cleaned_data!F6</f>
        <v>2049999999.9999998</v>
      </c>
      <c r="D8" t="str">
        <f t="shared" si="0"/>
        <v>Yes</v>
      </c>
      <c r="F8">
        <v>5</v>
      </c>
      <c r="G8" t="str">
        <v>USDC</v>
      </c>
      <c r="H8">
        <v>22520000000</v>
      </c>
    </row>
    <row r="9" spans="1:10">
      <c r="A9" t="str">
        <f>cleaned_data!A7</f>
        <v>XRP</v>
      </c>
      <c r="B9" t="str">
        <f>cleaned_data!B7</f>
        <v>XRP</v>
      </c>
      <c r="C9">
        <f>cleaned_data!F7</f>
        <v>6610000000</v>
      </c>
      <c r="D9" t="str">
        <f t="shared" si="0"/>
        <v>No</v>
      </c>
      <c r="F9">
        <v>6</v>
      </c>
      <c r="G9" t="str">
        <v>Dogecoin</v>
      </c>
      <c r="H9">
        <v>1400000000</v>
      </c>
    </row>
    <row r="10" spans="1:10">
      <c r="A10" t="str">
        <f>cleaned_data!A8</f>
        <v>USDC</v>
      </c>
      <c r="B10" t="str">
        <f>cleaned_data!B8</f>
        <v>USDC</v>
      </c>
      <c r="C10">
        <f>cleaned_data!F8</f>
        <v>22520000000</v>
      </c>
      <c r="D10" t="str">
        <f t="shared" si="0"/>
        <v>Yes</v>
      </c>
      <c r="F10">
        <v>7</v>
      </c>
      <c r="G10" t="str">
        <v>Chainlink</v>
      </c>
      <c r="H10">
        <v>542780000</v>
      </c>
    </row>
    <row r="11" spans="1:10">
      <c r="A11" t="str">
        <f>cleaned_data!A9</f>
        <v>Solana</v>
      </c>
      <c r="B11" t="str">
        <f>cleaned_data!B9</f>
        <v>SOL</v>
      </c>
      <c r="C11">
        <f>cleaned_data!F9</f>
        <v>7590000000</v>
      </c>
      <c r="D11" t="str">
        <f t="shared" si="0"/>
        <v>No</v>
      </c>
      <c r="F11">
        <v>8</v>
      </c>
      <c r="G11" t="str">
        <v>Bonk</v>
      </c>
      <c r="H11">
        <v>83170000</v>
      </c>
    </row>
    <row r="12" spans="1:10">
      <c r="A12" t="str">
        <f>cleaned_data!A10</f>
        <v>TRON</v>
      </c>
      <c r="B12" t="str">
        <f>cleaned_data!B10</f>
        <v>TRX</v>
      </c>
      <c r="C12" s="25" t="str">
        <f>cleaned_data!F10</f>
        <v>517450000.00000006</v>
      </c>
      <c r="D12" t="str">
        <f t="shared" si="0"/>
        <v>No</v>
      </c>
      <c r="F12">
        <v>9</v>
      </c>
      <c r="G12" t="str">
        <v>Usual</v>
      </c>
      <c r="H12">
        <v>28210000</v>
      </c>
    </row>
    <row r="13" spans="1:10">
      <c r="A13" t="str">
        <f>cleaned_data!A11</f>
        <v>Hyperliquid</v>
      </c>
      <c r="B13" t="str">
        <f>cleaned_data!B11</f>
        <v>HYPE</v>
      </c>
      <c r="C13">
        <f>cleaned_data!F11</f>
        <v>966160000</v>
      </c>
      <c r="D13" t="str">
        <f t="shared" si="0"/>
        <v>No</v>
      </c>
      <c r="F13">
        <v>10</v>
      </c>
      <c r="G13" t="str">
        <v>Audiera</v>
      </c>
      <c r="H13">
        <v>25280000</v>
      </c>
    </row>
    <row r="14" spans="1:10">
      <c r="A14" t="str">
        <f>cleaned_data!A12</f>
        <v>Dogecoin</v>
      </c>
      <c r="B14" t="str">
        <f>cleaned_data!B12</f>
        <v>DOGE</v>
      </c>
      <c r="C14">
        <f>cleaned_data!F12</f>
        <v>1400000000</v>
      </c>
      <c r="D14" t="str">
        <f t="shared" si="0"/>
        <v>Yes</v>
      </c>
    </row>
    <row r="15" spans="1:10">
      <c r="A15" t="str">
        <f>cleaned_data!A13</f>
        <v>Zcash</v>
      </c>
      <c r="B15" t="str">
        <f>cleaned_data!B13</f>
        <v>ZEC</v>
      </c>
      <c r="C15">
        <f>cleaned_data!F13</f>
        <v>1450000000</v>
      </c>
      <c r="D15" t="str">
        <f t="shared" si="0"/>
        <v>No</v>
      </c>
    </row>
    <row r="16" spans="1:10">
      <c r="A16" t="str">
        <f>cleaned_data!A14</f>
        <v>Chainlink</v>
      </c>
      <c r="B16" t="str">
        <f>cleaned_data!B14</f>
        <v>LINK</v>
      </c>
      <c r="C16">
        <f>cleaned_data!F14</f>
        <v>542780000</v>
      </c>
      <c r="D16" t="str">
        <f t="shared" si="0"/>
        <v>Yes</v>
      </c>
    </row>
    <row r="17" spans="1:4">
      <c r="A17" t="str">
        <f>cleaned_data!A15</f>
        <v>UNUS SED LEO</v>
      </c>
      <c r="B17" t="str">
        <f>cleaned_data!B15</f>
        <v>LEO</v>
      </c>
      <c r="C17">
        <f>cleaned_data!F15</f>
        <v>245000</v>
      </c>
      <c r="D17" t="str">
        <f t="shared" si="0"/>
        <v>Yes</v>
      </c>
    </row>
    <row r="18" spans="1:4">
      <c r="A18" t="str">
        <f>cleaned_data!A16</f>
        <v>Monero</v>
      </c>
      <c r="B18" t="str">
        <f>cleaned_data!B16</f>
        <v>XMR</v>
      </c>
      <c r="C18">
        <f>cleaned_data!F16</f>
        <v>132440000</v>
      </c>
      <c r="D18" t="str">
        <f t="shared" si="0"/>
        <v>No</v>
      </c>
    </row>
    <row r="19" spans="1:4">
      <c r="A19" t="str">
        <f>cleaned_data!A17</f>
        <v>Gnosis</v>
      </c>
      <c r="B19" t="str">
        <f>cleaned_data!B17</f>
        <v>GNO</v>
      </c>
      <c r="C19">
        <f>cleaned_data!F17</f>
        <v>1450000</v>
      </c>
      <c r="D19" t="str">
        <f t="shared" si="0"/>
        <v>No</v>
      </c>
    </row>
    <row r="20" spans="1:4">
      <c r="A20" t="str">
        <f>cleaned_data!A18</f>
        <v>Lido DAO</v>
      </c>
      <c r="B20" t="str">
        <f>cleaned_data!B18</f>
        <v>LDO</v>
      </c>
      <c r="C20">
        <f>cleaned_data!F18</f>
        <v>51460000</v>
      </c>
      <c r="D20" t="str">
        <f t="shared" si="0"/>
        <v>No</v>
      </c>
    </row>
    <row r="21" spans="1:4">
      <c r="A21" t="str">
        <f>cleaned_data!A19</f>
        <v>Pendle</v>
      </c>
      <c r="B21" t="str">
        <f>cleaned_data!B19</f>
        <v>PENDLE</v>
      </c>
      <c r="C21">
        <f>cleaned_data!F19</f>
        <v>60330000</v>
      </c>
      <c r="D21" t="str">
        <f t="shared" si="0"/>
        <v>No</v>
      </c>
    </row>
    <row r="22" spans="1:4">
      <c r="A22" t="str">
        <f>cleaned_data!A20</f>
        <v>Terra Classic</v>
      </c>
      <c r="B22" t="str">
        <f>cleaned_data!B20</f>
        <v>LUNC</v>
      </c>
      <c r="C22">
        <f>cleaned_data!F20</f>
        <v>19190000</v>
      </c>
      <c r="D22" t="str">
        <f t="shared" si="0"/>
        <v>No</v>
      </c>
    </row>
    <row r="23" spans="1:4">
      <c r="A23" t="str">
        <f>cleaned_data!A21</f>
        <v>Pieverse</v>
      </c>
      <c r="B23" t="str">
        <f>cleaned_data!B21</f>
        <v>PIEVERSE</v>
      </c>
      <c r="C23">
        <f>cleaned_data!F21</f>
        <v>30030000</v>
      </c>
      <c r="D23" t="str">
        <f t="shared" si="0"/>
        <v>No</v>
      </c>
    </row>
    <row r="24" spans="1:4">
      <c r="A24" t="str">
        <f>cleaned_data!A22</f>
        <v>Jito</v>
      </c>
      <c r="B24" t="str">
        <f>cleaned_data!B22</f>
        <v>JTO</v>
      </c>
      <c r="C24">
        <f>cleaned_data!F22</f>
        <v>60470000</v>
      </c>
      <c r="D24" t="str">
        <f t="shared" si="0"/>
        <v>No</v>
      </c>
    </row>
    <row r="25" spans="1:4">
      <c r="A25" t="str">
        <f>cleaned_data!A23</f>
        <v>BitTorrent [New]</v>
      </c>
      <c r="B25" t="str">
        <f>cleaned_data!B23</f>
        <v>BTT</v>
      </c>
      <c r="C25">
        <f>cleaned_data!F23</f>
        <v>6340000</v>
      </c>
      <c r="D25" t="str">
        <f t="shared" si="0"/>
        <v>Yes</v>
      </c>
    </row>
    <row r="26" spans="1:4">
      <c r="A26" t="str">
        <f>cleaned_data!A24</f>
        <v>Bonk</v>
      </c>
      <c r="B26" t="str">
        <f>cleaned_data!B24</f>
        <v>BONK</v>
      </c>
      <c r="C26">
        <f>cleaned_data!F24</f>
        <v>83170000</v>
      </c>
      <c r="D26" t="str">
        <f t="shared" si="0"/>
        <v>Yes</v>
      </c>
    </row>
    <row r="27" spans="1:4">
      <c r="A27" t="str">
        <f>cleaned_data!A25</f>
        <v>Falcon Finance</v>
      </c>
      <c r="B27" t="str">
        <f>cleaned_data!B25</f>
        <v>FF</v>
      </c>
      <c r="C27">
        <f>cleaned_data!F25</f>
        <v>21030000</v>
      </c>
      <c r="D27" t="str">
        <f t="shared" si="0"/>
        <v>No</v>
      </c>
    </row>
    <row r="28" spans="1:4">
      <c r="A28" t="str">
        <f>cleaned_data!A26</f>
        <v>AINFT</v>
      </c>
      <c r="B28" t="str">
        <f>cleaned_data!B26</f>
        <v>NFT</v>
      </c>
      <c r="C28">
        <f>cleaned_data!F26</f>
        <v>5840000</v>
      </c>
      <c r="D28" t="str">
        <f t="shared" si="0"/>
        <v>Yes</v>
      </c>
    </row>
    <row r="29" spans="1:4">
      <c r="A29" t="str">
        <f>cleaned_data!A27</f>
        <v>Plasma</v>
      </c>
      <c r="B29" t="str">
        <f>cleaned_data!B27</f>
        <v>XPL</v>
      </c>
      <c r="C29">
        <f>cleaned_data!F27</f>
        <v>115290000</v>
      </c>
      <c r="D29" t="str">
        <f t="shared" si="0"/>
        <v>No</v>
      </c>
    </row>
    <row r="30" spans="1:4">
      <c r="A30" t="str">
        <f>cleaned_data!A28</f>
        <v>Immutable</v>
      </c>
      <c r="B30" t="str">
        <f>cleaned_data!B28</f>
        <v>IMX</v>
      </c>
      <c r="C30">
        <f>cleaned_data!F28</f>
        <v>11630000</v>
      </c>
      <c r="D30" t="str">
        <f t="shared" si="0"/>
        <v>Yes</v>
      </c>
    </row>
    <row r="31" spans="1:4">
      <c r="A31" t="str">
        <f>cleaned_data!A29</f>
        <v>Conflux</v>
      </c>
      <c r="B31" t="str">
        <f>cleaned_data!B29</f>
        <v>CFX</v>
      </c>
      <c r="C31">
        <f>cleaned_data!F29</f>
        <v>12430000</v>
      </c>
      <c r="D31" t="str">
        <f t="shared" si="0"/>
        <v>Yes</v>
      </c>
    </row>
    <row r="32" spans="1:4">
      <c r="A32" t="str">
        <f>cleaned_data!A30</f>
        <v>FLOKI</v>
      </c>
      <c r="B32" t="str">
        <f>cleaned_data!B30</f>
        <v>FLOKI</v>
      </c>
      <c r="C32">
        <f>cleaned_data!F30</f>
        <v>43180000</v>
      </c>
      <c r="D32" t="str">
        <f t="shared" si="0"/>
        <v>No</v>
      </c>
    </row>
    <row r="33" spans="1:4">
      <c r="A33" t="str">
        <f>cleaned_data!A31</f>
        <v>Tezos</v>
      </c>
      <c r="B33" t="str">
        <f>cleaned_data!B31</f>
        <v>XTZ</v>
      </c>
      <c r="C33">
        <f>cleaned_data!F31</f>
        <v>6860000</v>
      </c>
      <c r="D33" t="str">
        <f t="shared" si="0"/>
        <v>No</v>
      </c>
    </row>
    <row r="34" spans="1:4">
      <c r="A34" t="str">
        <f>cleaned_data!A32</f>
        <v>Rain</v>
      </c>
      <c r="B34" t="str">
        <f>cleaned_data!B32</f>
        <v>RAIN</v>
      </c>
      <c r="C34">
        <f>cleaned_data!F32</f>
        <v>53610000</v>
      </c>
      <c r="D34" t="str">
        <f t="shared" si="0"/>
        <v>No</v>
      </c>
    </row>
    <row r="35" spans="1:4">
      <c r="A35" t="str">
        <f>cleaned_data!A33</f>
        <v>Decimal</v>
      </c>
      <c r="B35" t="str">
        <f>cleaned_data!B33</f>
        <v>DEL</v>
      </c>
      <c r="C35">
        <f>cleaned_data!F33</f>
        <v>269320</v>
      </c>
      <c r="D35" t="str">
        <f t="shared" si="0"/>
        <v>Yes</v>
      </c>
    </row>
    <row r="36" spans="1:4">
      <c r="A36" t="str">
        <f>cleaned_data!A34</f>
        <v>Ondo US Dollar Yield</v>
      </c>
      <c r="B36" t="str">
        <f>cleaned_data!B34</f>
        <v>USDY</v>
      </c>
      <c r="C36">
        <f>cleaned_data!F34</f>
        <v>887740</v>
      </c>
      <c r="D36" t="str">
        <f t="shared" si="0"/>
        <v>Yes</v>
      </c>
    </row>
    <row r="37" spans="1:4">
      <c r="A37" t="str">
        <f>cleaned_data!A35</f>
        <v>HTX</v>
      </c>
      <c r="B37" t="str">
        <f>cleaned_data!B35</f>
        <v>HTX</v>
      </c>
      <c r="C37">
        <f>cleaned_data!F35</f>
        <v>60830000</v>
      </c>
      <c r="D37" t="str">
        <f t="shared" si="0"/>
        <v>No</v>
      </c>
    </row>
    <row r="38" spans="1:4">
      <c r="A38" t="str">
        <f>cleaned_data!A36</f>
        <v>Bitway</v>
      </c>
      <c r="B38" t="str">
        <f>cleaned_data!B36</f>
        <v>BTW</v>
      </c>
      <c r="C38">
        <f>cleaned_data!F36</f>
        <v>22380000</v>
      </c>
      <c r="D38" t="str">
        <f t="shared" si="0"/>
        <v>Yes</v>
      </c>
    </row>
    <row r="39" spans="1:4">
      <c r="A39" t="str">
        <f>cleaned_data!A37</f>
        <v>USDGO</v>
      </c>
      <c r="B39" t="str">
        <f>cleaned_data!B37</f>
        <v>USDGO</v>
      </c>
      <c r="C39">
        <f>cleaned_data!F37</f>
        <v>15950000</v>
      </c>
      <c r="D39" t="str">
        <f t="shared" si="0"/>
        <v>Yes</v>
      </c>
    </row>
    <row r="40" spans="1:4">
      <c r="A40" t="str">
        <f>cleaned_data!A38</f>
        <v>Falcon USD</v>
      </c>
      <c r="B40" t="str">
        <f>cleaned_data!B38</f>
        <v>USDf</v>
      </c>
      <c r="C40">
        <f>cleaned_data!F38</f>
        <v>962330</v>
      </c>
      <c r="D40" t="str">
        <f t="shared" si="0"/>
        <v>No</v>
      </c>
    </row>
    <row r="41" spans="1:4">
      <c r="A41" t="str">
        <f>cleaned_data!A39</f>
        <v>c8ntinuum</v>
      </c>
      <c r="B41" t="str">
        <f>cleaned_data!B39</f>
        <v>CTM</v>
      </c>
      <c r="C41">
        <f>cleaned_data!F39</f>
        <v>17360000</v>
      </c>
      <c r="D41" t="str">
        <f t="shared" si="0"/>
        <v>Yes</v>
      </c>
    </row>
    <row r="42" spans="1:4">
      <c r="A42" t="str">
        <f>cleaned_data!A40</f>
        <v>Jupiter Perps LP</v>
      </c>
      <c r="B42" t="str">
        <f>cleaned_data!B40</f>
        <v>JLP</v>
      </c>
      <c r="C42">
        <f>cleaned_data!F40</f>
        <v>14320000</v>
      </c>
      <c r="D42" t="str">
        <f t="shared" si="0"/>
        <v>No</v>
      </c>
    </row>
    <row r="43" spans="1:4">
      <c r="A43" t="str">
        <f>cleaned_data!A41</f>
        <v>GHO</v>
      </c>
      <c r="B43" t="str">
        <f>cleaned_data!B41</f>
        <v>GHO</v>
      </c>
      <c r="C43">
        <f>cleaned_data!F41</f>
        <v>525060</v>
      </c>
      <c r="D43" t="str">
        <f t="shared" si="0"/>
        <v>No</v>
      </c>
    </row>
    <row r="44" spans="1:4">
      <c r="A44" t="str">
        <f>cleaned_data!A42</f>
        <v>Beldex</v>
      </c>
      <c r="B44" t="str">
        <f>cleaned_data!B42</f>
        <v>BDX</v>
      </c>
      <c r="C44">
        <f>cleaned_data!F42</f>
        <v>9910000</v>
      </c>
      <c r="D44" t="str">
        <f t="shared" si="0"/>
        <v>Yes</v>
      </c>
    </row>
    <row r="45" spans="1:4">
      <c r="A45" t="str">
        <f>cleaned_data!A43</f>
        <v>Usual USD</v>
      </c>
      <c r="B45" t="str">
        <f>cleaned_data!B43</f>
        <v>USD0</v>
      </c>
      <c r="C45">
        <f>cleaned_data!F43</f>
        <v>119760</v>
      </c>
      <c r="D45" t="str">
        <f t="shared" si="0"/>
        <v>Yes</v>
      </c>
    </row>
    <row r="46" spans="1:4">
      <c r="A46" t="str">
        <f>cleaned_data!A44</f>
        <v>USDai</v>
      </c>
      <c r="B46" t="str">
        <f>cleaned_data!B44</f>
        <v>USDAI</v>
      </c>
      <c r="C46">
        <f>cleaned_data!F44</f>
        <v>3240000</v>
      </c>
      <c r="D46" t="str">
        <f t="shared" si="0"/>
        <v>Yes</v>
      </c>
    </row>
    <row r="47" spans="1:4">
      <c r="A47" t="str">
        <f>cleaned_data!A45</f>
        <v>Solstice USX</v>
      </c>
      <c r="B47" t="str">
        <f>cleaned_data!B45</f>
        <v>USX</v>
      </c>
      <c r="C47">
        <f>cleaned_data!F45</f>
        <v>18730000</v>
      </c>
      <c r="D47" t="str">
        <f t="shared" si="0"/>
        <v>No</v>
      </c>
    </row>
    <row r="48" spans="1:4">
      <c r="A48" t="str">
        <f>cleaned_data!A46</f>
        <v>Unibase</v>
      </c>
      <c r="B48" t="str">
        <f>cleaned_data!B46</f>
        <v>UB</v>
      </c>
      <c r="C48">
        <f>cleaned_data!F46</f>
        <v>6520000</v>
      </c>
      <c r="D48" t="str">
        <f t="shared" si="0"/>
        <v>Yes</v>
      </c>
    </row>
    <row r="49" spans="1:4">
      <c r="A49" t="str">
        <f>cleaned_data!A47</f>
        <v>Pons</v>
      </c>
      <c r="B49" t="str">
        <f>cleaned_data!B47</f>
        <v>PONS</v>
      </c>
      <c r="C49">
        <f>cleaned_data!F47</f>
        <v>22180000</v>
      </c>
      <c r="D49" t="str">
        <f t="shared" si="0"/>
        <v>No</v>
      </c>
    </row>
    <row r="50" spans="1:4">
      <c r="A50" t="str">
        <f>cleaned_data!A48</f>
        <v>Diem</v>
      </c>
      <c r="B50" t="str">
        <f>cleaned_data!B48</f>
        <v>DIEM</v>
      </c>
      <c r="C50">
        <f>cleaned_data!F48</f>
        <v>936920</v>
      </c>
      <c r="D50" t="str">
        <f t="shared" si="0"/>
        <v>Yes</v>
      </c>
    </row>
    <row r="51" spans="1:4">
      <c r="A51" t="str">
        <f>cleaned_data!A49</f>
        <v>ECOMI</v>
      </c>
      <c r="B51" t="str">
        <f>cleaned_data!B49</f>
        <v>OMI</v>
      </c>
      <c r="C51">
        <f>cleaned_data!F49</f>
        <v>839940</v>
      </c>
      <c r="D51" t="str">
        <f t="shared" si="0"/>
        <v>Yes</v>
      </c>
    </row>
    <row r="52" spans="1:4">
      <c r="A52" t="str">
        <f>cleaned_data!A50</f>
        <v>Fidelity Digital Dollar</v>
      </c>
      <c r="B52" t="str">
        <f>cleaned_data!B50</f>
        <v>FIDD</v>
      </c>
      <c r="C52">
        <f>cleaned_data!F50</f>
        <v>147220000</v>
      </c>
      <c r="D52" t="str">
        <f t="shared" si="0"/>
        <v>No</v>
      </c>
    </row>
    <row r="53" spans="1:4">
      <c r="A53" t="str">
        <f>cleaned_data!A51</f>
        <v>Wormhole</v>
      </c>
      <c r="B53" t="str">
        <f>cleaned_data!B51</f>
        <v>W</v>
      </c>
      <c r="C53">
        <f>cleaned_data!F51</f>
        <v>99670000</v>
      </c>
      <c r="D53" t="str">
        <f t="shared" si="0"/>
        <v>No</v>
      </c>
    </row>
    <row r="54" spans="1:4">
      <c r="A54" t="str">
        <f>cleaned_data!A52</f>
        <v>NEXPACE</v>
      </c>
      <c r="B54" t="str">
        <f>cleaned_data!B52</f>
        <v>NXPC</v>
      </c>
      <c r="C54">
        <f>cleaned_data!F52</f>
        <v>7390000</v>
      </c>
      <c r="D54" t="str">
        <f t="shared" si="0"/>
        <v>No</v>
      </c>
    </row>
    <row r="55" spans="1:4">
      <c r="A55" t="str">
        <f>cleaned_data!A53</f>
        <v>BNB Attestation Service</v>
      </c>
      <c r="B55" t="str">
        <f>cleaned_data!B53</f>
        <v>BAS</v>
      </c>
      <c r="C55">
        <f>cleaned_data!F53</f>
        <v>1970000</v>
      </c>
      <c r="D55" t="str">
        <f t="shared" si="0"/>
        <v>Yes</v>
      </c>
    </row>
    <row r="56" spans="1:4">
      <c r="A56" t="str">
        <f>cleaned_data!A54</f>
        <v>Popcat (SOL)</v>
      </c>
      <c r="B56" t="str">
        <f>cleaned_data!B54</f>
        <v>POPCAT</v>
      </c>
      <c r="C56">
        <f>cleaned_data!F54</f>
        <v>12770000</v>
      </c>
      <c r="D56" t="str">
        <f t="shared" si="0"/>
        <v>No</v>
      </c>
    </row>
    <row r="57" spans="1:4">
      <c r="A57" t="str">
        <f>cleaned_data!A55</f>
        <v>would</v>
      </c>
      <c r="B57" t="str">
        <f>cleaned_data!B55</f>
        <v>WOULD</v>
      </c>
      <c r="C57">
        <f>cleaned_data!F55</f>
        <v>57090</v>
      </c>
      <c r="D57" t="str">
        <f t="shared" si="0"/>
        <v>No</v>
      </c>
    </row>
    <row r="58" spans="1:4">
      <c r="A58" t="str">
        <f>cleaned_data!A56</f>
        <v>Capricorn</v>
      </c>
      <c r="B58" t="str">
        <f>cleaned_data!B56</f>
        <v>APR</v>
      </c>
      <c r="C58">
        <f>cleaned_data!F56</f>
        <v>5170000</v>
      </c>
      <c r="D58" t="str">
        <f t="shared" si="0"/>
        <v>Yes</v>
      </c>
    </row>
    <row r="59" spans="1:4">
      <c r="A59" t="str">
        <f>cleaned_data!A57</f>
        <v>Targon</v>
      </c>
      <c r="B59" t="str">
        <f>cleaned_data!B57</f>
        <v>SN4</v>
      </c>
      <c r="C59">
        <f>cleaned_data!F57</f>
        <v>884820</v>
      </c>
      <c r="D59" t="str">
        <f t="shared" si="0"/>
        <v>No</v>
      </c>
    </row>
    <row r="60" spans="1:4">
      <c r="A60" t="str">
        <f>cleaned_data!A58</f>
        <v>Dohrnii</v>
      </c>
      <c r="B60" t="str">
        <f>cleaned_data!B58</f>
        <v>DHN</v>
      </c>
      <c r="C60">
        <f>cleaned_data!F58</f>
        <v>247990</v>
      </c>
      <c r="D60" t="str">
        <f t="shared" si="0"/>
        <v>Yes</v>
      </c>
    </row>
    <row r="61" spans="1:4">
      <c r="A61" t="str">
        <f>cleaned_data!A59</f>
        <v>StandX DUSD</v>
      </c>
      <c r="B61" t="str">
        <f>cleaned_data!B59</f>
        <v>DUSD</v>
      </c>
      <c r="C61">
        <f>cleaned_data!F59</f>
        <v>685770</v>
      </c>
      <c r="D61" t="str">
        <f t="shared" si="0"/>
        <v>No</v>
      </c>
    </row>
    <row r="62" spans="1:4">
      <c r="A62" t="str">
        <f>cleaned_data!A60</f>
        <v>Venus BUSD</v>
      </c>
      <c r="B62" t="str">
        <f>cleaned_data!B60</f>
        <v>vBUSD</v>
      </c>
      <c r="C62">
        <f>cleaned_data!F60</f>
        <v>0</v>
      </c>
      <c r="D62" t="str">
        <f t="shared" si="0"/>
        <v>No</v>
      </c>
    </row>
    <row r="63" spans="1:4">
      <c r="A63" t="str">
        <f>cleaned_data!A61</f>
        <v>Qubic</v>
      </c>
      <c r="B63" t="str">
        <f>cleaned_data!B61</f>
        <v>QUBIC</v>
      </c>
      <c r="C63">
        <f>cleaned_data!F61</f>
        <v>998460</v>
      </c>
      <c r="D63" t="str">
        <f t="shared" si="0"/>
        <v>No</v>
      </c>
    </row>
    <row r="64" spans="1:4">
      <c r="A64" t="str">
        <f>cleaned_data!A62</f>
        <v>Mask Network</v>
      </c>
      <c r="B64" t="str">
        <f>cleaned_data!B62</f>
        <v>MASK</v>
      </c>
      <c r="C64">
        <f>cleaned_data!F62</f>
        <v>5400000</v>
      </c>
      <c r="D64" t="str">
        <f t="shared" si="0"/>
        <v>No</v>
      </c>
    </row>
    <row r="65" spans="1:4">
      <c r="A65" t="str">
        <f>cleaned_data!A63</f>
        <v>Gravity</v>
      </c>
      <c r="B65" t="str">
        <f>cleaned_data!B63</f>
        <v>G</v>
      </c>
      <c r="C65">
        <f>cleaned_data!F63</f>
        <v>4510000</v>
      </c>
      <c r="D65" t="str">
        <f t="shared" si="0"/>
        <v>No</v>
      </c>
    </row>
    <row r="66" spans="1:4">
      <c r="A66" t="str">
        <f>cleaned_data!A64</f>
        <v>River</v>
      </c>
      <c r="B66" t="str">
        <f>cleaned_data!B64</f>
        <v>RIVER</v>
      </c>
      <c r="C66">
        <f>cleaned_data!F64</f>
        <v>3960000</v>
      </c>
      <c r="D66" t="str">
        <f t="shared" si="0"/>
        <v>No</v>
      </c>
    </row>
    <row r="67" spans="1:4">
      <c r="A67" t="str">
        <f>cleaned_data!A65</f>
        <v>Audiera</v>
      </c>
      <c r="B67" t="str">
        <f>cleaned_data!B65</f>
        <v>BEAT</v>
      </c>
      <c r="C67">
        <f>cleaned_data!F65</f>
        <v>25280000</v>
      </c>
      <c r="D67" t="str">
        <f t="shared" si="0"/>
        <v>Yes</v>
      </c>
    </row>
    <row r="68" spans="1:4">
      <c r="A68" t="str">
        <f>cleaned_data!A66</f>
        <v>Magma Finance</v>
      </c>
      <c r="B68" t="str">
        <f>cleaned_data!B66</f>
        <v>MAGMA</v>
      </c>
      <c r="C68">
        <f>cleaned_data!F66</f>
        <v>1140000</v>
      </c>
      <c r="D68" t="str">
        <f t="shared" si="0"/>
        <v>No</v>
      </c>
    </row>
    <row r="69" spans="1:4">
      <c r="A69" t="str">
        <f>cleaned_data!A67</f>
        <v>Locus Chain</v>
      </c>
      <c r="B69" t="str">
        <f>cleaned_data!B67</f>
        <v>LOCUS</v>
      </c>
      <c r="C69">
        <f>cleaned_data!F67</f>
        <v>108500</v>
      </c>
      <c r="D69" t="str">
        <f t="shared" ref="D69:D132" si="1">IF(OR(LEFT(A69,1)="A",LEFT(A69,1)="B",LEFT(A69,1)="C",LEFT(A69,1)="D",LEFT(A69,1)="E",LEFT(A69,1)="I",LEFT(A69,1)="O",LEFT(A69,1)="U"),"Yes","No")</f>
        <v>No</v>
      </c>
    </row>
    <row r="70" spans="1:4">
      <c r="A70" t="str">
        <f>cleaned_data!A68</f>
        <v>Aztec</v>
      </c>
      <c r="B70" t="str">
        <f>cleaned_data!B68</f>
        <v>AZTEC</v>
      </c>
      <c r="C70">
        <f>cleaned_data!F68</f>
        <v>6380000</v>
      </c>
      <c r="D70" t="str">
        <f t="shared" si="1"/>
        <v>Yes</v>
      </c>
    </row>
    <row r="71" spans="1:4">
      <c r="A71" t="str">
        <f>cleaned_data!A69</f>
        <v>Verge</v>
      </c>
      <c r="B71" t="str">
        <f>cleaned_data!B69</f>
        <v>XVG</v>
      </c>
      <c r="C71">
        <f>cleaned_data!F69</f>
        <v>1330000</v>
      </c>
      <c r="D71" t="str">
        <f t="shared" si="1"/>
        <v>No</v>
      </c>
    </row>
    <row r="72" spans="1:4">
      <c r="A72" t="str">
        <f>cleaned_data!A70</f>
        <v>Keeta</v>
      </c>
      <c r="B72" t="str">
        <f>cleaned_data!B70</f>
        <v>KTA</v>
      </c>
      <c r="C72">
        <f>cleaned_data!F70</f>
        <v>1550000</v>
      </c>
      <c r="D72" t="str">
        <f t="shared" si="1"/>
        <v>No</v>
      </c>
    </row>
    <row r="73" spans="1:4">
      <c r="A73" t="str">
        <f>cleaned_data!A71</f>
        <v>ssv.network</v>
      </c>
      <c r="B73" t="str">
        <f>cleaned_data!B71</f>
        <v>SSV</v>
      </c>
      <c r="C73">
        <f>cleaned_data!F71</f>
        <v>7120000</v>
      </c>
      <c r="D73" t="str">
        <f t="shared" si="1"/>
        <v>No</v>
      </c>
    </row>
    <row r="74" spans="1:4">
      <c r="A74" t="str">
        <f>cleaned_data!A72</f>
        <v>Lombard</v>
      </c>
      <c r="B74" t="str">
        <f>cleaned_data!B72</f>
        <v>BARD</v>
      </c>
      <c r="C74">
        <f>cleaned_data!F72</f>
        <v>5100000</v>
      </c>
      <c r="D74" t="str">
        <f t="shared" si="1"/>
        <v>No</v>
      </c>
    </row>
    <row r="75" spans="1:4">
      <c r="A75" t="str">
        <f>cleaned_data!A73</f>
        <v>Frankencoin</v>
      </c>
      <c r="B75" t="str">
        <f>cleaned_data!B73</f>
        <v>ZCHF</v>
      </c>
      <c r="C75">
        <f>cleaned_data!F73</f>
        <v>303340</v>
      </c>
      <c r="D75" t="str">
        <f t="shared" si="1"/>
        <v>No</v>
      </c>
    </row>
    <row r="76" spans="1:4">
      <c r="A76" t="str">
        <f>cleaned_data!A74</f>
        <v>ApeX Protocol</v>
      </c>
      <c r="B76" t="str">
        <f>cleaned_data!B74</f>
        <v>APEX</v>
      </c>
      <c r="C76">
        <f>cleaned_data!F74</f>
        <v>3820000</v>
      </c>
      <c r="D76" t="str">
        <f t="shared" si="1"/>
        <v>Yes</v>
      </c>
    </row>
    <row r="77" spans="1:4">
      <c r="A77" t="str">
        <f>cleaned_data!A75</f>
        <v>Threshold</v>
      </c>
      <c r="B77" t="str">
        <f>cleaned_data!B75</f>
        <v>T</v>
      </c>
      <c r="C77">
        <f>cleaned_data!F75</f>
        <v>2970000</v>
      </c>
      <c r="D77" t="str">
        <f t="shared" si="1"/>
        <v>No</v>
      </c>
    </row>
    <row r="78" spans="1:4">
      <c r="A78" t="str">
        <f>cleaned_data!A76</f>
        <v>Notcoin</v>
      </c>
      <c r="B78" t="str">
        <f>cleaned_data!B76</f>
        <v>NOT</v>
      </c>
      <c r="C78">
        <f>cleaned_data!F76</f>
        <v>5220000</v>
      </c>
      <c r="D78" t="str">
        <f t="shared" si="1"/>
        <v>No</v>
      </c>
    </row>
    <row r="79" spans="1:4">
      <c r="A79" t="str">
        <f>cleaned_data!A77</f>
        <v>templar</v>
      </c>
      <c r="B79" t="str">
        <f>cleaned_data!B77</f>
        <v>SN3</v>
      </c>
      <c r="C79">
        <f>cleaned_data!F77</f>
        <v>9670000</v>
      </c>
      <c r="D79" t="str">
        <f t="shared" si="1"/>
        <v>No</v>
      </c>
    </row>
    <row r="80" spans="1:4">
      <c r="A80" t="str">
        <f>cleaned_data!A78</f>
        <v>Vana</v>
      </c>
      <c r="B80" t="str">
        <f>cleaned_data!B78</f>
        <v>VANA</v>
      </c>
      <c r="C80">
        <f>cleaned_data!F78</f>
        <v>2310000</v>
      </c>
      <c r="D80" t="str">
        <f t="shared" si="1"/>
        <v>No</v>
      </c>
    </row>
    <row r="81" spans="1:4">
      <c r="A81" t="str">
        <f>cleaned_data!A79</f>
        <v>LUSD</v>
      </c>
      <c r="B81" t="str">
        <f>cleaned_data!B79</f>
        <v>LUSD</v>
      </c>
      <c r="C81">
        <f>cleaned_data!F79</f>
        <v>27880</v>
      </c>
      <c r="D81" t="str">
        <f t="shared" si="1"/>
        <v>No</v>
      </c>
    </row>
    <row r="82" spans="1:4">
      <c r="A82" t="str">
        <f>cleaned_data!A80</f>
        <v>World Mobile Token</v>
      </c>
      <c r="B82" t="str">
        <f>cleaned_data!B80</f>
        <v>WMTX</v>
      </c>
      <c r="C82">
        <f>cleaned_data!F80</f>
        <v>1110000</v>
      </c>
      <c r="D82" t="str">
        <f t="shared" si="1"/>
        <v>No</v>
      </c>
    </row>
    <row r="83" spans="1:4">
      <c r="A83" t="str">
        <f>cleaned_data!A81</f>
        <v>Lista DAO</v>
      </c>
      <c r="B83" t="str">
        <f>cleaned_data!B81</f>
        <v>LISTA</v>
      </c>
      <c r="C83">
        <f>cleaned_data!F81</f>
        <v>2890000</v>
      </c>
      <c r="D83" t="str">
        <f t="shared" si="1"/>
        <v>No</v>
      </c>
    </row>
    <row r="84" spans="1:4">
      <c r="A84" t="str">
        <f>cleaned_data!A82</f>
        <v>ZORA</v>
      </c>
      <c r="B84" t="str">
        <f>cleaned_data!B82</f>
        <v>ZORA</v>
      </c>
      <c r="C84">
        <f>cleaned_data!F82</f>
        <v>16820000</v>
      </c>
      <c r="D84" t="str">
        <f t="shared" si="1"/>
        <v>No</v>
      </c>
    </row>
    <row r="85" spans="1:4">
      <c r="A85" t="str">
        <f>cleaned_data!A83</f>
        <v>iota</v>
      </c>
      <c r="B85" t="str">
        <f>cleaned_data!B83</f>
        <v>SN9</v>
      </c>
      <c r="C85">
        <f>cleaned_data!F83</f>
        <v>149760</v>
      </c>
      <c r="D85" t="str">
        <f t="shared" si="1"/>
        <v>Yes</v>
      </c>
    </row>
    <row r="86" spans="1:4">
      <c r="A86" t="str">
        <f>cleaned_data!A84</f>
        <v>TerraClassicUSD</v>
      </c>
      <c r="B86" t="str">
        <f>cleaned_data!B84</f>
        <v>USTC</v>
      </c>
      <c r="C86">
        <f>cleaned_data!F84</f>
        <v>7170000</v>
      </c>
      <c r="D86" t="str">
        <f t="shared" si="1"/>
        <v>No</v>
      </c>
    </row>
    <row r="87" spans="1:4">
      <c r="A87" t="str">
        <f>cleaned_data!A85</f>
        <v>EthereumPoW</v>
      </c>
      <c r="B87" t="str">
        <f>cleaned_data!B85</f>
        <v>ETHW</v>
      </c>
      <c r="C87">
        <f>cleaned_data!F85</f>
        <v>1820000</v>
      </c>
      <c r="D87" t="str">
        <f t="shared" si="1"/>
        <v>Yes</v>
      </c>
    </row>
    <row r="88" spans="1:4">
      <c r="A88" t="str">
        <f>cleaned_data!A86</f>
        <v>Waves</v>
      </c>
      <c r="B88" t="str">
        <f>cleaned_data!B86</f>
        <v>WAVES</v>
      </c>
      <c r="C88">
        <f>cleaned_data!F86</f>
        <v>4230000</v>
      </c>
      <c r="D88" t="str">
        <f t="shared" si="1"/>
        <v>No</v>
      </c>
    </row>
    <row r="89" spans="1:4">
      <c r="A89" t="str">
        <f>cleaned_data!A87</f>
        <v>Fabric Protocol</v>
      </c>
      <c r="B89" t="str">
        <f>cleaned_data!B87</f>
        <v>ROBO</v>
      </c>
      <c r="C89">
        <f>cleaned_data!F87</f>
        <v>10730000</v>
      </c>
      <c r="D89" t="str">
        <f t="shared" si="1"/>
        <v>No</v>
      </c>
    </row>
    <row r="90" spans="1:4">
      <c r="A90" t="str">
        <f>cleaned_data!A88</f>
        <v>Sahara AI</v>
      </c>
      <c r="B90" t="str">
        <f>cleaned_data!B88</f>
        <v>SAHARA</v>
      </c>
      <c r="C90" s="25" t="str">
        <f>cleaned_data!F88</f>
        <v>8300000.000000001</v>
      </c>
      <c r="D90" t="str">
        <f t="shared" si="1"/>
        <v>No</v>
      </c>
    </row>
    <row r="91" spans="1:4">
      <c r="A91" t="str">
        <f>cleaned_data!A89</f>
        <v>Anoma</v>
      </c>
      <c r="B91" t="str">
        <f>cleaned_data!B89</f>
        <v>XAN</v>
      </c>
      <c r="C91">
        <f>cleaned_data!F89</f>
        <v>2300000</v>
      </c>
      <c r="D91" t="str">
        <f t="shared" si="1"/>
        <v>Yes</v>
      </c>
    </row>
    <row r="92" spans="1:4">
      <c r="A92" t="str">
        <f>cleaned_data!A90</f>
        <v>Status</v>
      </c>
      <c r="B92" t="str">
        <f>cleaned_data!B90</f>
        <v>SNT</v>
      </c>
      <c r="C92">
        <f>cleaned_data!F90</f>
        <v>1380000</v>
      </c>
      <c r="D92" t="str">
        <f t="shared" si="1"/>
        <v>No</v>
      </c>
    </row>
    <row r="93" spans="1:4">
      <c r="A93" t="str">
        <f>cleaned_data!A91</f>
        <v>DEAPcoin</v>
      </c>
      <c r="B93" t="str">
        <f>cleaned_data!B91</f>
        <v>DEP</v>
      </c>
      <c r="C93">
        <f>cleaned_data!F91</f>
        <v>146320</v>
      </c>
      <c r="D93" t="str">
        <f t="shared" si="1"/>
        <v>Yes</v>
      </c>
    </row>
    <row r="94" spans="1:4">
      <c r="A94" t="str">
        <f>cleaned_data!A92</f>
        <v>B3 (Base)</v>
      </c>
      <c r="B94" t="str">
        <f>cleaned_data!B92</f>
        <v>B3</v>
      </c>
      <c r="C94">
        <f>cleaned_data!F92</f>
        <v>6900000</v>
      </c>
      <c r="D94" t="str">
        <f t="shared" si="1"/>
        <v>Yes</v>
      </c>
    </row>
    <row r="95" spans="1:4">
      <c r="A95" t="str">
        <f>cleaned_data!A93</f>
        <v>GMT</v>
      </c>
      <c r="B95" t="str">
        <f>cleaned_data!B93</f>
        <v>GMT</v>
      </c>
      <c r="C95">
        <f>cleaned_data!F93</f>
        <v>5140000</v>
      </c>
      <c r="D95" t="str">
        <f t="shared" si="1"/>
        <v>No</v>
      </c>
    </row>
    <row r="96" spans="1:4">
      <c r="A96" t="str">
        <f>cleaned_data!A94</f>
        <v>Catizen</v>
      </c>
      <c r="B96" t="str">
        <f>cleaned_data!B94</f>
        <v>CATI</v>
      </c>
      <c r="C96">
        <f>cleaned_data!F94</f>
        <v>3040000</v>
      </c>
      <c r="D96" t="str">
        <f t="shared" si="1"/>
        <v>Yes</v>
      </c>
    </row>
    <row r="97" spans="1:4">
      <c r="A97" t="str">
        <f>cleaned_data!A95</f>
        <v>Block Street</v>
      </c>
      <c r="B97" t="str">
        <f>cleaned_data!B95</f>
        <v>BSB</v>
      </c>
      <c r="C97">
        <f>cleaned_data!F95</f>
        <v>13660000</v>
      </c>
      <c r="D97" t="str">
        <f t="shared" si="1"/>
        <v>Yes</v>
      </c>
    </row>
    <row r="98" spans="1:4">
      <c r="A98" t="str">
        <f>cleaned_data!A96</f>
        <v>Isiklar Coin</v>
      </c>
      <c r="B98" t="str">
        <f>cleaned_data!B96</f>
        <v>ISIKC</v>
      </c>
      <c r="C98">
        <f>cleaned_data!F96</f>
        <v>417870</v>
      </c>
      <c r="D98" t="str">
        <f t="shared" si="1"/>
        <v>Yes</v>
      </c>
    </row>
    <row r="99" spans="1:4">
      <c r="A99" t="str">
        <f>cleaned_data!A97</f>
        <v>Usual</v>
      </c>
      <c r="B99" t="str">
        <f>cleaned_data!B97</f>
        <v>USUAL</v>
      </c>
      <c r="C99">
        <f>cleaned_data!F97</f>
        <v>28210000</v>
      </c>
      <c r="D99" t="str">
        <f t="shared" si="1"/>
        <v>Yes</v>
      </c>
    </row>
    <row r="100" spans="1:4">
      <c r="A100" t="str">
        <f>cleaned_data!A98</f>
        <v>Pundi X (New)</v>
      </c>
      <c r="B100" t="str">
        <f>cleaned_data!B98</f>
        <v>PUNDIX</v>
      </c>
      <c r="C100">
        <f>cleaned_data!F98</f>
        <v>1290000</v>
      </c>
      <c r="D100" t="str">
        <f t="shared" si="1"/>
        <v>No</v>
      </c>
    </row>
    <row r="101" spans="1:4">
      <c r="A101" t="str">
        <f>cleaned_data!A99</f>
        <v>Stargate Finance</v>
      </c>
      <c r="B101" t="str">
        <f>cleaned_data!B99</f>
        <v>STG</v>
      </c>
      <c r="C101">
        <f>cleaned_data!F99</f>
        <v>9490000</v>
      </c>
      <c r="D101" t="str">
        <f t="shared" si="1"/>
        <v>No</v>
      </c>
    </row>
    <row r="102" spans="1:4">
      <c r="A102" t="str">
        <f>cleaned_data!A100</f>
        <v>Bounce Token</v>
      </c>
      <c r="B102" t="str">
        <f>cleaned_data!B100</f>
        <v>AUCTION</v>
      </c>
      <c r="C102">
        <f>cleaned_data!F100</f>
        <v>6610000</v>
      </c>
      <c r="D102" t="str">
        <f t="shared" si="1"/>
        <v>Yes</v>
      </c>
    </row>
    <row r="103" spans="1:4">
      <c r="A103" t="str">
        <f>cleaned_data!A101</f>
        <v>saffron.finance</v>
      </c>
      <c r="B103" t="str">
        <f>cleaned_data!B101</f>
        <v>SFI</v>
      </c>
      <c r="C103">
        <f>cleaned_data!F101</f>
        <v>43080</v>
      </c>
      <c r="D103" t="str">
        <f t="shared" si="1"/>
        <v>No</v>
      </c>
    </row>
    <row r="104" spans="1:4">
      <c r="A104" t="str">
        <f>cleaned_data!A102</f>
        <v>State Street SPDR S&amp;P 500 ETF Tokenized bStocks</v>
      </c>
      <c r="B104" t="str">
        <f>cleaned_data!B102</f>
        <v>SPYB</v>
      </c>
      <c r="C104">
        <f>cleaned_data!F102</f>
        <v>10970000</v>
      </c>
      <c r="D104" t="str">
        <f t="shared" si="1"/>
        <v>No</v>
      </c>
    </row>
    <row r="105" spans="1:4">
      <c r="A105" t="str">
        <f>cleaned_data!A103</f>
        <v>Metis</v>
      </c>
      <c r="B105" t="str">
        <f>cleaned_data!B103</f>
        <v>METIS</v>
      </c>
      <c r="C105">
        <f>cleaned_data!F103</f>
        <v>2390000</v>
      </c>
      <c r="D105" t="str">
        <f t="shared" si="1"/>
        <v>No</v>
      </c>
    </row>
    <row r="106" spans="1:4">
      <c r="A106" t="str">
        <f>cleaned_data!A104</f>
        <v>WOO</v>
      </c>
      <c r="B106" t="str">
        <f>cleaned_data!B104</f>
        <v>WOO</v>
      </c>
      <c r="C106">
        <f>cleaned_data!F104</f>
        <v>1620000</v>
      </c>
      <c r="D106" t="str">
        <f t="shared" si="1"/>
        <v>No</v>
      </c>
    </row>
    <row r="107" spans="1:4">
      <c r="A107" t="str">
        <f>cleaned_data!A105</f>
        <v>AO</v>
      </c>
      <c r="B107" t="str">
        <f>cleaned_data!B105</f>
        <v>AO</v>
      </c>
      <c r="C107">
        <f>cleaned_data!F105</f>
        <v>203450</v>
      </c>
      <c r="D107" t="str">
        <f t="shared" si="1"/>
        <v>Yes</v>
      </c>
    </row>
    <row r="108" spans="1:4">
      <c r="A108" t="str">
        <f>cleaned_data!A106</f>
        <v>Ergo</v>
      </c>
      <c r="B108" t="str">
        <f>cleaned_data!B106</f>
        <v>ERG</v>
      </c>
      <c r="C108">
        <f>cleaned_data!F106</f>
        <v>151230</v>
      </c>
      <c r="D108" t="str">
        <f t="shared" si="1"/>
        <v>Yes</v>
      </c>
    </row>
    <row r="109" spans="1:4">
      <c r="A109" t="str">
        <f>cleaned_data!A107</f>
        <v>MAX Exchange Token</v>
      </c>
      <c r="B109" t="str">
        <f>cleaned_data!B107</f>
        <v>MAX</v>
      </c>
      <c r="C109">
        <f>cleaned_data!F107</f>
        <v>204590</v>
      </c>
      <c r="D109" t="str">
        <f t="shared" si="1"/>
        <v>No</v>
      </c>
    </row>
    <row r="110" spans="1:4">
      <c r="A110" t="str">
        <f>cleaned_data!A108</f>
        <v>Young</v>
      </c>
      <c r="B110" t="str">
        <f>cleaned_data!B108</f>
        <v>YNG</v>
      </c>
      <c r="C110">
        <f>cleaned_data!F108</f>
        <v>15840</v>
      </c>
      <c r="D110" t="str">
        <f t="shared" si="1"/>
        <v>No</v>
      </c>
    </row>
    <row r="111" spans="1:4">
      <c r="A111" t="str">
        <f>cleaned_data!A109</f>
        <v>STBL</v>
      </c>
      <c r="B111" t="str">
        <f>cleaned_data!B109</f>
        <v>STBL</v>
      </c>
      <c r="C111">
        <f>cleaned_data!F109</f>
        <v>2320000</v>
      </c>
      <c r="D111" t="str">
        <f t="shared" si="1"/>
        <v>No</v>
      </c>
    </row>
    <row r="112" spans="1:4">
      <c r="A112" t="str">
        <f>cleaned_data!A110</f>
        <v>BitMart Token</v>
      </c>
      <c r="B112" t="str">
        <f>cleaned_data!B110</f>
        <v>BMX</v>
      </c>
      <c r="C112">
        <f>cleaned_data!F110</f>
        <v>907370</v>
      </c>
      <c r="D112" t="str">
        <f t="shared" si="1"/>
        <v>Yes</v>
      </c>
    </row>
    <row r="113" spans="1:4">
      <c r="A113" t="str">
        <f>cleaned_data!A111</f>
        <v>Goldgr</v>
      </c>
      <c r="B113" t="str">
        <f>cleaned_data!B111</f>
        <v>GOLDGR</v>
      </c>
      <c r="C113">
        <f>cleaned_data!F111</f>
        <v>0</v>
      </c>
      <c r="D113" t="str">
        <f t="shared" si="1"/>
        <v>No</v>
      </c>
    </row>
    <row r="114" spans="1:4">
      <c r="A114" t="str">
        <f>cleaned_data!A112</f>
        <v>Jimothy The Raccoon</v>
      </c>
      <c r="B114" t="str">
        <f>cleaned_data!B112</f>
        <v>JIMOTHY</v>
      </c>
      <c r="C114">
        <f>cleaned_data!F112</f>
        <v>6480000</v>
      </c>
      <c r="D114" t="str">
        <f t="shared" si="1"/>
        <v>No</v>
      </c>
    </row>
    <row r="115" spans="1:4">
      <c r="A115" t="str">
        <f>cleaned_data!A113</f>
        <v>Enso</v>
      </c>
      <c r="B115" t="str">
        <f>cleaned_data!B113</f>
        <v>ENSO</v>
      </c>
      <c r="C115">
        <f>cleaned_data!F113</f>
        <v>7290000</v>
      </c>
      <c r="D115" t="str">
        <f t="shared" si="1"/>
        <v>Yes</v>
      </c>
    </row>
    <row r="116" spans="1:4">
      <c r="A116" t="str">
        <f>cleaned_data!A114</f>
        <v>Cobak Token</v>
      </c>
      <c r="B116" t="str">
        <f>cleaned_data!B114</f>
        <v>CBK</v>
      </c>
      <c r="C116">
        <f>cleaned_data!F114</f>
        <v>1370000</v>
      </c>
      <c r="D116" t="str">
        <f t="shared" si="1"/>
        <v>Yes</v>
      </c>
    </row>
    <row r="117" spans="1:4">
      <c r="A117" t="str">
        <f>cleaned_data!A115</f>
        <v>Codatta</v>
      </c>
      <c r="B117" t="str">
        <f>cleaned_data!B115</f>
        <v>XNY</v>
      </c>
      <c r="C117">
        <f>cleaned_data!F115</f>
        <v>886810</v>
      </c>
      <c r="D117" t="str">
        <f t="shared" si="1"/>
        <v>Yes</v>
      </c>
    </row>
    <row r="118" spans="1:4">
      <c r="A118" t="str">
        <f>cleaned_data!A116</f>
        <v>Tether Gold Tokens</v>
      </c>
      <c r="B118" t="str">
        <f>cleaned_data!B116</f>
        <v>XAUT0</v>
      </c>
      <c r="C118">
        <f>cleaned_data!F116</f>
        <v>526880</v>
      </c>
      <c r="D118" t="str">
        <f t="shared" si="1"/>
        <v>No</v>
      </c>
    </row>
    <row r="119" spans="1:4">
      <c r="A119" t="str">
        <f>cleaned_data!A117</f>
        <v>Spell Token</v>
      </c>
      <c r="B119" t="str">
        <f>cleaned_data!B117</f>
        <v>SPELL</v>
      </c>
      <c r="C119">
        <f>cleaned_data!F117</f>
        <v>20000000</v>
      </c>
      <c r="D119" t="str">
        <f t="shared" si="1"/>
        <v>No</v>
      </c>
    </row>
    <row r="120" spans="1:4">
      <c r="A120" t="str">
        <f>cleaned_data!A118</f>
        <v>Namecoin</v>
      </c>
      <c r="B120" t="str">
        <f>cleaned_data!B118</f>
        <v>NMC</v>
      </c>
      <c r="C120">
        <f>cleaned_data!F118</f>
        <v>5010</v>
      </c>
      <c r="D120" t="str">
        <f t="shared" si="1"/>
        <v>No</v>
      </c>
    </row>
    <row r="121" spans="1:4">
      <c r="A121" t="str">
        <f>cleaned_data!A119</f>
        <v>Pocket Network</v>
      </c>
      <c r="B121" t="str">
        <f>cleaned_data!B119</f>
        <v>POKT</v>
      </c>
      <c r="C121">
        <f>cleaned_data!F119</f>
        <v>407350</v>
      </c>
      <c r="D121" t="str">
        <f t="shared" si="1"/>
        <v>No</v>
      </c>
    </row>
    <row r="122" spans="1:4">
      <c r="A122" t="str">
        <f>cleaned_data!A120</f>
        <v>NaoX Protocol</v>
      </c>
      <c r="B122" t="str">
        <f>cleaned_data!B120</f>
        <v>NAORIS</v>
      </c>
      <c r="C122">
        <f>cleaned_data!F120</f>
        <v>1790000</v>
      </c>
      <c r="D122" t="str">
        <f t="shared" si="1"/>
        <v>No</v>
      </c>
    </row>
    <row r="123" spans="1:4">
      <c r="A123" t="str">
        <f>cleaned_data!A121</f>
        <v>Eesee</v>
      </c>
      <c r="B123" t="str">
        <f>cleaned_data!B121</f>
        <v>ESE</v>
      </c>
      <c r="C123">
        <f>cleaned_data!F121</f>
        <v>465220</v>
      </c>
      <c r="D123" t="str">
        <f t="shared" si="1"/>
        <v>Yes</v>
      </c>
    </row>
    <row r="124" spans="1:4">
      <c r="A124" t="str">
        <f>cleaned_data!A122</f>
        <v>Corn</v>
      </c>
      <c r="B124" t="str">
        <f>cleaned_data!B122</f>
        <v>CORN</v>
      </c>
      <c r="C124">
        <f>cleaned_data!F122</f>
        <v>2840000</v>
      </c>
      <c r="D124" t="str">
        <f t="shared" si="1"/>
        <v>Yes</v>
      </c>
    </row>
    <row r="125" spans="1:4">
      <c r="A125" t="str">
        <f>cleaned_data!A123</f>
        <v>Mey Network</v>
      </c>
      <c r="B125" t="str">
        <f>cleaned_data!B123</f>
        <v>MEY</v>
      </c>
      <c r="C125">
        <f>cleaned_data!F123</f>
        <v>563750</v>
      </c>
      <c r="D125" t="str">
        <f t="shared" si="1"/>
        <v>No</v>
      </c>
    </row>
    <row r="126" spans="1:4">
      <c r="A126" t="str">
        <f>cleaned_data!A124</f>
        <v>Pepecoin</v>
      </c>
      <c r="B126" t="str">
        <f>cleaned_data!B124</f>
        <v>PEP</v>
      </c>
      <c r="C126">
        <f>cleaned_data!F124</f>
        <v>39560</v>
      </c>
      <c r="D126" t="str">
        <f t="shared" si="1"/>
        <v>No</v>
      </c>
    </row>
    <row r="127" spans="1:4">
      <c r="A127" t="str">
        <f>cleaned_data!A125</f>
        <v>AEON</v>
      </c>
      <c r="B127" t="str">
        <f>cleaned_data!B125</f>
        <v>AEON</v>
      </c>
      <c r="C127">
        <f>cleaned_data!F125</f>
        <v>20310000</v>
      </c>
      <c r="D127" t="str">
        <f t="shared" si="1"/>
        <v>Yes</v>
      </c>
    </row>
    <row r="128" spans="1:4">
      <c r="A128" t="str">
        <f>cleaned_data!A126</f>
        <v>Intel Tokenized Stock (Reality)</v>
      </c>
      <c r="B128" t="str">
        <f>cleaned_data!B126</f>
        <v>rINTC</v>
      </c>
      <c r="C128">
        <f>cleaned_data!F126</f>
        <v>384300</v>
      </c>
      <c r="D128" t="str">
        <f t="shared" si="1"/>
        <v>Yes</v>
      </c>
    </row>
    <row r="129" spans="1:4">
      <c r="A129" t="str">
        <f>cleaned_data!A127</f>
        <v>Infinex</v>
      </c>
      <c r="B129" t="str">
        <f>cleaned_data!B127</f>
        <v>INX</v>
      </c>
      <c r="C129">
        <f>cleaned_data!F127</f>
        <v>1380000</v>
      </c>
      <c r="D129" t="str">
        <f t="shared" si="1"/>
        <v>Yes</v>
      </c>
    </row>
    <row r="130" spans="1:4">
      <c r="A130" t="str">
        <f>cleaned_data!A128</f>
        <v>Yooldo</v>
      </c>
      <c r="B130" t="str">
        <f>cleaned_data!B128</f>
        <v>ESPORTS</v>
      </c>
      <c r="C130">
        <f>cleaned_data!F128</f>
        <v>1310000</v>
      </c>
      <c r="D130" t="str">
        <f t="shared" si="1"/>
        <v>No</v>
      </c>
    </row>
    <row r="131" spans="1:4">
      <c r="A131" t="str">
        <f>cleaned_data!A129</f>
        <v>SoFi Technologies Tokenized Stock (Ondo)</v>
      </c>
      <c r="B131" t="str">
        <f>cleaned_data!B129</f>
        <v>SOFIon</v>
      </c>
      <c r="C131">
        <f>cleaned_data!F129</f>
        <v>541280</v>
      </c>
      <c r="D131" t="str">
        <f t="shared" si="1"/>
        <v>No</v>
      </c>
    </row>
    <row r="132" spans="1:4">
      <c r="A132" t="str">
        <f>cleaned_data!A130</f>
        <v>Boundless</v>
      </c>
      <c r="B132" t="str">
        <f>cleaned_data!B130</f>
        <v>ZKC</v>
      </c>
      <c r="C132">
        <f>cleaned_data!F130</f>
        <v>3340000</v>
      </c>
      <c r="D132" t="str">
        <f t="shared" si="1"/>
        <v>Yes</v>
      </c>
    </row>
    <row r="133" spans="1:4">
      <c r="A133" t="str">
        <f>cleaned_data!A131</f>
        <v>Fluent</v>
      </c>
      <c r="B133" t="str">
        <f>cleaned_data!B131</f>
        <v>BLEND</v>
      </c>
      <c r="C133">
        <f>cleaned_data!F131</f>
        <v>9280000</v>
      </c>
      <c r="D133" t="str">
        <f t="shared" ref="D133:D196" si="2">IF(OR(LEFT(A133,1)="A",LEFT(A133,1)="B",LEFT(A133,1)="C",LEFT(A133,1)="D",LEFT(A133,1)="E",LEFT(A133,1)="I",LEFT(A133,1)="O",LEFT(A133,1)="U"),"Yes","No")</f>
        <v>No</v>
      </c>
    </row>
    <row r="134" spans="1:4">
      <c r="A134" t="str">
        <f>cleaned_data!A132</f>
        <v>Solv Protocol</v>
      </c>
      <c r="B134" t="str">
        <f>cleaned_data!B132</f>
        <v>SOLV</v>
      </c>
      <c r="C134">
        <f>cleaned_data!F132</f>
        <v>7060000</v>
      </c>
      <c r="D134" t="str">
        <f t="shared" si="2"/>
        <v>No</v>
      </c>
    </row>
    <row r="135" spans="1:4">
      <c r="A135" t="str">
        <f>cleaned_data!A133</f>
        <v>GYEN</v>
      </c>
      <c r="B135" t="str">
        <f>cleaned_data!B133</f>
        <v>GYEN</v>
      </c>
      <c r="C135">
        <f>cleaned_data!F133</f>
        <v>25.96</v>
      </c>
      <c r="D135" t="str">
        <f t="shared" si="2"/>
        <v>No</v>
      </c>
    </row>
    <row r="136" spans="1:4">
      <c r="A136" t="str">
        <f>cleaned_data!A134</f>
        <v>ROGin AI</v>
      </c>
      <c r="B136" t="str">
        <f>cleaned_data!B134</f>
        <v>ROG</v>
      </c>
      <c r="C136">
        <f>cleaned_data!F134</f>
        <v>14040</v>
      </c>
      <c r="D136" t="str">
        <f t="shared" si="2"/>
        <v>No</v>
      </c>
    </row>
    <row r="137" spans="1:4">
      <c r="A137" t="str">
        <f>cleaned_data!A135</f>
        <v>Firo</v>
      </c>
      <c r="B137" t="str">
        <f>cleaned_data!B135</f>
        <v>FIRO</v>
      </c>
      <c r="C137">
        <f>cleaned_data!F135</f>
        <v>245350</v>
      </c>
      <c r="D137" t="str">
        <f t="shared" si="2"/>
        <v>No</v>
      </c>
    </row>
    <row r="138" spans="1:4">
      <c r="A138" t="str">
        <f>cleaned_data!A136</f>
        <v>MovieBloc</v>
      </c>
      <c r="B138" t="str">
        <f>cleaned_data!B136</f>
        <v>MBL</v>
      </c>
      <c r="C138">
        <f>cleaned_data!F136</f>
        <v>1690000</v>
      </c>
      <c r="D138" t="str">
        <f t="shared" si="2"/>
        <v>No</v>
      </c>
    </row>
    <row r="139" spans="1:4">
      <c r="A139" t="str">
        <f>cleaned_data!A137</f>
        <v>DIAM</v>
      </c>
      <c r="B139" t="str">
        <f>cleaned_data!B137</f>
        <v>DIAM</v>
      </c>
      <c r="C139">
        <f>cleaned_data!F137</f>
        <v>252970</v>
      </c>
      <c r="D139" t="str">
        <f t="shared" si="2"/>
        <v>Yes</v>
      </c>
    </row>
    <row r="140" spans="1:4">
      <c r="A140" t="str">
        <f>cleaned_data!A138</f>
        <v>RAMP</v>
      </c>
      <c r="B140" t="str">
        <f>cleaned_data!B138</f>
        <v>RAMP</v>
      </c>
      <c r="C140">
        <f>cleaned_data!F138</f>
        <v>0</v>
      </c>
      <c r="D140" t="str">
        <f t="shared" si="2"/>
        <v>No</v>
      </c>
    </row>
    <row r="141" spans="1:4">
      <c r="A141" t="str">
        <f>cleaned_data!A139</f>
        <v>Dolomite</v>
      </c>
      <c r="B141" t="str">
        <f>cleaned_data!B139</f>
        <v>DOLO</v>
      </c>
      <c r="C141">
        <f>cleaned_data!F139</f>
        <v>3500000</v>
      </c>
      <c r="D141" t="str">
        <f t="shared" si="2"/>
        <v>Yes</v>
      </c>
    </row>
    <row r="142" spans="1:4">
      <c r="A142" t="str">
        <f>cleaned_data!A140</f>
        <v>Limitless</v>
      </c>
      <c r="B142" t="str">
        <f>cleaned_data!B140</f>
        <v>LMTS</v>
      </c>
      <c r="C142" s="25" t="str">
        <f>cleaned_data!F140</f>
        <v>2029999.9999999998</v>
      </c>
      <c r="D142" t="str">
        <f t="shared" si="2"/>
        <v>No</v>
      </c>
    </row>
    <row r="143" spans="1:4">
      <c r="A143" t="str">
        <f>cleaned_data!A141</f>
        <v>CyberLeek</v>
      </c>
      <c r="B143" t="str">
        <f>cleaned_data!B141</f>
        <v>CYBERLEEK</v>
      </c>
      <c r="C143">
        <f>cleaned_data!F141</f>
        <v>21540000</v>
      </c>
      <c r="D143" t="str">
        <f t="shared" si="2"/>
        <v>Yes</v>
      </c>
    </row>
    <row r="144" spans="1:4">
      <c r="A144" t="str">
        <f>cleaned_data!A142</f>
        <v>Creta World</v>
      </c>
      <c r="B144" t="str">
        <f>cleaned_data!B142</f>
        <v>CRETA</v>
      </c>
      <c r="C144">
        <f>cleaned_data!F142</f>
        <v>127050</v>
      </c>
      <c r="D144" t="str">
        <f t="shared" si="2"/>
        <v>Yes</v>
      </c>
    </row>
    <row r="145" spans="1:4">
      <c r="A145" t="str">
        <f>cleaned_data!A143</f>
        <v>Heima</v>
      </c>
      <c r="B145" t="str">
        <f>cleaned_data!B143</f>
        <v>HEI</v>
      </c>
      <c r="C145">
        <f>cleaned_data!F143</f>
        <v>10740000</v>
      </c>
      <c r="D145" t="str">
        <f t="shared" si="2"/>
        <v>No</v>
      </c>
    </row>
    <row r="146" spans="1:4">
      <c r="A146" t="str">
        <f>cleaned_data!A144</f>
        <v>SuperRare</v>
      </c>
      <c r="B146" t="str">
        <f>cleaned_data!B144</f>
        <v>RARE</v>
      </c>
      <c r="C146">
        <f>cleaned_data!F144</f>
        <v>11850000</v>
      </c>
      <c r="D146" t="str">
        <f t="shared" si="2"/>
        <v>No</v>
      </c>
    </row>
    <row r="147" spans="1:4">
      <c r="A147" t="str">
        <f>cleaned_data!A145</f>
        <v>AriaAI</v>
      </c>
      <c r="B147" t="str">
        <f>cleaned_data!B145</f>
        <v>ARIA</v>
      </c>
      <c r="C147">
        <f>cleaned_data!F145</f>
        <v>703790</v>
      </c>
      <c r="D147" t="str">
        <f t="shared" si="2"/>
        <v>Yes</v>
      </c>
    </row>
    <row r="148" spans="1:4">
      <c r="A148" t="str">
        <f>cleaned_data!A146</f>
        <v>MAGIC肘NTERNET筆ONEY (Bitcoin)</v>
      </c>
      <c r="B148" t="str">
        <f>cleaned_data!B146</f>
        <v>MIM</v>
      </c>
      <c r="C148">
        <f>cleaned_data!F146</f>
        <v>37780</v>
      </c>
      <c r="D148" t="str">
        <f t="shared" si="2"/>
        <v>No</v>
      </c>
    </row>
    <row r="149" spans="1:4">
      <c r="A149" t="str">
        <f>cleaned_data!A147</f>
        <v>Squid</v>
      </c>
      <c r="B149" t="str">
        <f>cleaned_data!B147</f>
        <v>QUID</v>
      </c>
      <c r="C149">
        <f>cleaned_data!F147</f>
        <v>6240000</v>
      </c>
      <c r="D149" t="str">
        <f t="shared" si="2"/>
        <v>No</v>
      </c>
    </row>
    <row r="150" spans="1:4">
      <c r="A150" t="str">
        <f>cleaned_data!A148</f>
        <v>TG Casino</v>
      </c>
      <c r="B150" t="str">
        <f>cleaned_data!B148</f>
        <v>TGC</v>
      </c>
      <c r="C150">
        <f>cleaned_data!F148</f>
        <v>30710</v>
      </c>
      <c r="D150" t="str">
        <f t="shared" si="2"/>
        <v>No</v>
      </c>
    </row>
    <row r="151" spans="1:4">
      <c r="A151" t="str">
        <f>cleaned_data!A149</f>
        <v>Act I : The AI Prophecy</v>
      </c>
      <c r="B151" t="str">
        <f>cleaned_data!B149</f>
        <v>ACT</v>
      </c>
      <c r="C151">
        <f>cleaned_data!F149</f>
        <v>15020000</v>
      </c>
      <c r="D151" t="str">
        <f t="shared" si="2"/>
        <v>Yes</v>
      </c>
    </row>
    <row r="152" spans="1:4">
      <c r="A152" t="str">
        <f>cleaned_data!A150</f>
        <v>Ambire Wallet</v>
      </c>
      <c r="B152" t="str">
        <f>cleaned_data!B150</f>
        <v>WALLET</v>
      </c>
      <c r="C152">
        <f>cleaned_data!F150</f>
        <v>51030</v>
      </c>
      <c r="D152" t="str">
        <f t="shared" si="2"/>
        <v>Yes</v>
      </c>
    </row>
    <row r="153" spans="1:4">
      <c r="A153" t="str">
        <f>cleaned_data!A151</f>
        <v>GUNZ</v>
      </c>
      <c r="B153" t="str">
        <f>cleaned_data!B151</f>
        <v>GUN</v>
      </c>
      <c r="C153">
        <f>cleaned_data!F151</f>
        <v>4590000</v>
      </c>
      <c r="D153" t="str">
        <f t="shared" si="2"/>
        <v>No</v>
      </c>
    </row>
    <row r="154" spans="1:4">
      <c r="A154" t="str">
        <f>cleaned_data!A152</f>
        <v>ANyONe Protocol</v>
      </c>
      <c r="B154" t="str">
        <f>cleaned_data!B152</f>
        <v>ANYONE</v>
      </c>
      <c r="C154">
        <f>cleaned_data!F152</f>
        <v>156610</v>
      </c>
      <c r="D154" t="str">
        <f t="shared" si="2"/>
        <v>Yes</v>
      </c>
    </row>
    <row r="155" spans="1:4">
      <c r="A155" t="str">
        <f>cleaned_data!A153</f>
        <v>Pythia</v>
      </c>
      <c r="B155" t="str">
        <f>cleaned_data!B153</f>
        <v>PYTHIA</v>
      </c>
      <c r="C155">
        <f>cleaned_data!F153</f>
        <v>164380</v>
      </c>
      <c r="D155" t="str">
        <f t="shared" si="2"/>
        <v>No</v>
      </c>
    </row>
    <row r="156" spans="1:4">
      <c r="A156" t="str">
        <f>cleaned_data!A154</f>
        <v>Balancer</v>
      </c>
      <c r="B156" t="str">
        <f>cleaned_data!B154</f>
        <v>BAL</v>
      </c>
      <c r="C156">
        <f>cleaned_data!F154</f>
        <v>242150</v>
      </c>
      <c r="D156" t="str">
        <f t="shared" si="2"/>
        <v>Yes</v>
      </c>
    </row>
    <row r="157" spans="1:4">
      <c r="A157" t="str">
        <f>cleaned_data!A155</f>
        <v>Paris Saint-Germain Fan Token</v>
      </c>
      <c r="B157" t="str">
        <f>cleaned_data!B155</f>
        <v>PSG</v>
      </c>
      <c r="C157">
        <f>cleaned_data!F155</f>
        <v>2750000</v>
      </c>
      <c r="D157" t="str">
        <f t="shared" si="2"/>
        <v>No</v>
      </c>
    </row>
    <row r="158" spans="1:4">
      <c r="A158" t="str">
        <f>cleaned_data!A156</f>
        <v>Meta tokenized stock (xStock)</v>
      </c>
      <c r="B158" t="str">
        <f>cleaned_data!B156</f>
        <v>METAX</v>
      </c>
      <c r="C158">
        <f>cleaned_data!F156</f>
        <v>4830000</v>
      </c>
      <c r="D158" t="str">
        <f t="shared" si="2"/>
        <v>No</v>
      </c>
    </row>
    <row r="159" spans="1:4">
      <c r="A159" t="str">
        <f>cleaned_data!A157</f>
        <v>Towns</v>
      </c>
      <c r="B159" t="str">
        <f>cleaned_data!B157</f>
        <v>TOWNS</v>
      </c>
      <c r="C159">
        <f>cleaned_data!F157</f>
        <v>3000000</v>
      </c>
      <c r="D159" t="str">
        <f t="shared" si="2"/>
        <v>No</v>
      </c>
    </row>
    <row r="160" spans="1:4">
      <c r="A160" t="str">
        <f>cleaned_data!A158</f>
        <v>Groestlcoin</v>
      </c>
      <c r="B160" t="str">
        <f>cleaned_data!B158</f>
        <v>GRS</v>
      </c>
      <c r="C160">
        <f>cleaned_data!F158</f>
        <v>0</v>
      </c>
      <c r="D160" t="str">
        <f t="shared" si="2"/>
        <v>No</v>
      </c>
    </row>
    <row r="161" spans="1:4">
      <c r="A161" t="str">
        <f>cleaned_data!A159</f>
        <v>Apple Tokenized Stock (Ondo)</v>
      </c>
      <c r="B161" t="str">
        <f>cleaned_data!B159</f>
        <v>AAPLon</v>
      </c>
      <c r="C161">
        <f>cleaned_data!F159</f>
        <v>3080000</v>
      </c>
      <c r="D161" t="str">
        <f t="shared" si="2"/>
        <v>Yes</v>
      </c>
    </row>
    <row r="162" spans="1:4">
      <c r="A162" t="str">
        <f>cleaned_data!A160</f>
        <v>Echelon Prime</v>
      </c>
      <c r="B162" t="str">
        <f>cleaned_data!B160</f>
        <v>PRIME</v>
      </c>
      <c r="C162">
        <f>cleaned_data!F160</f>
        <v>304090</v>
      </c>
      <c r="D162" t="str">
        <f t="shared" si="2"/>
        <v>Yes</v>
      </c>
    </row>
    <row r="163" spans="1:4">
      <c r="A163" t="str">
        <f>cleaned_data!A161</f>
        <v>Peercoin</v>
      </c>
      <c r="B163" t="str">
        <f>cleaned_data!B161</f>
        <v>PPC</v>
      </c>
      <c r="C163">
        <f>cleaned_data!F161</f>
        <v>1090</v>
      </c>
      <c r="D163" t="str">
        <f t="shared" si="2"/>
        <v>No</v>
      </c>
    </row>
    <row r="164" spans="1:4">
      <c r="A164" t="str">
        <f>cleaned_data!A162</f>
        <v>ResearchCoin</v>
      </c>
      <c r="B164" t="str">
        <f>cleaned_data!B162</f>
        <v>RSC</v>
      </c>
      <c r="C164">
        <f>cleaned_data!F162</f>
        <v>246480</v>
      </c>
      <c r="D164" t="str">
        <f t="shared" si="2"/>
        <v>No</v>
      </c>
    </row>
    <row r="165" spans="1:4">
      <c r="A165" t="str">
        <f>cleaned_data!A163</f>
        <v>Nebius Tokenized bStocks</v>
      </c>
      <c r="B165" t="str">
        <f>cleaned_data!B163</f>
        <v>NBISB</v>
      </c>
      <c r="C165">
        <f>cleaned_data!F163</f>
        <v>5120000</v>
      </c>
      <c r="D165" t="str">
        <f t="shared" si="2"/>
        <v>No</v>
      </c>
    </row>
    <row r="166" spans="1:4">
      <c r="A166" t="str">
        <f>cleaned_data!A164</f>
        <v>Stader</v>
      </c>
      <c r="B166" t="str">
        <f>cleaned_data!B164</f>
        <v>SD</v>
      </c>
      <c r="C166">
        <f>cleaned_data!F164</f>
        <v>1090000</v>
      </c>
      <c r="D166" t="str">
        <f t="shared" si="2"/>
        <v>No</v>
      </c>
    </row>
    <row r="167" spans="1:4">
      <c r="A167" t="str">
        <f>cleaned_data!A165</f>
        <v>ULTILAND</v>
      </c>
      <c r="B167" t="str">
        <f>cleaned_data!B165</f>
        <v>ARTX</v>
      </c>
      <c r="C167">
        <f>cleaned_data!F165</f>
        <v>778160</v>
      </c>
      <c r="D167" t="str">
        <f t="shared" si="2"/>
        <v>Yes</v>
      </c>
    </row>
    <row r="168" spans="1:4">
      <c r="A168" t="str">
        <f>cleaned_data!A166</f>
        <v>inSure DeFi</v>
      </c>
      <c r="B168" t="str">
        <f>cleaned_data!B166</f>
        <v>SURE</v>
      </c>
      <c r="C168">
        <f>cleaned_data!F166</f>
        <v>54.96</v>
      </c>
      <c r="D168" t="str">
        <f t="shared" si="2"/>
        <v>Yes</v>
      </c>
    </row>
    <row r="169" spans="1:4">
      <c r="A169" t="str">
        <f>cleaned_data!A167</f>
        <v>Bitgert</v>
      </c>
      <c r="B169" t="str">
        <f>cleaned_data!B167</f>
        <v>BRISE</v>
      </c>
      <c r="C169">
        <f>cleaned_data!F167</f>
        <v>200070</v>
      </c>
      <c r="D169" t="str">
        <f t="shared" si="2"/>
        <v>Yes</v>
      </c>
    </row>
    <row r="170" spans="1:4">
      <c r="A170" t="str">
        <f>cleaned_data!A168</f>
        <v>Mansory</v>
      </c>
      <c r="B170" t="str">
        <f>cleaned_data!B168</f>
        <v>MNSRY</v>
      </c>
      <c r="C170">
        <f>cleaned_data!F168</f>
        <v>295930</v>
      </c>
      <c r="D170" t="str">
        <f t="shared" si="2"/>
        <v>No</v>
      </c>
    </row>
    <row r="171" spans="1:4">
      <c r="A171" t="str">
        <f>cleaned_data!A169</f>
        <v>WazirX</v>
      </c>
      <c r="B171" t="str">
        <f>cleaned_data!B169</f>
        <v>WRX</v>
      </c>
      <c r="C171">
        <f>cleaned_data!F169</f>
        <v>18640</v>
      </c>
      <c r="D171" t="str">
        <f t="shared" si="2"/>
        <v>No</v>
      </c>
    </row>
    <row r="172" spans="1:4">
      <c r="A172" t="str">
        <f>cleaned_data!A170</f>
        <v>SUPRA</v>
      </c>
      <c r="B172" t="str">
        <f>cleaned_data!B170</f>
        <v>SUPRA</v>
      </c>
      <c r="C172">
        <f>cleaned_data!F170</f>
        <v>441840</v>
      </c>
      <c r="D172" t="str">
        <f t="shared" si="2"/>
        <v>No</v>
      </c>
    </row>
    <row r="173" spans="1:4">
      <c r="A173" t="str">
        <f>cleaned_data!A171</f>
        <v>McDull</v>
      </c>
      <c r="B173" t="str">
        <f>cleaned_data!B171</f>
        <v>MCDULL</v>
      </c>
      <c r="C173">
        <f>cleaned_data!F171</f>
        <v>0</v>
      </c>
      <c r="D173" t="str">
        <f t="shared" si="2"/>
        <v>No</v>
      </c>
    </row>
    <row r="174" spans="1:4">
      <c r="A174" t="str">
        <f>cleaned_data!A172</f>
        <v>Edel</v>
      </c>
      <c r="B174" t="str">
        <f>cleaned_data!B172</f>
        <v>EDEL</v>
      </c>
      <c r="C174">
        <f>cleaned_data!F172</f>
        <v>1650000</v>
      </c>
      <c r="D174" t="str">
        <f t="shared" si="2"/>
        <v>Yes</v>
      </c>
    </row>
    <row r="175" spans="1:4">
      <c r="A175" t="str">
        <f>cleaned_data!A173</f>
        <v>Avici</v>
      </c>
      <c r="B175" t="str">
        <f>cleaned_data!B173</f>
        <v>AVICI</v>
      </c>
      <c r="C175">
        <f>cleaned_data!F173</f>
        <v>492610</v>
      </c>
      <c r="D175" t="str">
        <f t="shared" si="2"/>
        <v>Yes</v>
      </c>
    </row>
    <row r="176" spans="1:4">
      <c r="A176" t="str">
        <f>cleaned_data!A174</f>
        <v>Elastos</v>
      </c>
      <c r="B176" t="str">
        <f>cleaned_data!B174</f>
        <v>ELA</v>
      </c>
      <c r="C176">
        <f>cleaned_data!F174</f>
        <v>158690</v>
      </c>
      <c r="D176" t="str">
        <f t="shared" si="2"/>
        <v>Yes</v>
      </c>
    </row>
    <row r="177" spans="1:4">
      <c r="A177" t="str">
        <f>cleaned_data!A175</f>
        <v>Portal To Bitcoin</v>
      </c>
      <c r="B177" t="str">
        <f>cleaned_data!B175</f>
        <v>PTB</v>
      </c>
      <c r="C177">
        <f>cleaned_data!F175</f>
        <v>1920000</v>
      </c>
      <c r="D177" t="str">
        <f t="shared" si="2"/>
        <v>No</v>
      </c>
    </row>
    <row r="178" spans="1:4">
      <c r="A178" t="str">
        <f>cleaned_data!A176</f>
        <v>Micron Technology Inc tokenized stock (Backpack)</v>
      </c>
      <c r="B178" t="str">
        <f>cleaned_data!B176</f>
        <v>MU</v>
      </c>
      <c r="C178">
        <f>cleaned_data!F176</f>
        <v>1540000</v>
      </c>
      <c r="D178" t="str">
        <f t="shared" si="2"/>
        <v>No</v>
      </c>
    </row>
    <row r="179" spans="1:4">
      <c r="A179" t="str">
        <f>cleaned_data!A177</f>
        <v>MARBLEX</v>
      </c>
      <c r="B179" t="str">
        <f>cleaned_data!B177</f>
        <v>MBX</v>
      </c>
      <c r="C179">
        <f>cleaned_data!F177</f>
        <v>795250</v>
      </c>
      <c r="D179" t="str">
        <f t="shared" si="2"/>
        <v>No</v>
      </c>
    </row>
    <row r="180" spans="1:4">
      <c r="A180" t="str">
        <f>cleaned_data!A178</f>
        <v>ELYSIA</v>
      </c>
      <c r="B180" t="str">
        <f>cleaned_data!B178</f>
        <v>EL</v>
      </c>
      <c r="C180">
        <f>cleaned_data!F178</f>
        <v>431220</v>
      </c>
      <c r="D180" t="str">
        <f t="shared" si="2"/>
        <v>Yes</v>
      </c>
    </row>
    <row r="181" spans="1:4">
      <c r="A181" t="str">
        <f>cleaned_data!A179</f>
        <v>NAVI Protocol</v>
      </c>
      <c r="B181" t="str">
        <f>cleaned_data!B179</f>
        <v>NAVX</v>
      </c>
      <c r="C181">
        <f>cleaned_data!F179</f>
        <v>370990</v>
      </c>
      <c r="D181" t="str">
        <f t="shared" si="2"/>
        <v>No</v>
      </c>
    </row>
    <row r="182" spans="1:4">
      <c r="A182" t="str">
        <f>cleaned_data!A180</f>
        <v>PayAI Network</v>
      </c>
      <c r="B182" t="str">
        <f>cleaned_data!B180</f>
        <v>PAYAI</v>
      </c>
      <c r="C182">
        <f>cleaned_data!F180</f>
        <v>808880</v>
      </c>
      <c r="D182" t="str">
        <f t="shared" si="2"/>
        <v>No</v>
      </c>
    </row>
    <row r="183" spans="1:4">
      <c r="A183" t="str">
        <f>cleaned_data!A181</f>
        <v>district0x</v>
      </c>
      <c r="B183" t="str">
        <f>cleaned_data!B181</f>
        <v>DNT</v>
      </c>
      <c r="C183">
        <f>cleaned_data!F181</f>
        <v>12990</v>
      </c>
      <c r="D183" t="str">
        <f t="shared" si="2"/>
        <v>Yes</v>
      </c>
    </row>
    <row r="184" spans="1:4">
      <c r="A184" t="str">
        <f>cleaned_data!A182</f>
        <v>Pups (Bitcoin)</v>
      </c>
      <c r="B184" t="str">
        <f>cleaned_data!B182</f>
        <v>PUPS</v>
      </c>
      <c r="C184">
        <f>cleaned_data!F182</f>
        <v>182130</v>
      </c>
      <c r="D184" t="str">
        <f t="shared" si="2"/>
        <v>No</v>
      </c>
    </row>
    <row r="185" spans="1:4">
      <c r="A185" t="str">
        <f>cleaned_data!A183</f>
        <v>Partisia Blockchain</v>
      </c>
      <c r="B185" t="str">
        <f>cleaned_data!B183</f>
        <v>MPC</v>
      </c>
      <c r="C185">
        <f>cleaned_data!F183</f>
        <v>2420</v>
      </c>
      <c r="D185" t="str">
        <f t="shared" si="2"/>
        <v>No</v>
      </c>
    </row>
    <row r="186" spans="1:4">
      <c r="A186" t="str">
        <f>cleaned_data!A184</f>
        <v>Juventus Fan Token</v>
      </c>
      <c r="B186" t="str">
        <f>cleaned_data!B184</f>
        <v>JUV</v>
      </c>
      <c r="C186">
        <f>cleaned_data!F184</f>
        <v>2430000</v>
      </c>
      <c r="D186" t="str">
        <f t="shared" si="2"/>
        <v>No</v>
      </c>
    </row>
    <row r="187" spans="1:4">
      <c r="A187" t="str">
        <f>cleaned_data!A185</f>
        <v>AMO Coin</v>
      </c>
      <c r="B187" t="str">
        <f>cleaned_data!B185</f>
        <v>AMO</v>
      </c>
      <c r="C187">
        <f>cleaned_data!F185</f>
        <v>31020</v>
      </c>
      <c r="D187" t="str">
        <f t="shared" si="2"/>
        <v>Yes</v>
      </c>
    </row>
    <row r="188" spans="1:4">
      <c r="A188" t="str">
        <f>cleaned_data!A186</f>
        <v>S.S. Lazio Fan Token</v>
      </c>
      <c r="B188" t="str">
        <f>cleaned_data!B186</f>
        <v>LAZIO</v>
      </c>
      <c r="C188">
        <f>cleaned_data!F186</f>
        <v>1460000</v>
      </c>
      <c r="D188" t="str">
        <f t="shared" si="2"/>
        <v>No</v>
      </c>
    </row>
    <row r="189" spans="1:4">
      <c r="A189" t="str">
        <f>cleaned_data!A187</f>
        <v>FAR Labs</v>
      </c>
      <c r="B189" t="str">
        <f>cleaned_data!B187</f>
        <v>FAR</v>
      </c>
      <c r="C189">
        <f>cleaned_data!F187</f>
        <v>47790</v>
      </c>
      <c r="D189" t="str">
        <f t="shared" si="2"/>
        <v>No</v>
      </c>
    </row>
    <row r="190" spans="1:4">
      <c r="A190" t="str">
        <f>cleaned_data!A188</f>
        <v>Manchester City Fan Token</v>
      </c>
      <c r="B190" t="str">
        <f>cleaned_data!B188</f>
        <v>CITY</v>
      </c>
      <c r="C190">
        <f>cleaned_data!F188</f>
        <v>1690000</v>
      </c>
      <c r="D190" t="str">
        <f t="shared" si="2"/>
        <v>No</v>
      </c>
    </row>
    <row r="191" spans="1:4">
      <c r="A191" t="str">
        <f>cleaned_data!A189</f>
        <v>RHEA Finance</v>
      </c>
      <c r="B191" t="str">
        <f>cleaned_data!B189</f>
        <v>RHEA</v>
      </c>
      <c r="C191">
        <f>cleaned_data!F189</f>
        <v>334040</v>
      </c>
      <c r="D191" t="str">
        <f t="shared" si="2"/>
        <v>No</v>
      </c>
    </row>
    <row r="192" spans="1:4">
      <c r="A192" t="str">
        <f>cleaned_data!A190</f>
        <v>Bytecoin</v>
      </c>
      <c r="B192" t="str">
        <f>cleaned_data!B190</f>
        <v>BCN</v>
      </c>
      <c r="C192">
        <f>cleaned_data!F190</f>
        <v>0.78369999999999995</v>
      </c>
      <c r="D192" t="str">
        <f t="shared" si="2"/>
        <v>Yes</v>
      </c>
    </row>
    <row r="193" spans="1:4">
      <c r="A193" t="str">
        <f>cleaned_data!A191</f>
        <v>Measurable Data Token</v>
      </c>
      <c r="B193" t="str">
        <f>cleaned_data!B191</f>
        <v>MDT</v>
      </c>
      <c r="C193">
        <f>cleaned_data!F191</f>
        <v>4930000</v>
      </c>
      <c r="D193" t="str">
        <f t="shared" si="2"/>
        <v>No</v>
      </c>
    </row>
    <row r="194" spans="1:4">
      <c r="A194" t="str">
        <f>cleaned_data!A192</f>
        <v>Kryll</v>
      </c>
      <c r="B194" t="str">
        <f>cleaned_data!B192</f>
        <v>KRL</v>
      </c>
      <c r="C194">
        <f>cleaned_data!F192</f>
        <v>100600</v>
      </c>
      <c r="D194" t="str">
        <f t="shared" si="2"/>
        <v>No</v>
      </c>
    </row>
    <row r="195" spans="1:4">
      <c r="A195" t="str">
        <f>cleaned_data!A193</f>
        <v>Lingo</v>
      </c>
      <c r="B195" t="str">
        <f>cleaned_data!B193</f>
        <v>LINGO</v>
      </c>
      <c r="C195">
        <f>cleaned_data!F193</f>
        <v>153700</v>
      </c>
      <c r="D195" t="str">
        <f t="shared" si="2"/>
        <v>No</v>
      </c>
    </row>
    <row r="196" spans="1:4">
      <c r="A196" t="str">
        <f>cleaned_data!A194</f>
        <v>PoP Planet</v>
      </c>
      <c r="B196" t="str">
        <f>cleaned_data!B194</f>
        <v>P</v>
      </c>
      <c r="C196">
        <f>cleaned_data!F194</f>
        <v>250180</v>
      </c>
      <c r="D196" t="str">
        <f t="shared" si="2"/>
        <v>No</v>
      </c>
    </row>
    <row r="197" spans="1:4">
      <c r="A197" t="str">
        <f>cleaned_data!A195</f>
        <v>Direxion Semiconductor Bull 3X tokenized ETF (xStock)</v>
      </c>
      <c r="B197" t="str">
        <f>cleaned_data!B195</f>
        <v>SOXLx</v>
      </c>
      <c r="C197">
        <f>cleaned_data!F195</f>
        <v>5290000</v>
      </c>
      <c r="D197" t="str">
        <f t="shared" ref="D197:D260" si="3">IF(OR(LEFT(A197,1)="A",LEFT(A197,1)="B",LEFT(A197,1)="C",LEFT(A197,1)="D",LEFT(A197,1)="E",LEFT(A197,1)="I",LEFT(A197,1)="O",LEFT(A197,1)="U"),"Yes","No")</f>
        <v>Yes</v>
      </c>
    </row>
    <row r="198" spans="1:4">
      <c r="A198" t="str">
        <f>cleaned_data!A196</f>
        <v>Mitosis</v>
      </c>
      <c r="B198" t="str">
        <f>cleaned_data!B196</f>
        <v>MITO</v>
      </c>
      <c r="C198">
        <f>cleaned_data!F196</f>
        <v>5910000</v>
      </c>
      <c r="D198" t="str">
        <f t="shared" si="3"/>
        <v>No</v>
      </c>
    </row>
    <row r="199" spans="1:4">
      <c r="A199" t="str">
        <f>cleaned_data!A197</f>
        <v>Truth</v>
      </c>
      <c r="B199" t="str">
        <f>cleaned_data!B197</f>
        <v>TRUU</v>
      </c>
      <c r="C199">
        <f>cleaned_data!F197</f>
        <v>99160</v>
      </c>
      <c r="D199" t="str">
        <f t="shared" si="3"/>
        <v>No</v>
      </c>
    </row>
    <row r="200" spans="1:4">
      <c r="A200" t="str">
        <f>cleaned_data!A198</f>
        <v>Arsenal Fan Token</v>
      </c>
      <c r="B200" t="str">
        <f>cleaned_data!B198</f>
        <v>AFC</v>
      </c>
      <c r="C200">
        <f>cleaned_data!F198</f>
        <v>345800</v>
      </c>
      <c r="D200" t="str">
        <f t="shared" si="3"/>
        <v>Yes</v>
      </c>
    </row>
    <row r="201" spans="1:4">
      <c r="A201" t="str">
        <f>cleaned_data!A199</f>
        <v>HOPR</v>
      </c>
      <c r="B201" t="str">
        <f>cleaned_data!B199</f>
        <v>HOPR</v>
      </c>
      <c r="C201">
        <f>cleaned_data!F199</f>
        <v>35260</v>
      </c>
      <c r="D201" t="str">
        <f t="shared" si="3"/>
        <v>No</v>
      </c>
    </row>
    <row r="202" spans="1:4">
      <c r="A202" t="str">
        <f>cleaned_data!A200</f>
        <v>???</v>
      </c>
      <c r="B202" t="str">
        <f>cleaned_data!B200</f>
        <v>???</v>
      </c>
      <c r="C202">
        <f>cleaned_data!F200</f>
        <v>205710</v>
      </c>
      <c r="D202" t="str">
        <f t="shared" si="3"/>
        <v>No</v>
      </c>
    </row>
    <row r="203" spans="1:4">
      <c r="A203" t="str">
        <f>cleaned_data!A201</f>
        <v>Hivemapper</v>
      </c>
      <c r="B203" t="str">
        <f>cleaned_data!B201</f>
        <v>HONEY</v>
      </c>
      <c r="C203">
        <f>cleaned_data!F201</f>
        <v>115140</v>
      </c>
      <c r="D203" t="str">
        <f t="shared" si="3"/>
        <v>No</v>
      </c>
    </row>
    <row r="204" spans="1:4">
      <c r="A204" t="str">
        <f>cleaned_data!A202</f>
        <v>AMD Tokenised Stock (xStock)</v>
      </c>
      <c r="B204" t="str">
        <f>cleaned_data!B202</f>
        <v>AMDx</v>
      </c>
      <c r="C204">
        <f>cleaned_data!F202</f>
        <v>443810</v>
      </c>
      <c r="D204" t="str">
        <f t="shared" si="3"/>
        <v>Yes</v>
      </c>
    </row>
    <row r="205" spans="1:4">
      <c r="A205" t="str">
        <f>cleaned_data!A203</f>
        <v>VitaDAO</v>
      </c>
      <c r="B205" t="str">
        <f>cleaned_data!B203</f>
        <v>VITA</v>
      </c>
      <c r="C205">
        <f>cleaned_data!F203</f>
        <v>1280</v>
      </c>
      <c r="D205" t="str">
        <f t="shared" si="3"/>
        <v>No</v>
      </c>
    </row>
    <row r="206" spans="1:4">
      <c r="A206" t="str">
        <f>cleaned_data!A204</f>
        <v>Yee Token</v>
      </c>
      <c r="B206" t="str">
        <f>cleaned_data!B204</f>
        <v>YEE</v>
      </c>
      <c r="C206">
        <f>cleaned_data!F204</f>
        <v>472690</v>
      </c>
      <c r="D206" t="str">
        <f t="shared" si="3"/>
        <v>No</v>
      </c>
    </row>
    <row r="207" spans="1:4">
      <c r="A207" t="str">
        <f>cleaned_data!A205</f>
        <v>Wexo</v>
      </c>
      <c r="B207" t="str">
        <f>cleaned_data!B205</f>
        <v>WEXO</v>
      </c>
      <c r="C207">
        <f>cleaned_data!F205</f>
        <v>94600</v>
      </c>
      <c r="D207" t="str">
        <f t="shared" si="3"/>
        <v>No</v>
      </c>
    </row>
    <row r="208" spans="1:4">
      <c r="A208" t="str">
        <f>cleaned_data!A206</f>
        <v>PlatON</v>
      </c>
      <c r="B208" t="str">
        <f>cleaned_data!B206</f>
        <v>LAT</v>
      </c>
      <c r="C208">
        <f>cleaned_data!F206</f>
        <v>1260000</v>
      </c>
      <c r="D208" t="str">
        <f t="shared" si="3"/>
        <v>No</v>
      </c>
    </row>
    <row r="209" spans="1:4">
      <c r="A209" t="str">
        <f>cleaned_data!A207</f>
        <v>TrustSwap</v>
      </c>
      <c r="B209" t="str">
        <f>cleaned_data!B207</f>
        <v>SWAP</v>
      </c>
      <c r="C209">
        <f>cleaned_data!F207</f>
        <v>183400</v>
      </c>
      <c r="D209" t="str">
        <f t="shared" si="3"/>
        <v>No</v>
      </c>
    </row>
    <row r="210" spans="1:4">
      <c r="A210" t="str">
        <f>cleaned_data!A208</f>
        <v>MetFi</v>
      </c>
      <c r="B210" t="str">
        <f>cleaned_data!B208</f>
        <v>METFI</v>
      </c>
      <c r="C210">
        <f>cleaned_data!F208</f>
        <v>3100</v>
      </c>
      <c r="D210" t="str">
        <f t="shared" si="3"/>
        <v>No</v>
      </c>
    </row>
    <row r="211" spans="1:4">
      <c r="A211" t="str">
        <f>cleaned_data!A209</f>
        <v>Vertcoin</v>
      </c>
      <c r="B211" t="str">
        <f>cleaned_data!B209</f>
        <v>VTC</v>
      </c>
      <c r="C211">
        <f>cleaned_data!F209</f>
        <v>4900</v>
      </c>
      <c r="D211" t="str">
        <f t="shared" si="3"/>
        <v>No</v>
      </c>
    </row>
    <row r="212" spans="1:4">
      <c r="A212" t="str">
        <f>cleaned_data!A210</f>
        <v>Aragon</v>
      </c>
      <c r="B212" t="str">
        <f>cleaned_data!B210</f>
        <v>ANT</v>
      </c>
      <c r="C212">
        <f>cleaned_data!F210</f>
        <v>0</v>
      </c>
      <c r="D212" t="str">
        <f t="shared" si="3"/>
        <v>Yes</v>
      </c>
    </row>
    <row r="213" spans="1:4">
      <c r="A213" t="str">
        <f>cleaned_data!A211</f>
        <v>Bitrue Coin</v>
      </c>
      <c r="B213" t="str">
        <f>cleaned_data!B211</f>
        <v>BTR</v>
      </c>
      <c r="C213">
        <f>cleaned_data!F211</f>
        <v>525000</v>
      </c>
      <c r="D213" t="str">
        <f t="shared" si="3"/>
        <v>Yes</v>
      </c>
    </row>
    <row r="214" spans="1:4">
      <c r="A214" t="str">
        <f>cleaned_data!A212</f>
        <v>League of Traders</v>
      </c>
      <c r="B214" t="str">
        <f>cleaned_data!B212</f>
        <v>LOT</v>
      </c>
      <c r="C214">
        <f>cleaned_data!F212</f>
        <v>363850</v>
      </c>
      <c r="D214" t="str">
        <f t="shared" si="3"/>
        <v>No</v>
      </c>
    </row>
    <row r="215" spans="1:4">
      <c r="A215" t="str">
        <f>cleaned_data!A213</f>
        <v>Advanced Micro Devices Tokenized bStocks</v>
      </c>
      <c r="B215" t="str">
        <f>cleaned_data!B213</f>
        <v>AMDB</v>
      </c>
      <c r="C215">
        <f>cleaned_data!F213</f>
        <v>2510000</v>
      </c>
      <c r="D215" t="str">
        <f t="shared" si="3"/>
        <v>Yes</v>
      </c>
    </row>
    <row r="216" spans="1:4">
      <c r="A216" t="str">
        <f>cleaned_data!A214</f>
        <v>Grin</v>
      </c>
      <c r="B216" t="str">
        <f>cleaned_data!B214</f>
        <v>GRIN</v>
      </c>
      <c r="C216">
        <f>cleaned_data!F214</f>
        <v>1690</v>
      </c>
      <c r="D216" t="str">
        <f t="shared" si="3"/>
        <v>No</v>
      </c>
    </row>
    <row r="217" spans="1:4">
      <c r="A217" t="str">
        <f>cleaned_data!A215</f>
        <v>iShares Core S&amp;P MidCap Tokenized ETF (Ondo)</v>
      </c>
      <c r="B217" t="str">
        <f>cleaned_data!B215</f>
        <v>IJHon</v>
      </c>
      <c r="C217">
        <f>cleaned_data!F215</f>
        <v>387310</v>
      </c>
      <c r="D217" t="str">
        <f t="shared" si="3"/>
        <v>Yes</v>
      </c>
    </row>
    <row r="218" spans="1:4">
      <c r="A218" t="str">
        <f>cleaned_data!A216</f>
        <v>Odos</v>
      </c>
      <c r="B218" t="str">
        <f>cleaned_data!B216</f>
        <v>ODOS</v>
      </c>
      <c r="C218">
        <f>cleaned_data!F216</f>
        <v>280330</v>
      </c>
      <c r="D218" t="str">
        <f t="shared" si="3"/>
        <v>Yes</v>
      </c>
    </row>
    <row r="219" spans="1:4">
      <c r="A219" t="str">
        <f>cleaned_data!A217</f>
        <v>Games for a Living</v>
      </c>
      <c r="B219" t="str">
        <f>cleaned_data!B217</f>
        <v>GFAL</v>
      </c>
      <c r="C219">
        <f>cleaned_data!F217</f>
        <v>0</v>
      </c>
      <c r="D219" t="str">
        <f t="shared" si="3"/>
        <v>No</v>
      </c>
    </row>
    <row r="220" spans="1:4">
      <c r="A220" t="str">
        <f>cleaned_data!A218</f>
        <v>ZenChain</v>
      </c>
      <c r="B220" t="str">
        <f>cleaned_data!B218</f>
        <v>ZTC</v>
      </c>
      <c r="C220">
        <f>cleaned_data!F218</f>
        <v>404430</v>
      </c>
      <c r="D220" t="str">
        <f t="shared" si="3"/>
        <v>No</v>
      </c>
    </row>
    <row r="221" spans="1:4">
      <c r="A221" t="str">
        <f>cleaned_data!A219</f>
        <v>Vanar Chain</v>
      </c>
      <c r="B221" t="str">
        <f>cleaned_data!B219</f>
        <v>VANRY</v>
      </c>
      <c r="C221">
        <f>cleaned_data!F219</f>
        <v>1150000</v>
      </c>
      <c r="D221" t="str">
        <f t="shared" si="3"/>
        <v>No</v>
      </c>
    </row>
    <row r="222" spans="1:4">
      <c r="A222" t="str">
        <f>cleaned_data!A220</f>
        <v>PeiPei (ETH)</v>
      </c>
      <c r="B222" t="str">
        <f>cleaned_data!B220</f>
        <v>PEIPEI</v>
      </c>
      <c r="C222">
        <f>cleaned_data!F220</f>
        <v>44160</v>
      </c>
      <c r="D222" t="str">
        <f t="shared" si="3"/>
        <v>No</v>
      </c>
    </row>
    <row r="223" spans="1:4">
      <c r="A223" t="str">
        <f>cleaned_data!A221</f>
        <v>Star Atlas DAO</v>
      </c>
      <c r="B223" t="str">
        <f>cleaned_data!B221</f>
        <v>POLIS</v>
      </c>
      <c r="C223">
        <f>cleaned_data!F221</f>
        <v>35160</v>
      </c>
      <c r="D223" t="str">
        <f t="shared" si="3"/>
        <v>No</v>
      </c>
    </row>
    <row r="224" spans="1:4">
      <c r="A224" t="str">
        <f>cleaned_data!A222</f>
        <v>Arrow Finance</v>
      </c>
      <c r="B224" t="str">
        <f>cleaned_data!B222</f>
        <v>ARROW</v>
      </c>
      <c r="C224">
        <f>cleaned_data!F222</f>
        <v>1660000</v>
      </c>
      <c r="D224" t="str">
        <f t="shared" si="3"/>
        <v>Yes</v>
      </c>
    </row>
    <row r="225" spans="1:4">
      <c r="A225" t="str">
        <f>cleaned_data!A223</f>
        <v>Avalon Labs (AVL)</v>
      </c>
      <c r="B225" t="str">
        <f>cleaned_data!B223</f>
        <v>AVL</v>
      </c>
      <c r="C225">
        <f>cleaned_data!F223</f>
        <v>2360000</v>
      </c>
      <c r="D225" t="str">
        <f t="shared" si="3"/>
        <v>Yes</v>
      </c>
    </row>
    <row r="226" spans="1:4">
      <c r="A226" t="str">
        <f>cleaned_data!A224</f>
        <v>Cratos</v>
      </c>
      <c r="B226" t="str">
        <f>cleaned_data!B224</f>
        <v>CRTS</v>
      </c>
      <c r="C226">
        <f>cleaned_data!F224</f>
        <v>655500</v>
      </c>
      <c r="D226" t="str">
        <f t="shared" si="3"/>
        <v>Yes</v>
      </c>
    </row>
    <row r="227" spans="1:4">
      <c r="A227" t="str">
        <f>cleaned_data!A225</f>
        <v>Shido Network</v>
      </c>
      <c r="B227" t="str">
        <f>cleaned_data!B225</f>
        <v>SHIDO</v>
      </c>
      <c r="C227">
        <f>cleaned_data!F225</f>
        <v>51500</v>
      </c>
      <c r="D227" t="str">
        <f t="shared" si="3"/>
        <v>No</v>
      </c>
    </row>
    <row r="228" spans="1:4">
      <c r="A228" t="str">
        <f>cleaned_data!A226</f>
        <v>Billy (Bitcoin)</v>
      </c>
      <c r="B228" t="str">
        <f>cleaned_data!B226</f>
        <v>BILLY</v>
      </c>
      <c r="C228">
        <f>cleaned_data!F226</f>
        <v>119080</v>
      </c>
      <c r="D228" t="str">
        <f t="shared" si="3"/>
        <v>Yes</v>
      </c>
    </row>
    <row r="229" spans="1:4">
      <c r="A229" t="str">
        <f>cleaned_data!A227</f>
        <v>Aleph Zero</v>
      </c>
      <c r="B229" t="str">
        <f>cleaned_data!B227</f>
        <v>AZERO</v>
      </c>
      <c r="C229">
        <f>cleaned_data!F227</f>
        <v>157920</v>
      </c>
      <c r="D229" t="str">
        <f t="shared" si="3"/>
        <v>Yes</v>
      </c>
    </row>
    <row r="230" spans="1:4">
      <c r="A230" t="str">
        <f>cleaned_data!A228</f>
        <v>Novo Nordisk Tokenized Stock (Ondo)</v>
      </c>
      <c r="B230" t="str">
        <f>cleaned_data!B228</f>
        <v>NVOon</v>
      </c>
      <c r="C230">
        <f>cleaned_data!F228</f>
        <v>1440000</v>
      </c>
      <c r="D230" t="str">
        <f t="shared" si="3"/>
        <v>No</v>
      </c>
    </row>
    <row r="231" spans="1:4">
      <c r="A231" t="str">
        <f>cleaned_data!A229</f>
        <v>Immunefi</v>
      </c>
      <c r="B231" t="str">
        <f>cleaned_data!B229</f>
        <v>IMU</v>
      </c>
      <c r="C231">
        <f>cleaned_data!F229</f>
        <v>459410</v>
      </c>
      <c r="D231" t="str">
        <f t="shared" si="3"/>
        <v>Yes</v>
      </c>
    </row>
    <row r="232" spans="1:4">
      <c r="A232" t="str">
        <f>cleaned_data!A230</f>
        <v>Not Pixel</v>
      </c>
      <c r="B232" t="str">
        <f>cleaned_data!B230</f>
        <v>PX</v>
      </c>
      <c r="C232">
        <f>cleaned_data!F230</f>
        <v>11360</v>
      </c>
      <c r="D232" t="str">
        <f t="shared" si="3"/>
        <v>No</v>
      </c>
    </row>
    <row r="233" spans="1:4">
      <c r="A233" t="str">
        <f>cleaned_data!A231</f>
        <v>World of Dypians</v>
      </c>
      <c r="B233" t="str">
        <f>cleaned_data!B231</f>
        <v>WOD</v>
      </c>
      <c r="C233">
        <f>cleaned_data!F231</f>
        <v>956950</v>
      </c>
      <c r="D233" t="str">
        <f t="shared" si="3"/>
        <v>No</v>
      </c>
    </row>
    <row r="234" spans="1:4">
      <c r="A234" t="str">
        <f>cleaned_data!A232</f>
        <v>Global X DRAM ETF Tokenized Stock (Reality)</v>
      </c>
      <c r="B234" t="str">
        <f>cleaned_data!B232</f>
        <v>rDRAM</v>
      </c>
      <c r="C234">
        <f>cleaned_data!F232</f>
        <v>180860</v>
      </c>
      <c r="D234" t="str">
        <f t="shared" si="3"/>
        <v>No</v>
      </c>
    </row>
    <row r="235" spans="1:4">
      <c r="A235" t="str">
        <f>cleaned_data!A233</f>
        <v>Oracle tokenized stock (xStock)</v>
      </c>
      <c r="B235" t="str">
        <f>cleaned_data!B233</f>
        <v>ORCLX</v>
      </c>
      <c r="C235">
        <f>cleaned_data!F233</f>
        <v>330500</v>
      </c>
      <c r="D235" t="str">
        <f t="shared" si="3"/>
        <v>Yes</v>
      </c>
    </row>
    <row r="236" spans="1:4">
      <c r="A236" t="str">
        <f>cleaned_data!A234</f>
        <v>Mythos</v>
      </c>
      <c r="B236" t="str">
        <f>cleaned_data!B234</f>
        <v>MYTH</v>
      </c>
      <c r="C236">
        <f>cleaned_data!F234</f>
        <v>24.15</v>
      </c>
      <c r="D236" t="str">
        <f t="shared" si="3"/>
        <v>No</v>
      </c>
    </row>
    <row r="237" spans="1:4">
      <c r="A237" t="str">
        <f>cleaned_data!A235</f>
        <v>Validity</v>
      </c>
      <c r="B237" t="str">
        <f>cleaned_data!B235</f>
        <v>VAL</v>
      </c>
      <c r="C237">
        <f>cleaned_data!F235</f>
        <v>16850</v>
      </c>
      <c r="D237" t="str">
        <f t="shared" si="3"/>
        <v>No</v>
      </c>
    </row>
    <row r="238" spans="1:4">
      <c r="A238" t="str">
        <f>cleaned_data!A236</f>
        <v>Aleph Cloud</v>
      </c>
      <c r="B238" t="str">
        <f>cleaned_data!B236</f>
        <v>ALEPH</v>
      </c>
      <c r="C238">
        <f>cleaned_data!F236</f>
        <v>166310</v>
      </c>
      <c r="D238" t="str">
        <f t="shared" si="3"/>
        <v>Yes</v>
      </c>
    </row>
    <row r="239" spans="1:4">
      <c r="A239" t="str">
        <f>cleaned_data!A237</f>
        <v>Russell</v>
      </c>
      <c r="B239" t="str">
        <f>cleaned_data!B237</f>
        <v>RUSSELL</v>
      </c>
      <c r="C239">
        <f>cleaned_data!F237</f>
        <v>176220</v>
      </c>
      <c r="D239" t="str">
        <f t="shared" si="3"/>
        <v>No</v>
      </c>
    </row>
    <row r="240" spans="1:4">
      <c r="A240" t="str">
        <f>cleaned_data!A238</f>
        <v>Zeus Network</v>
      </c>
      <c r="B240" t="str">
        <f>cleaned_data!B238</f>
        <v>ZEUS</v>
      </c>
      <c r="C240">
        <f>cleaned_data!F238</f>
        <v>1850000</v>
      </c>
      <c r="D240" t="str">
        <f t="shared" si="3"/>
        <v>No</v>
      </c>
    </row>
    <row r="241" spans="1:4">
      <c r="A241" t="str">
        <f>cleaned_data!A239</f>
        <v>CEEK VR</v>
      </c>
      <c r="B241" t="str">
        <f>cleaned_data!B239</f>
        <v>CEEK</v>
      </c>
      <c r="C241">
        <f>cleaned_data!F239</f>
        <v>61210</v>
      </c>
      <c r="D241" t="str">
        <f t="shared" si="3"/>
        <v>Yes</v>
      </c>
    </row>
    <row r="242" spans="1:4">
      <c r="A242" t="str">
        <f>cleaned_data!A240</f>
        <v>OneFootball Credits</v>
      </c>
      <c r="B242" t="str">
        <f>cleaned_data!B240</f>
        <v>OFC</v>
      </c>
      <c r="C242">
        <f>cleaned_data!F240</f>
        <v>848100</v>
      </c>
      <c r="D242" t="str">
        <f t="shared" si="3"/>
        <v>Yes</v>
      </c>
    </row>
    <row r="243" spans="1:4">
      <c r="A243" t="str">
        <f>cleaned_data!A241</f>
        <v>REI Network</v>
      </c>
      <c r="B243" t="str">
        <f>cleaned_data!B241</f>
        <v>REI</v>
      </c>
      <c r="C243">
        <f>cleaned_data!F241</f>
        <v>165450</v>
      </c>
      <c r="D243" t="str">
        <f t="shared" si="3"/>
        <v>No</v>
      </c>
    </row>
    <row r="244" spans="1:4">
      <c r="A244" t="str">
        <f>cleaned_data!A242</f>
        <v>Blockchain Foundation for Innovation &amp; Collaboration</v>
      </c>
      <c r="B244" t="str">
        <f>cleaned_data!B242</f>
        <v>BFIC</v>
      </c>
      <c r="C244">
        <f>cleaned_data!F242</f>
        <v>0</v>
      </c>
      <c r="D244" t="str">
        <f t="shared" si="3"/>
        <v>Yes</v>
      </c>
    </row>
    <row r="245" spans="1:4">
      <c r="A245" t="str">
        <f>cleaned_data!A243</f>
        <v>WINR Protocol</v>
      </c>
      <c r="B245" t="str">
        <f>cleaned_data!B243</f>
        <v>WINR</v>
      </c>
      <c r="C245">
        <f>cleaned_data!F243</f>
        <v>36640</v>
      </c>
      <c r="D245" t="str">
        <f t="shared" si="3"/>
        <v>No</v>
      </c>
    </row>
    <row r="246" spans="1:4">
      <c r="A246" t="str">
        <f>cleaned_data!A244</f>
        <v>ProShares UltraPro QQQ Tokenized bStocks</v>
      </c>
      <c r="B246" t="str">
        <f>cleaned_data!B244</f>
        <v>TQQQB</v>
      </c>
      <c r="C246">
        <f>cleaned_data!F244</f>
        <v>2750000</v>
      </c>
      <c r="D246" t="str">
        <f t="shared" si="3"/>
        <v>No</v>
      </c>
    </row>
    <row r="247" spans="1:4">
      <c r="A247" t="str">
        <f>cleaned_data!A245</f>
        <v>The Official 67 Coin</v>
      </c>
      <c r="B247">
        <f>cleaned_data!B245</f>
        <v>67</v>
      </c>
      <c r="C247">
        <f>cleaned_data!F245</f>
        <v>1100000</v>
      </c>
      <c r="D247" t="str">
        <f t="shared" si="3"/>
        <v>No</v>
      </c>
    </row>
    <row r="248" spans="1:4">
      <c r="A248" t="str">
        <f>cleaned_data!A246</f>
        <v>Tether EURt</v>
      </c>
      <c r="B248" t="str">
        <f>cleaned_data!B246</f>
        <v>EURt</v>
      </c>
      <c r="C248">
        <f>cleaned_data!F246</f>
        <v>0</v>
      </c>
      <c r="D248" t="str">
        <f t="shared" si="3"/>
        <v>No</v>
      </c>
    </row>
    <row r="249" spans="1:4">
      <c r="A249" t="str">
        <f>cleaned_data!A247</f>
        <v>ﾆternity</v>
      </c>
      <c r="B249" t="str">
        <f>cleaned_data!B247</f>
        <v>AE</v>
      </c>
      <c r="C249">
        <f>cleaned_data!F247</f>
        <v>182.35</v>
      </c>
      <c r="D249" t="str">
        <f t="shared" si="3"/>
        <v>No</v>
      </c>
    </row>
    <row r="250" spans="1:4">
      <c r="A250" t="str">
        <f>cleaned_data!A248</f>
        <v>Nya</v>
      </c>
      <c r="B250" t="str">
        <f>cleaned_data!B248</f>
        <v>NYA</v>
      </c>
      <c r="C250">
        <f>cleaned_data!F248</f>
        <v>12340</v>
      </c>
      <c r="D250" t="str">
        <f t="shared" si="3"/>
        <v>No</v>
      </c>
    </row>
    <row r="251" spans="1:4">
      <c r="A251" t="str">
        <f>cleaned_data!A249</f>
        <v>BioPassport Token</v>
      </c>
      <c r="B251" t="str">
        <f>cleaned_data!B249</f>
        <v>BIOT</v>
      </c>
      <c r="C251">
        <f>cleaned_data!F249</f>
        <v>9350</v>
      </c>
      <c r="D251" t="str">
        <f t="shared" si="3"/>
        <v>Yes</v>
      </c>
    </row>
    <row r="252" spans="1:4">
      <c r="A252" t="str">
        <f>cleaned_data!A250</f>
        <v>DAR Open Network</v>
      </c>
      <c r="B252" t="str">
        <f>cleaned_data!B250</f>
        <v>D</v>
      </c>
      <c r="C252">
        <f>cleaned_data!F250</f>
        <v>1170000</v>
      </c>
      <c r="D252" t="str">
        <f t="shared" si="3"/>
        <v>Yes</v>
      </c>
    </row>
    <row r="253" spans="1:4">
      <c r="A253" t="str">
        <f>cleaned_data!A251</f>
        <v>Verasity</v>
      </c>
      <c r="B253" t="str">
        <f>cleaned_data!B251</f>
        <v>VRA</v>
      </c>
      <c r="C253">
        <f>cleaned_data!F251</f>
        <v>224720</v>
      </c>
      <c r="D253" t="str">
        <f t="shared" si="3"/>
        <v>No</v>
      </c>
    </row>
    <row r="254" spans="1:4">
      <c r="A254" t="str">
        <f>cleaned_data!A252</f>
        <v>Scamcoin</v>
      </c>
      <c r="B254" t="str">
        <f>cleaned_data!B252</f>
        <v>SCAM</v>
      </c>
      <c r="C254">
        <f>cleaned_data!F252</f>
        <v>232210</v>
      </c>
      <c r="D254" t="str">
        <f t="shared" si="3"/>
        <v>No</v>
      </c>
    </row>
    <row r="255" spans="1:4">
      <c r="A255" t="str">
        <f>cleaned_data!A253</f>
        <v>IREN Limited Tokenized bStocks</v>
      </c>
      <c r="B255" t="str">
        <f>cleaned_data!B253</f>
        <v>IRENB</v>
      </c>
      <c r="C255">
        <f>cleaned_data!F253</f>
        <v>1170000</v>
      </c>
      <c r="D255" t="str">
        <f t="shared" si="3"/>
        <v>Yes</v>
      </c>
    </row>
    <row r="256" spans="1:4">
      <c r="A256" t="str">
        <f>cleaned_data!A254</f>
        <v>BitMine Immersion Technologies Tokenized Stock (Ondo)</v>
      </c>
      <c r="B256" t="str">
        <f>cleaned_data!B254</f>
        <v>BMNRon</v>
      </c>
      <c r="C256">
        <f>cleaned_data!F254</f>
        <v>9350000</v>
      </c>
      <c r="D256" t="str">
        <f t="shared" si="3"/>
        <v>Yes</v>
      </c>
    </row>
    <row r="257" spans="1:4">
      <c r="A257" t="str">
        <f>cleaned_data!A255</f>
        <v>XSwap</v>
      </c>
      <c r="B257" t="str">
        <f>cleaned_data!B255</f>
        <v>XSWAP</v>
      </c>
      <c r="C257">
        <f>cleaned_data!F255</f>
        <v>1670</v>
      </c>
      <c r="D257" t="str">
        <f t="shared" si="3"/>
        <v>No</v>
      </c>
    </row>
    <row r="258" spans="1:4">
      <c r="A258" t="str">
        <f>cleaned_data!A256</f>
        <v>Nokia Tokenized bStocks</v>
      </c>
      <c r="B258" t="str">
        <f>cleaned_data!B256</f>
        <v>NOKB</v>
      </c>
      <c r="C258">
        <f>cleaned_data!F256</f>
        <v>1430000</v>
      </c>
      <c r="D258" t="str">
        <f t="shared" si="3"/>
        <v>No</v>
      </c>
    </row>
    <row r="259" spans="1:4">
      <c r="A259" t="str">
        <f>cleaned_data!A257</f>
        <v>Ribbon Finance</v>
      </c>
      <c r="B259" t="str">
        <f>cleaned_data!B257</f>
        <v>RBN</v>
      </c>
      <c r="C259">
        <f>cleaned_data!F257</f>
        <v>0</v>
      </c>
      <c r="D259" t="str">
        <f t="shared" si="3"/>
        <v>No</v>
      </c>
    </row>
    <row r="260" spans="1:4">
      <c r="A260" t="str">
        <f>cleaned_data!A258</f>
        <v>Bitcoin Silver AI</v>
      </c>
      <c r="B260" t="str">
        <f>cleaned_data!B258</f>
        <v>BSAI</v>
      </c>
      <c r="C260">
        <f>cleaned_data!F258</f>
        <v>144710</v>
      </c>
      <c r="D260" t="str">
        <f t="shared" si="3"/>
        <v>Yes</v>
      </c>
    </row>
    <row r="261" spans="1:4">
      <c r="A261" t="str">
        <f>cleaned_data!A259</f>
        <v>Ctomorrow Platform</v>
      </c>
      <c r="B261" t="str">
        <f>cleaned_data!B259</f>
        <v>CTP</v>
      </c>
      <c r="C261">
        <f>cleaned_data!F259</f>
        <v>176440</v>
      </c>
      <c r="D261" t="str">
        <f t="shared" ref="D261:D303" si="4">IF(OR(LEFT(A261,1)="A",LEFT(A261,1)="B",LEFT(A261,1)="C",LEFT(A261,1)="D",LEFT(A261,1)="E",LEFT(A261,1)="I",LEFT(A261,1)="O",LEFT(A261,1)="U"),"Yes","No")</f>
        <v>Yes</v>
      </c>
    </row>
    <row r="262" spans="1:4">
      <c r="A262" t="str">
        <f>cleaned_data!A260</f>
        <v>Nodle</v>
      </c>
      <c r="B262" t="str">
        <f>cleaned_data!B260</f>
        <v>NODL</v>
      </c>
      <c r="C262">
        <f>cleaned_data!F260</f>
        <v>45430</v>
      </c>
      <c r="D262" t="str">
        <f t="shared" si="4"/>
        <v>No</v>
      </c>
    </row>
    <row r="263" spans="1:4">
      <c r="A263" t="str">
        <f>cleaned_data!A261</f>
        <v>Shark Cat</v>
      </c>
      <c r="B263" t="str">
        <f>cleaned_data!B261</f>
        <v>SC</v>
      </c>
      <c r="C263">
        <f>cleaned_data!F261</f>
        <v>85030</v>
      </c>
      <c r="D263" t="str">
        <f t="shared" si="4"/>
        <v>No</v>
      </c>
    </row>
    <row r="264" spans="1:4">
      <c r="A264" t="str">
        <f>cleaned_data!A262</f>
        <v>NetMind Token</v>
      </c>
      <c r="B264" t="str">
        <f>cleaned_data!B262</f>
        <v>NMT</v>
      </c>
      <c r="C264">
        <f>cleaned_data!F262</f>
        <v>4420</v>
      </c>
      <c r="D264" t="str">
        <f t="shared" si="4"/>
        <v>No</v>
      </c>
    </row>
    <row r="265" spans="1:4">
      <c r="A265" t="str">
        <f>cleaned_data!A263</f>
        <v>Apple Tokenized Stock (Robinhood)</v>
      </c>
      <c r="B265" t="str">
        <f>cleaned_data!B263</f>
        <v>AAPL</v>
      </c>
      <c r="C265">
        <f>cleaned_data!F263</f>
        <v>416440</v>
      </c>
      <c r="D265" t="str">
        <f t="shared" si="4"/>
        <v>Yes</v>
      </c>
    </row>
    <row r="266" spans="1:4">
      <c r="A266" t="str">
        <f>cleaned_data!A264</f>
        <v>Hoppy (hoppy.vip)</v>
      </c>
      <c r="B266" t="str">
        <f>cleaned_data!B264</f>
        <v>HOPPY</v>
      </c>
      <c r="C266" s="25" t="str">
        <f>cleaned_data!F264</f>
        <v>65370.00000000001</v>
      </c>
      <c r="D266" t="str">
        <f t="shared" si="4"/>
        <v>No</v>
      </c>
    </row>
    <row r="267" spans="1:4">
      <c r="A267" t="str">
        <f>cleaned_data!A265</f>
        <v>Torch of Liberty</v>
      </c>
      <c r="B267" t="str">
        <f>cleaned_data!B265</f>
        <v>LIBERTY</v>
      </c>
      <c r="C267">
        <f>cleaned_data!F265</f>
        <v>45920</v>
      </c>
      <c r="D267" t="str">
        <f t="shared" si="4"/>
        <v>No</v>
      </c>
    </row>
    <row r="268" spans="1:4">
      <c r="A268" t="str">
        <f>cleaned_data!A266</f>
        <v>Vader</v>
      </c>
      <c r="B268" t="str">
        <f>cleaned_data!B266</f>
        <v>VADER</v>
      </c>
      <c r="C268">
        <f>cleaned_data!F266</f>
        <v>28710</v>
      </c>
      <c r="D268" t="str">
        <f t="shared" si="4"/>
        <v>No</v>
      </c>
    </row>
    <row r="269" spans="1:4">
      <c r="A269" t="str">
        <f>cleaned_data!A267</f>
        <v>GameFi.org</v>
      </c>
      <c r="B269" t="str">
        <f>cleaned_data!B267</f>
        <v>GAFI</v>
      </c>
      <c r="C269">
        <f>cleaned_data!F267</f>
        <v>155190</v>
      </c>
      <c r="D269" t="str">
        <f t="shared" si="4"/>
        <v>No</v>
      </c>
    </row>
    <row r="270" spans="1:4">
      <c r="A270" t="str">
        <f>cleaned_data!A268</f>
        <v>iMe Lab</v>
      </c>
      <c r="B270" t="str">
        <f>cleaned_data!B268</f>
        <v>LIME</v>
      </c>
      <c r="C270">
        <f>cleaned_data!F268</f>
        <v>131850</v>
      </c>
      <c r="D270" t="str">
        <f t="shared" si="4"/>
        <v>Yes</v>
      </c>
    </row>
    <row r="271" spans="1:4">
      <c r="A271" t="str">
        <f>cleaned_data!A269</f>
        <v>OciCat</v>
      </c>
      <c r="B271" t="str">
        <f>cleaned_data!B269</f>
        <v>OCICAT</v>
      </c>
      <c r="C271">
        <f>cleaned_data!F269</f>
        <v>5790</v>
      </c>
      <c r="D271" t="str">
        <f t="shared" si="4"/>
        <v>Yes</v>
      </c>
    </row>
    <row r="272" spans="1:4">
      <c r="A272" t="str">
        <f>cleaned_data!A270</f>
        <v>ArchLoot</v>
      </c>
      <c r="B272" t="str">
        <f>cleaned_data!B270</f>
        <v>AL</v>
      </c>
      <c r="C272">
        <f>cleaned_data!F270</f>
        <v>694850</v>
      </c>
      <c r="D272" t="str">
        <f t="shared" si="4"/>
        <v>Yes</v>
      </c>
    </row>
    <row r="273" spans="1:4">
      <c r="A273" t="str">
        <f>cleaned_data!A271</f>
        <v>SK Hynix Tokenized Stock (Ondo)</v>
      </c>
      <c r="B273" t="str">
        <f>cleaned_data!B271</f>
        <v>SKHYon</v>
      </c>
      <c r="C273">
        <f>cleaned_data!F271</f>
        <v>1560000</v>
      </c>
      <c r="D273" t="str">
        <f t="shared" si="4"/>
        <v>No</v>
      </c>
    </row>
    <row r="274" spans="1:4">
      <c r="A274" t="str">
        <f>cleaned_data!A272</f>
        <v>WELF</v>
      </c>
      <c r="B274" t="str">
        <f>cleaned_data!B272</f>
        <v>WELF</v>
      </c>
      <c r="C274">
        <f>cleaned_data!F272</f>
        <v>28830</v>
      </c>
      <c r="D274" t="str">
        <f t="shared" si="4"/>
        <v>No</v>
      </c>
    </row>
    <row r="275" spans="1:4">
      <c r="A275" t="str">
        <f>cleaned_data!A273</f>
        <v>SLIMEX</v>
      </c>
      <c r="B275" t="str">
        <f>cleaned_data!B273</f>
        <v>SLX</v>
      </c>
      <c r="C275">
        <f>cleaned_data!F273</f>
        <v>15210</v>
      </c>
      <c r="D275" t="str">
        <f t="shared" si="4"/>
        <v>No</v>
      </c>
    </row>
    <row r="276" spans="1:4">
      <c r="A276" t="str">
        <f>cleaned_data!A274</f>
        <v>Zyfai</v>
      </c>
      <c r="B276" t="str">
        <f>cleaned_data!B274</f>
        <v>ZFI</v>
      </c>
      <c r="C276">
        <f>cleaned_data!F274</f>
        <v>11250</v>
      </c>
      <c r="D276" t="str">
        <f t="shared" si="4"/>
        <v>No</v>
      </c>
    </row>
    <row r="277" spans="1:4">
      <c r="A277" t="str">
        <f>cleaned_data!A275</f>
        <v>AllUnity EUR</v>
      </c>
      <c r="B277" t="str">
        <f>cleaned_data!B275</f>
        <v>EURAU</v>
      </c>
      <c r="C277">
        <f>cleaned_data!F275</f>
        <v>0</v>
      </c>
      <c r="D277" t="str">
        <f t="shared" si="4"/>
        <v>Yes</v>
      </c>
    </row>
    <row r="278" spans="1:4">
      <c r="A278" t="str">
        <f>cleaned_data!A276</f>
        <v>Invesco QQQ Tokenized ETF (Robinhood)</v>
      </c>
      <c r="B278" t="str">
        <f>cleaned_data!B276</f>
        <v>QQQ</v>
      </c>
      <c r="C278">
        <f>cleaned_data!F276</f>
        <v>191590</v>
      </c>
      <c r="D278" t="str">
        <f t="shared" si="4"/>
        <v>Yes</v>
      </c>
    </row>
    <row r="279" spans="1:4">
      <c r="A279" t="str">
        <f>cleaned_data!A277</f>
        <v>Costco Tokenized Stock (Ondo)</v>
      </c>
      <c r="B279" t="str">
        <f>cleaned_data!B277</f>
        <v>COSTon</v>
      </c>
      <c r="C279">
        <f>cleaned_data!F277</f>
        <v>4610000</v>
      </c>
      <c r="D279" t="str">
        <f t="shared" si="4"/>
        <v>Yes</v>
      </c>
    </row>
    <row r="280" spans="1:4">
      <c r="A280" t="str">
        <f>cleaned_data!A278</f>
        <v>Free Joby</v>
      </c>
      <c r="B280" t="str">
        <f>cleaned_data!B278</f>
        <v>JOBY</v>
      </c>
      <c r="C280">
        <f>cleaned_data!F278</f>
        <v>58370</v>
      </c>
      <c r="D280" t="str">
        <f t="shared" si="4"/>
        <v>No</v>
      </c>
    </row>
    <row r="281" spans="1:4">
      <c r="A281" t="str">
        <f>cleaned_data!A279</f>
        <v>Dell Technologies Inc. tokenized stock (xStock)</v>
      </c>
      <c r="B281" t="str">
        <f>cleaned_data!B279</f>
        <v>DELLx</v>
      </c>
      <c r="C281" s="25" t="str">
        <f>cleaned_data!F279</f>
        <v>128770.00000000001</v>
      </c>
      <c r="D281" t="str">
        <f t="shared" si="4"/>
        <v>Yes</v>
      </c>
    </row>
    <row r="282" spans="1:4">
      <c r="A282" t="str">
        <f>cleaned_data!A280</f>
        <v>Dejitaru Tsuka</v>
      </c>
      <c r="B282" t="str">
        <f>cleaned_data!B280</f>
        <v>TSUKA</v>
      </c>
      <c r="C282">
        <f>cleaned_data!F280</f>
        <v>0</v>
      </c>
      <c r="D282" t="str">
        <f t="shared" si="4"/>
        <v>Yes</v>
      </c>
    </row>
    <row r="283" spans="1:4">
      <c r="A283" t="str">
        <f>cleaned_data!A281</f>
        <v>TOKPIE</v>
      </c>
      <c r="B283" t="str">
        <f>cleaned_data!B281</f>
        <v>TKP</v>
      </c>
      <c r="C283">
        <f>cleaned_data!F281</f>
        <v>0</v>
      </c>
      <c r="D283" t="str">
        <f t="shared" si="4"/>
        <v>No</v>
      </c>
    </row>
    <row r="284" spans="1:4">
      <c r="A284" t="str">
        <f>cleaned_data!A282</f>
        <v>SHPING</v>
      </c>
      <c r="B284" t="str">
        <f>cleaned_data!B282</f>
        <v>SHPING</v>
      </c>
      <c r="C284">
        <f>cleaned_data!F282</f>
        <v>149760</v>
      </c>
      <c r="D284" t="str">
        <f t="shared" si="4"/>
        <v>No</v>
      </c>
    </row>
    <row r="285" spans="1:4">
      <c r="A285" t="str">
        <f>cleaned_data!A283</f>
        <v>RENEC</v>
      </c>
      <c r="B285" t="str">
        <f>cleaned_data!B283</f>
        <v>RENEC</v>
      </c>
      <c r="C285">
        <f>cleaned_data!F283</f>
        <v>0</v>
      </c>
      <c r="D285" t="str">
        <f t="shared" si="4"/>
        <v>No</v>
      </c>
    </row>
    <row r="286" spans="1:4">
      <c r="A286" t="str">
        <f>cleaned_data!A284</f>
        <v>ScPrime</v>
      </c>
      <c r="B286" t="str">
        <f>cleaned_data!B284</f>
        <v>SCP</v>
      </c>
      <c r="C286">
        <f>cleaned_data!F284</f>
        <v>2900</v>
      </c>
      <c r="D286" t="str">
        <f t="shared" si="4"/>
        <v>No</v>
      </c>
    </row>
    <row r="287" spans="1:4">
      <c r="A287" t="str">
        <f>cleaned_data!A285</f>
        <v>Chickencoin</v>
      </c>
      <c r="B287" t="str">
        <f>cleaned_data!B285</f>
        <v>CHKN</v>
      </c>
      <c r="C287">
        <f>cleaned_data!F285</f>
        <v>0</v>
      </c>
      <c r="D287" t="str">
        <f t="shared" si="4"/>
        <v>Yes</v>
      </c>
    </row>
    <row r="288" spans="1:4">
      <c r="A288" t="str">
        <f>cleaned_data!A286</f>
        <v>RICE AI</v>
      </c>
      <c r="B288" t="str">
        <f>cleaned_data!B286</f>
        <v>RICE</v>
      </c>
      <c r="C288">
        <f>cleaned_data!F286</f>
        <v>163140</v>
      </c>
      <c r="D288" t="str">
        <f t="shared" si="4"/>
        <v>No</v>
      </c>
    </row>
    <row r="289" spans="1:4">
      <c r="A289" t="str">
        <f>cleaned_data!A287</f>
        <v>RigoBlock</v>
      </c>
      <c r="B289" t="str">
        <f>cleaned_data!B287</f>
        <v>GRG</v>
      </c>
      <c r="C289">
        <f>cleaned_data!F287</f>
        <v>0</v>
      </c>
      <c r="D289" t="str">
        <f t="shared" si="4"/>
        <v>No</v>
      </c>
    </row>
    <row r="290" spans="1:4">
      <c r="A290" t="str">
        <f>cleaned_data!A288</f>
        <v>Skey Network</v>
      </c>
      <c r="B290" t="str">
        <f>cleaned_data!B288</f>
        <v>SKEY</v>
      </c>
      <c r="C290">
        <f>cleaned_data!F288</f>
        <v>6910</v>
      </c>
      <c r="D290" t="str">
        <f t="shared" si="4"/>
        <v>No</v>
      </c>
    </row>
    <row r="291" spans="1:4">
      <c r="A291" t="str">
        <f>cleaned_data!A289</f>
        <v>Cashaa</v>
      </c>
      <c r="B291" t="str">
        <f>cleaned_data!B289</f>
        <v>CAS</v>
      </c>
      <c r="C291">
        <f>cleaned_data!F289</f>
        <v>1.26</v>
      </c>
      <c r="D291" t="str">
        <f t="shared" si="4"/>
        <v>Yes</v>
      </c>
    </row>
    <row r="292" spans="1:4">
      <c r="A292" t="str">
        <f>cleaned_data!A290</f>
        <v>Nokia Tokenized Stock (Ondo)</v>
      </c>
      <c r="B292" t="str">
        <f>cleaned_data!B290</f>
        <v>NOKon</v>
      </c>
      <c r="C292">
        <f>cleaned_data!F290</f>
        <v>557250</v>
      </c>
      <c r="D292" t="str">
        <f t="shared" si="4"/>
        <v>No</v>
      </c>
    </row>
    <row r="293" spans="1:4">
      <c r="A293" t="str">
        <f>cleaned_data!A291</f>
        <v>AST SpaceMobile Tokenized bStocks</v>
      </c>
      <c r="B293" t="str">
        <f>cleaned_data!B291</f>
        <v>ASTSB</v>
      </c>
      <c r="C293">
        <f>cleaned_data!F291</f>
        <v>1130000</v>
      </c>
      <c r="D293" t="str">
        <f t="shared" si="4"/>
        <v>Yes</v>
      </c>
    </row>
    <row r="294" spans="1:4">
      <c r="A294" t="str">
        <f>cleaned_data!A292</f>
        <v>Morpheus.Network</v>
      </c>
      <c r="B294" t="str">
        <f>cleaned_data!B292</f>
        <v>MNW</v>
      </c>
      <c r="C294">
        <f>cleaned_data!F292</f>
        <v>272.37</v>
      </c>
      <c r="D294" t="str">
        <f t="shared" si="4"/>
        <v>No</v>
      </c>
    </row>
    <row r="295" spans="1:4">
      <c r="A295" t="str">
        <f>cleaned_data!A293</f>
        <v>Franklin US Large Cap Multifactor Index Tokenized ETF (Ondo)</v>
      </c>
      <c r="B295" t="str">
        <f>cleaned_data!B293</f>
        <v>FLQLon</v>
      </c>
      <c r="C295">
        <f>cleaned_data!F293</f>
        <v>162320</v>
      </c>
      <c r="D295" t="str">
        <f t="shared" si="4"/>
        <v>No</v>
      </c>
    </row>
    <row r="296" spans="1:4">
      <c r="A296" t="str">
        <f>cleaned_data!A294</f>
        <v>Disney Tokenized Stock (Ondo)</v>
      </c>
      <c r="B296" t="str">
        <f>cleaned_data!B294</f>
        <v>DISon</v>
      </c>
      <c r="C296">
        <f>cleaned_data!F294</f>
        <v>221800</v>
      </c>
      <c r="D296" t="str">
        <f t="shared" si="4"/>
        <v>Yes</v>
      </c>
    </row>
    <row r="297" spans="1:4">
      <c r="A297" t="str">
        <f>cleaned_data!A295</f>
        <v>Pandora</v>
      </c>
      <c r="B297" t="str">
        <f>cleaned_data!B295</f>
        <v>PANDORA</v>
      </c>
      <c r="C297">
        <f>cleaned_data!F295</f>
        <v>0</v>
      </c>
      <c r="D297" t="str">
        <f t="shared" si="4"/>
        <v>No</v>
      </c>
    </row>
    <row r="298" spans="1:4">
      <c r="A298" t="str">
        <f>cleaned_data!A296</f>
        <v>Shrapnel</v>
      </c>
      <c r="B298" t="str">
        <f>cleaned_data!B296</f>
        <v>SHRAP</v>
      </c>
      <c r="C298">
        <f>cleaned_data!F296</f>
        <v>0</v>
      </c>
      <c r="D298" t="str">
        <f t="shared" si="4"/>
        <v>No</v>
      </c>
    </row>
    <row r="299" spans="1:4">
      <c r="A299" t="str">
        <f>cleaned_data!A297</f>
        <v>Nexera</v>
      </c>
      <c r="B299" t="str">
        <f>cleaned_data!B297</f>
        <v>NXRA</v>
      </c>
      <c r="C299">
        <f>cleaned_data!F297</f>
        <v>1310</v>
      </c>
      <c r="D299" t="str">
        <f t="shared" si="4"/>
        <v>No</v>
      </c>
    </row>
    <row r="300" spans="1:4">
      <c r="A300" t="str">
        <f>cleaned_data!A298</f>
        <v>BitCore</v>
      </c>
      <c r="B300" t="str">
        <f>cleaned_data!B298</f>
        <v>BTX</v>
      </c>
      <c r="C300">
        <f>cleaned_data!F298</f>
        <v>0</v>
      </c>
      <c r="D300" t="str">
        <f t="shared" si="4"/>
        <v>Yes</v>
      </c>
    </row>
    <row r="301" spans="1:4">
      <c r="A301" t="str">
        <f>cleaned_data!A299</f>
        <v>W Coin</v>
      </c>
      <c r="B301" t="str">
        <f>cleaned_data!B299</f>
        <v>WCO</v>
      </c>
      <c r="C301">
        <f>cleaned_data!F299</f>
        <v>10650</v>
      </c>
      <c r="D301" t="str">
        <f t="shared" si="4"/>
        <v>No</v>
      </c>
    </row>
    <row r="302" spans="1:4">
      <c r="A302" t="str">
        <f>cleaned_data!A300</f>
        <v>Trias Token (New)</v>
      </c>
      <c r="B302" t="str">
        <f>cleaned_data!B300</f>
        <v>TRIAS</v>
      </c>
      <c r="C302">
        <f>cleaned_data!F300</f>
        <v>1180</v>
      </c>
      <c r="D302" t="str">
        <f t="shared" si="4"/>
        <v>No</v>
      </c>
    </row>
    <row r="303" spans="1:4">
      <c r="A303" t="str">
        <f>cleaned_data!A301</f>
        <v>Pwease</v>
      </c>
      <c r="B303" t="str">
        <f>cleaned_data!B301</f>
        <v>PWEASE</v>
      </c>
      <c r="C303">
        <f>cleaned_data!F301</f>
        <v>69140</v>
      </c>
      <c r="D303" t="str">
        <f t="shared" si="4"/>
        <v>No</v>
      </c>
    </row>
  </sheetData>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B1:V79"/>
  <sheetViews>
    <sheetView topLeftCell="B8" zoomScale="64" zoomScaleNormal="64" workbookViewId="0">
      <selection activeCell="G33" sqref="G33"/>
    </sheetView>
  </sheetViews>
  <sheetFormatPr defaultColWidth="9" defaultRowHeight="14.4"/>
  <cols>
    <col min="5" max="5" width="23" customWidth="1"/>
    <col min="6" max="6" width="8.88671875" customWidth="1"/>
    <col min="7" max="7" width="17.88671875" customWidth="1"/>
    <col min="8" max="8" width="24.5546875" bestFit="1" customWidth="1"/>
    <col min="9" max="9" width="19" bestFit="1" customWidth="1"/>
    <col min="12" max="12" width="30.44140625" customWidth="1"/>
  </cols>
  <sheetData>
    <row r="1" spans="2:22" ht="15.6">
      <c r="B1" s="4"/>
      <c r="C1" s="4"/>
      <c r="D1" s="4"/>
      <c r="E1" s="4"/>
      <c r="F1" s="4"/>
      <c r="G1" s="5"/>
      <c r="H1" s="4"/>
      <c r="I1" s="4"/>
      <c r="J1" s="4"/>
      <c r="K1" s="4"/>
      <c r="L1" s="4"/>
      <c r="M1" s="4"/>
      <c r="N1" s="4"/>
      <c r="O1" s="4"/>
      <c r="P1" s="4"/>
      <c r="Q1" s="4"/>
      <c r="R1" s="4"/>
      <c r="S1" s="4"/>
      <c r="T1" s="4"/>
      <c r="U1" s="4"/>
      <c r="V1" s="4"/>
    </row>
    <row r="2" spans="2:22" ht="15.6">
      <c r="B2" s="4"/>
      <c r="C2" s="4"/>
      <c r="D2" s="4"/>
      <c r="E2" s="4"/>
      <c r="F2" s="4"/>
      <c r="G2" s="4"/>
      <c r="H2" s="4"/>
      <c r="I2" s="4"/>
      <c r="J2" s="4"/>
      <c r="K2" s="4"/>
      <c r="L2" s="4"/>
      <c r="M2" s="4"/>
      <c r="N2" s="4"/>
      <c r="O2" s="4"/>
      <c r="P2" s="4"/>
      <c r="Q2" s="4"/>
      <c r="R2" s="4"/>
      <c r="S2" s="4"/>
      <c r="T2" s="4"/>
      <c r="U2" s="4"/>
      <c r="V2" s="4"/>
    </row>
    <row r="3" spans="2:22" ht="15.6">
      <c r="B3" s="4"/>
      <c r="C3" s="4"/>
      <c r="D3" s="4"/>
      <c r="E3" s="4"/>
      <c r="F3" s="4"/>
      <c r="G3" s="4"/>
      <c r="H3" s="4"/>
      <c r="I3" s="4"/>
      <c r="J3" s="4"/>
      <c r="K3" s="4"/>
      <c r="L3" s="4"/>
      <c r="M3" s="4"/>
      <c r="N3" s="4"/>
      <c r="O3" s="4"/>
      <c r="P3" s="4"/>
      <c r="Q3" s="4"/>
      <c r="R3" s="4"/>
      <c r="S3" s="4"/>
      <c r="T3" s="4"/>
      <c r="U3" s="4"/>
      <c r="V3" s="4"/>
    </row>
    <row r="4" spans="2:22" ht="15.6">
      <c r="B4" s="4"/>
      <c r="C4" s="4"/>
      <c r="D4" s="4"/>
      <c r="E4" s="4"/>
      <c r="F4" s="4"/>
      <c r="G4" s="4"/>
      <c r="H4" s="4"/>
      <c r="I4" s="4"/>
      <c r="J4" s="4"/>
      <c r="K4" s="4"/>
      <c r="L4" s="4"/>
      <c r="M4" s="4"/>
      <c r="N4" s="4"/>
      <c r="O4" s="4"/>
      <c r="P4" s="4"/>
      <c r="Q4" s="4"/>
      <c r="R4" s="4"/>
      <c r="S4" s="4"/>
      <c r="T4" s="4"/>
      <c r="U4" s="4"/>
      <c r="V4" s="4"/>
    </row>
    <row r="5" spans="2:22" ht="15.6">
      <c r="B5" s="4"/>
      <c r="C5" s="4"/>
      <c r="D5" s="4"/>
      <c r="E5" s="4"/>
      <c r="F5" s="4"/>
      <c r="G5" s="4"/>
      <c r="H5" s="4"/>
      <c r="I5" s="4"/>
      <c r="J5" s="4"/>
      <c r="K5" s="4"/>
      <c r="L5" s="4"/>
      <c r="M5" s="4"/>
      <c r="N5" s="4"/>
      <c r="O5" s="4"/>
      <c r="P5" s="4"/>
      <c r="Q5" s="4"/>
      <c r="R5" s="4"/>
      <c r="S5" s="4"/>
      <c r="T5" s="4"/>
      <c r="U5" s="4"/>
      <c r="V5" s="4"/>
    </row>
    <row r="6" spans="2:22" ht="15.6">
      <c r="B6" s="4"/>
      <c r="C6" s="4"/>
      <c r="D6" s="4"/>
      <c r="E6" s="4"/>
      <c r="F6" s="4"/>
      <c r="G6" s="4"/>
      <c r="H6" s="4"/>
      <c r="I6" s="4"/>
      <c r="J6" s="4"/>
      <c r="K6" s="4"/>
      <c r="L6" s="4"/>
      <c r="M6" s="4"/>
      <c r="N6" s="4"/>
      <c r="O6" s="4"/>
      <c r="P6" s="4"/>
      <c r="Q6" s="4"/>
      <c r="R6" s="4"/>
      <c r="S6" s="4"/>
      <c r="T6" s="4"/>
      <c r="U6" s="4"/>
      <c r="V6" s="4"/>
    </row>
    <row r="7" spans="2:22" ht="15.6">
      <c r="B7" s="4"/>
      <c r="C7" s="4"/>
      <c r="D7" s="4"/>
      <c r="E7" s="4"/>
      <c r="F7" s="4"/>
      <c r="G7" s="4"/>
      <c r="H7" s="4"/>
      <c r="I7" s="4"/>
      <c r="J7" s="4"/>
      <c r="K7" s="4"/>
      <c r="L7" s="4"/>
      <c r="M7" s="4"/>
      <c r="N7" s="4"/>
      <c r="O7" s="4"/>
      <c r="P7" s="4"/>
      <c r="Q7" s="4"/>
      <c r="R7" s="4"/>
      <c r="S7" s="4"/>
      <c r="T7" s="4"/>
      <c r="U7" s="4"/>
      <c r="V7" s="4"/>
    </row>
    <row r="8" spans="2:22" ht="15.6">
      <c r="B8" s="4"/>
      <c r="C8" s="4"/>
      <c r="D8" s="4"/>
      <c r="E8" s="4"/>
      <c r="F8" s="4"/>
      <c r="G8" s="4"/>
      <c r="H8" s="4"/>
      <c r="I8" s="4"/>
      <c r="J8" s="4"/>
      <c r="K8" s="4"/>
      <c r="L8" s="4"/>
      <c r="M8" s="4"/>
      <c r="N8" s="4"/>
      <c r="O8" s="4"/>
      <c r="P8" s="4"/>
      <c r="Q8" s="4"/>
      <c r="R8" s="4"/>
      <c r="S8" s="4"/>
      <c r="T8" s="4"/>
      <c r="U8" s="4"/>
      <c r="V8" s="4"/>
    </row>
    <row r="9" spans="2:22" ht="15.6">
      <c r="B9" s="4"/>
      <c r="C9" s="4"/>
      <c r="D9" s="4"/>
      <c r="E9" s="4"/>
      <c r="F9" s="4"/>
      <c r="G9" s="4"/>
      <c r="H9" s="4"/>
      <c r="I9" s="4"/>
      <c r="J9" s="4"/>
      <c r="K9" s="4"/>
      <c r="L9" s="4"/>
      <c r="M9" s="4"/>
      <c r="N9" s="4"/>
      <c r="O9" s="4"/>
      <c r="P9" s="4"/>
      <c r="Q9" s="4"/>
      <c r="R9" s="4"/>
      <c r="S9" s="4"/>
      <c r="T9" s="4"/>
      <c r="U9" s="4"/>
      <c r="V9" s="4"/>
    </row>
    <row r="10" spans="2:22" ht="15.6">
      <c r="B10" s="4"/>
      <c r="C10" s="4"/>
      <c r="D10" s="4"/>
      <c r="E10" s="4"/>
      <c r="F10" s="4"/>
      <c r="G10" s="4"/>
      <c r="H10" s="4"/>
      <c r="I10" s="4"/>
      <c r="J10" s="4"/>
      <c r="K10" s="4"/>
      <c r="L10" s="4"/>
      <c r="M10" s="4"/>
      <c r="N10" s="4"/>
      <c r="O10" s="4"/>
      <c r="P10" s="4"/>
      <c r="Q10" s="4"/>
      <c r="R10" s="4"/>
      <c r="S10" s="4"/>
      <c r="T10" s="4"/>
      <c r="U10" s="4"/>
      <c r="V10" s="4"/>
    </row>
    <row r="11" spans="2:22" ht="15.6">
      <c r="B11" s="4"/>
      <c r="C11" s="4"/>
      <c r="D11" s="4"/>
      <c r="E11" s="4"/>
      <c r="F11" s="4"/>
      <c r="G11" s="4"/>
      <c r="H11" s="31" t="s">
        <v>5</v>
      </c>
      <c r="I11" s="4"/>
      <c r="J11" s="4"/>
      <c r="K11" s="4"/>
      <c r="L11" s="4"/>
      <c r="M11" s="6" t="s">
        <v>267</v>
      </c>
      <c r="N11" s="4"/>
      <c r="O11" s="4"/>
      <c r="P11" s="4"/>
      <c r="Q11" s="4"/>
      <c r="R11" s="4"/>
      <c r="S11" s="4"/>
      <c r="T11" s="4"/>
      <c r="U11" s="4"/>
      <c r="V11" s="4"/>
    </row>
    <row r="12" spans="2:22" ht="15.6">
      <c r="B12" s="4"/>
      <c r="C12" s="4"/>
      <c r="D12" s="4"/>
      <c r="E12" s="4"/>
      <c r="F12" s="4"/>
      <c r="G12" s="4"/>
      <c r="H12" s="4"/>
      <c r="I12" s="4"/>
      <c r="J12" s="4"/>
      <c r="K12" s="4"/>
      <c r="L12" s="4"/>
      <c r="M12" s="4"/>
      <c r="N12" s="4"/>
      <c r="O12" s="4"/>
      <c r="P12" s="4"/>
      <c r="Q12" s="4"/>
      <c r="R12" s="4"/>
      <c r="S12" s="4"/>
      <c r="T12" s="4"/>
      <c r="U12" s="4"/>
      <c r="V12" s="4"/>
    </row>
    <row r="13" spans="2:22" ht="15.6">
      <c r="B13" s="4"/>
      <c r="C13" s="4"/>
      <c r="D13" s="4"/>
      <c r="E13" s="4"/>
      <c r="F13" s="4"/>
      <c r="G13" s="4"/>
      <c r="H13" s="4"/>
      <c r="I13" s="4"/>
      <c r="J13" s="4"/>
      <c r="K13" s="4"/>
      <c r="L13" s="4"/>
      <c r="M13" s="4"/>
      <c r="N13" s="4"/>
      <c r="O13" s="4"/>
      <c r="P13" s="4"/>
      <c r="Q13" s="4"/>
      <c r="R13" s="4"/>
      <c r="S13" s="4"/>
      <c r="T13" s="4"/>
      <c r="U13" s="4"/>
      <c r="V13" s="4"/>
    </row>
    <row r="14" spans="2:22" ht="15.6">
      <c r="B14" s="4"/>
      <c r="C14" s="4"/>
      <c r="D14" s="4"/>
      <c r="E14" s="4"/>
      <c r="F14" s="4"/>
      <c r="G14" s="4"/>
      <c r="H14" s="4"/>
      <c r="I14" s="4"/>
      <c r="J14" s="4"/>
      <c r="K14" s="4"/>
      <c r="L14" s="4"/>
      <c r="M14" s="4"/>
      <c r="N14" s="4"/>
      <c r="O14" s="4"/>
      <c r="P14" s="4"/>
      <c r="Q14" s="4"/>
      <c r="R14" s="4"/>
      <c r="S14" s="4"/>
      <c r="T14" s="4"/>
      <c r="U14" s="4"/>
      <c r="V14" s="4"/>
    </row>
    <row r="15" spans="2:22" ht="15.6">
      <c r="B15" s="4"/>
      <c r="C15" s="4"/>
      <c r="D15" s="4"/>
      <c r="E15" s="4"/>
      <c r="F15" s="4"/>
      <c r="G15" s="4"/>
      <c r="H15" s="4"/>
      <c r="I15" s="4"/>
      <c r="J15" s="4"/>
      <c r="K15" s="4"/>
      <c r="L15" s="4"/>
      <c r="M15" s="4"/>
      <c r="N15" s="4"/>
      <c r="O15" s="4"/>
      <c r="P15" s="4"/>
      <c r="Q15" s="4"/>
      <c r="R15" s="4"/>
      <c r="S15" s="4"/>
      <c r="T15" s="4"/>
      <c r="U15" s="4"/>
      <c r="V15" s="4"/>
    </row>
    <row r="16" spans="2:22" ht="15.6">
      <c r="B16" s="4"/>
      <c r="C16" s="4"/>
      <c r="D16" s="4"/>
      <c r="E16" s="4"/>
      <c r="F16" s="4"/>
      <c r="G16" s="4"/>
      <c r="H16" s="4"/>
      <c r="I16" s="4"/>
      <c r="J16" s="4"/>
      <c r="K16" s="4"/>
      <c r="L16" s="4"/>
      <c r="M16" s="4"/>
      <c r="N16" s="4"/>
      <c r="O16" s="4"/>
      <c r="P16" s="4"/>
      <c r="Q16" s="4"/>
      <c r="R16" s="4"/>
      <c r="S16" s="4"/>
      <c r="T16" s="4"/>
      <c r="U16" s="4"/>
      <c r="V16" s="4"/>
    </row>
    <row r="17" spans="2:22" ht="15.6">
      <c r="B17" s="4"/>
      <c r="C17" s="4"/>
      <c r="D17" s="4"/>
      <c r="E17" s="4"/>
      <c r="F17" s="4"/>
      <c r="G17" s="4"/>
      <c r="H17" s="4"/>
      <c r="I17" s="4"/>
      <c r="J17" s="4"/>
      <c r="K17" s="4"/>
      <c r="L17" s="4"/>
      <c r="M17" s="4"/>
      <c r="N17" s="4"/>
      <c r="O17" s="4"/>
      <c r="P17" s="4"/>
      <c r="Q17" s="4"/>
      <c r="R17" s="4"/>
      <c r="S17" s="4"/>
      <c r="T17" s="4"/>
      <c r="U17" s="4"/>
      <c r="V17" s="4"/>
    </row>
    <row r="18" spans="2:22" ht="15.6">
      <c r="B18" s="4"/>
      <c r="C18" s="4"/>
      <c r="D18" s="4"/>
      <c r="E18" s="4"/>
      <c r="F18" s="4"/>
      <c r="G18" s="4"/>
      <c r="H18" s="4"/>
      <c r="I18" s="4"/>
      <c r="J18" s="4"/>
      <c r="K18" s="4"/>
      <c r="L18" s="4"/>
      <c r="M18" s="4"/>
      <c r="N18" s="4"/>
      <c r="O18" s="4"/>
      <c r="P18" s="4"/>
      <c r="Q18" s="4"/>
      <c r="R18" s="4"/>
      <c r="S18" s="4"/>
      <c r="T18" s="4"/>
      <c r="U18" s="4"/>
      <c r="V18" s="4"/>
    </row>
    <row r="19" spans="2:22" ht="21">
      <c r="B19" s="4"/>
      <c r="C19" s="4"/>
      <c r="D19" s="4"/>
      <c r="E19" s="4"/>
      <c r="F19" s="4"/>
      <c r="G19" s="29" t="s">
        <v>906</v>
      </c>
      <c r="H19" s="29" t="s">
        <v>907</v>
      </c>
      <c r="I19" s="29" t="s">
        <v>908</v>
      </c>
      <c r="J19" s="4"/>
      <c r="K19" s="4"/>
      <c r="L19" s="4"/>
      <c r="M19" s="4"/>
      <c r="N19" s="4"/>
      <c r="O19" s="4"/>
      <c r="P19" s="4"/>
      <c r="Q19" s="4"/>
      <c r="R19" s="4"/>
      <c r="S19" s="4"/>
      <c r="T19" s="4"/>
      <c r="U19" s="4"/>
      <c r="V19" s="4"/>
    </row>
    <row r="20" spans="2:22" ht="21">
      <c r="B20" s="4"/>
      <c r="C20" s="4"/>
      <c r="D20" s="4"/>
      <c r="E20" s="4"/>
      <c r="F20" s="4"/>
      <c r="G20" s="29" t="s">
        <v>308</v>
      </c>
      <c r="H20" s="29" t="str">
        <f>_xlfn.XLOOKUP($H$11,cleaned_data!$A:$A,cleaned_data!$B:$B,"Not Found")</f>
        <v>BTC</v>
      </c>
      <c r="I20" s="29" t="str">
        <f>_xlfn.XLOOKUP($M$11,cleaned_data!$A:$A,cleaned_data!$B:$B,"Not Found")</f>
        <v>ETH</v>
      </c>
      <c r="J20" s="4"/>
      <c r="K20" s="4"/>
      <c r="L20" s="4"/>
      <c r="M20" s="4"/>
      <c r="N20" s="4"/>
      <c r="O20" s="4"/>
      <c r="P20" s="4"/>
      <c r="Q20" s="4"/>
      <c r="R20" s="4"/>
      <c r="S20" s="4"/>
      <c r="T20" s="4"/>
      <c r="U20" s="4"/>
      <c r="V20" s="4"/>
    </row>
    <row r="21" spans="2:22" ht="21">
      <c r="B21" s="4"/>
      <c r="C21" s="4"/>
      <c r="D21" s="4"/>
      <c r="E21" s="4"/>
      <c r="F21" s="4"/>
      <c r="G21" s="29" t="s">
        <v>909</v>
      </c>
      <c r="H21" s="29">
        <f>_xlfn.XLOOKUP($H$11,cleaned_data!$A:$A,cleaned_data!$C:$C,"Not Found")</f>
        <v>80509.13</v>
      </c>
      <c r="I21" s="29">
        <f>_xlfn.XLOOKUP($M$11,cleaned_data!$A:$A,cleaned_data!$C:$C,"Not Found")</f>
        <v>2502.7199999999998</v>
      </c>
      <c r="J21" s="4"/>
      <c r="K21" s="4"/>
      <c r="L21" s="4"/>
      <c r="M21" s="4"/>
      <c r="N21" s="4"/>
      <c r="O21" s="4"/>
      <c r="P21" s="4"/>
      <c r="Q21" s="4"/>
      <c r="R21" s="4"/>
      <c r="S21" s="4"/>
      <c r="T21" s="4"/>
      <c r="U21" s="4"/>
      <c r="V21" s="4"/>
    </row>
    <row r="22" spans="2:22" ht="21">
      <c r="B22" s="4"/>
      <c r="C22" s="4"/>
      <c r="D22" s="4"/>
      <c r="E22" s="4"/>
      <c r="F22" s="4"/>
      <c r="G22" s="29" t="s">
        <v>312</v>
      </c>
      <c r="H22" s="29">
        <f>_xlfn.XLOOKUP($H$11,cleaned_data!$A:$A,cleaned_data!$F:$F,"Not Found")</f>
        <v>60980000000</v>
      </c>
      <c r="I22" s="29">
        <f>_xlfn.XLOOKUP($M$11,cleaned_data!$A:$A,cleaned_data!$F:$F,"Not Found")</f>
        <v>23510000000</v>
      </c>
      <c r="J22" s="4"/>
      <c r="K22" s="4"/>
      <c r="L22" s="4"/>
      <c r="M22" s="4"/>
      <c r="N22" s="4"/>
      <c r="O22" s="4"/>
      <c r="P22" s="4"/>
      <c r="Q22" s="4"/>
      <c r="R22" s="4"/>
      <c r="S22" s="4"/>
      <c r="T22" s="4"/>
      <c r="U22" s="4"/>
      <c r="V22" s="4"/>
    </row>
    <row r="23" spans="2:22" ht="21">
      <c r="B23" s="4"/>
      <c r="C23" s="4"/>
      <c r="D23" s="4"/>
      <c r="E23" s="4"/>
      <c r="F23" s="4"/>
      <c r="G23" s="29" t="s">
        <v>311</v>
      </c>
      <c r="H23" s="30" t="str">
        <f>_xlfn.XLOOKUP($H$11,cleaned_data!$A:$A,cleaned_data!$E:$E,"Not Found")</f>
        <v>1610000000000.0</v>
      </c>
      <c r="I23" s="30" t="str">
        <f>_xlfn.XLOOKUP($M$11,cleaned_data!$A:$A,cleaned_data!$E:$E,"Not Found")</f>
        <v>3.0209E+11</v>
      </c>
      <c r="J23" s="4"/>
      <c r="K23" s="4"/>
      <c r="L23" s="4"/>
      <c r="M23" s="4"/>
      <c r="N23" s="4"/>
      <c r="O23" s="4"/>
      <c r="P23" s="4"/>
      <c r="Q23" s="4"/>
      <c r="R23" s="4"/>
      <c r="S23" s="4"/>
      <c r="T23" s="4"/>
      <c r="U23" s="4"/>
      <c r="V23" s="4"/>
    </row>
    <row r="24" spans="2:22" ht="21">
      <c r="B24" s="4"/>
      <c r="C24" s="4"/>
      <c r="D24" s="4"/>
      <c r="E24" s="4"/>
      <c r="F24" s="4"/>
      <c r="G24" s="29" t="s">
        <v>313</v>
      </c>
      <c r="H24" s="29">
        <f>_xlfn.XLOOKUP($H$11,cleaned_data!$A:$A,cleaned_data!$G:$G,"Not Found")</f>
        <v>20070000</v>
      </c>
      <c r="I24" s="29">
        <f>_xlfn.XLOOKUP($M$11,cleaned_data!$A:$A,cleaned_data!$G:$G,"Not Found")</f>
        <v>120680000</v>
      </c>
      <c r="J24" s="4"/>
      <c r="K24" s="4"/>
      <c r="L24" s="4"/>
      <c r="M24" s="4"/>
      <c r="N24" s="4"/>
      <c r="O24" s="4"/>
      <c r="P24" s="4"/>
      <c r="Q24" s="4"/>
      <c r="R24" s="4"/>
      <c r="S24" s="4"/>
      <c r="T24" s="4"/>
      <c r="U24" s="4"/>
      <c r="V24" s="4"/>
    </row>
    <row r="25" spans="2:22" ht="15.6">
      <c r="B25" s="4"/>
      <c r="C25" s="4"/>
      <c r="D25" s="4"/>
      <c r="E25" s="4"/>
      <c r="F25" s="4"/>
      <c r="G25" s="4"/>
      <c r="H25" s="4"/>
      <c r="I25" s="4"/>
      <c r="J25" s="4"/>
      <c r="K25" s="4"/>
      <c r="L25" s="4"/>
      <c r="M25" s="4"/>
      <c r="N25" s="4"/>
      <c r="O25" s="4"/>
      <c r="P25" s="4"/>
      <c r="Q25" s="4"/>
      <c r="R25" s="4"/>
      <c r="S25" s="4"/>
      <c r="T25" s="4"/>
      <c r="U25" s="4"/>
      <c r="V25" s="4"/>
    </row>
    <row r="26" spans="2:22" ht="15.6">
      <c r="B26" s="4"/>
      <c r="C26" s="4"/>
      <c r="D26" s="4"/>
      <c r="E26" s="4"/>
      <c r="F26" s="4"/>
      <c r="G26" s="4"/>
      <c r="H26" s="4"/>
      <c r="I26" s="4"/>
      <c r="J26" s="4"/>
      <c r="K26" s="4"/>
      <c r="L26" s="4"/>
      <c r="M26" s="4"/>
      <c r="N26" s="4"/>
      <c r="O26" s="4"/>
      <c r="P26" s="4"/>
      <c r="Q26" s="4"/>
      <c r="R26" s="4"/>
      <c r="S26" s="4"/>
      <c r="T26" s="4"/>
      <c r="U26" s="4"/>
      <c r="V26" s="4"/>
    </row>
    <row r="27" spans="2:22" ht="15.6">
      <c r="B27" s="4"/>
      <c r="C27" s="4"/>
      <c r="D27" s="4"/>
      <c r="E27" s="4"/>
      <c r="F27" s="4"/>
      <c r="G27" s="4"/>
      <c r="H27" s="4"/>
      <c r="I27" s="4"/>
      <c r="J27" s="4"/>
      <c r="K27" s="4"/>
      <c r="L27" s="4"/>
      <c r="M27" s="4"/>
      <c r="N27" s="4"/>
      <c r="O27" s="4"/>
      <c r="P27" s="4"/>
      <c r="Q27" s="4"/>
      <c r="R27" s="4"/>
      <c r="S27" s="4"/>
      <c r="T27" s="4"/>
      <c r="U27" s="4"/>
      <c r="V27" s="4"/>
    </row>
    <row r="28" spans="2:22" ht="15.6">
      <c r="B28" s="4"/>
      <c r="C28" s="4"/>
      <c r="D28" s="4"/>
      <c r="E28" s="4"/>
      <c r="F28" s="4"/>
      <c r="G28" s="4"/>
      <c r="H28" s="4"/>
      <c r="I28" s="4"/>
      <c r="J28" s="4"/>
      <c r="K28" s="4"/>
      <c r="L28" s="4"/>
      <c r="M28" s="4"/>
      <c r="N28" s="4"/>
      <c r="O28" s="4"/>
      <c r="P28" s="4"/>
      <c r="Q28" s="4"/>
      <c r="R28" s="4"/>
      <c r="S28" s="4"/>
      <c r="T28" s="4"/>
      <c r="U28" s="4"/>
      <c r="V28" s="4"/>
    </row>
    <row r="29" spans="2:22" ht="15.6">
      <c r="B29" s="4"/>
      <c r="C29" s="4"/>
      <c r="D29" s="4"/>
      <c r="E29" s="4"/>
      <c r="F29" s="4"/>
      <c r="G29" s="4"/>
      <c r="H29" s="4"/>
      <c r="I29" s="4"/>
      <c r="J29" s="4"/>
      <c r="K29" s="4"/>
      <c r="L29" s="4"/>
      <c r="M29" s="4"/>
      <c r="N29" s="4"/>
      <c r="O29" s="4"/>
      <c r="P29" s="4"/>
      <c r="Q29" s="4"/>
      <c r="R29" s="4"/>
      <c r="S29" s="4"/>
      <c r="T29" s="4"/>
      <c r="U29" s="4"/>
      <c r="V29" s="4"/>
    </row>
    <row r="30" spans="2:22" ht="15.6">
      <c r="B30" s="4"/>
      <c r="C30" s="4"/>
      <c r="D30" s="4"/>
      <c r="E30" s="4"/>
      <c r="F30" s="4"/>
      <c r="G30" s="4"/>
      <c r="H30" s="4"/>
      <c r="I30" s="4"/>
      <c r="J30" s="4"/>
      <c r="K30" s="4"/>
      <c r="L30" s="4"/>
      <c r="M30" s="4"/>
      <c r="N30" s="4"/>
      <c r="O30" s="4"/>
      <c r="P30" s="4"/>
      <c r="Q30" s="4"/>
      <c r="R30" s="4"/>
      <c r="S30" s="4"/>
      <c r="T30" s="4"/>
      <c r="U30" s="4"/>
      <c r="V30" s="4"/>
    </row>
    <row r="31" spans="2:22" ht="21">
      <c r="B31" s="7"/>
      <c r="C31" s="7"/>
      <c r="D31" s="7"/>
      <c r="E31" s="33" t="s">
        <v>910</v>
      </c>
      <c r="F31" s="33"/>
      <c r="G31" s="7"/>
      <c r="H31" s="34" t="s">
        <v>911</v>
      </c>
      <c r="I31" s="35"/>
      <c r="J31" s="7"/>
      <c r="K31" s="7"/>
      <c r="L31" s="36" t="s">
        <v>912</v>
      </c>
      <c r="M31" s="36"/>
      <c r="N31" s="36"/>
      <c r="O31" s="7"/>
      <c r="P31" s="7"/>
      <c r="Q31" s="7"/>
      <c r="R31" s="7"/>
      <c r="S31" s="7"/>
      <c r="T31" s="7"/>
      <c r="U31" s="7"/>
      <c r="V31" s="7"/>
    </row>
    <row r="32" spans="2:22" ht="21">
      <c r="B32" s="7"/>
      <c r="C32" s="7"/>
      <c r="D32" s="7"/>
      <c r="E32" s="29">
        <f>H22-I22</f>
        <v>37470000000</v>
      </c>
      <c r="F32" s="29" t="str">
        <f>IF(ABS(E32)&gt;=1000000000000,TEXT(E32/1000000000000,"0.00")&amp;"T",IF(ABS(E32)&gt;=1000000000,TEXT(E32/1000000000,"0.00")&amp;"B",IF(ABS(E32)&gt;=1000000,TEXT(E32/1000000,"0.00")&amp;"M",TEXT(E32,"0.00"))))</f>
        <v>37.47B</v>
      </c>
      <c r="G32" s="7"/>
      <c r="H32" s="29">
        <f>H23-I23</f>
        <v>1307910000000</v>
      </c>
      <c r="I32" s="29" t="str">
        <f>IF(ABS(H32)&gt;=1000000000000,TEXT(H32/1000000000000,"0.00")&amp;"T",IF(ABS(H32)&gt;=1000000000,TEXT(H32/1000000000,"0.00")&amp;"B",IF(ABS(H32)&gt;=1000000,TEXT(H32/1000000,"0.00")&amp;"M",TEXT(H32,"0.00"))))</f>
        <v>1.31T</v>
      </c>
      <c r="J32" s="7"/>
      <c r="K32" s="7"/>
      <c r="L32" s="29">
        <f>H24-I24</f>
        <v>-100610000</v>
      </c>
      <c r="M32" s="29" t="str">
        <f>IF(ABS(L32)&gt;=1000000000000,TEXT(L32/1000000000000,"0.00")&amp;"T",IF(ABS(L32)&gt;=1000000000,TEXT(L32/1000000000,"0.00")&amp;"B",IF(ABS(L32)&gt;=1000000,TEXT(L32/1000000,"0.00")&amp;"M",TEXT(L32,"0.00"))))</f>
        <v>-100.61M</v>
      </c>
      <c r="N32" s="32"/>
      <c r="O32" s="7"/>
      <c r="P32" s="7"/>
      <c r="Q32" s="7"/>
      <c r="R32" s="7"/>
      <c r="S32" s="7"/>
      <c r="T32" s="7"/>
      <c r="U32" s="7"/>
      <c r="V32" s="7"/>
    </row>
    <row r="33" spans="2:22">
      <c r="B33" s="7"/>
      <c r="C33" s="7"/>
      <c r="D33" s="7"/>
      <c r="E33" s="7"/>
      <c r="F33" s="7"/>
      <c r="G33" s="7"/>
      <c r="H33" s="7"/>
      <c r="I33" s="7"/>
      <c r="J33" s="7"/>
      <c r="K33" s="7"/>
      <c r="L33" s="7"/>
      <c r="M33" s="7"/>
      <c r="N33" s="7"/>
      <c r="O33" s="7"/>
      <c r="P33" s="7"/>
      <c r="Q33" s="7"/>
      <c r="R33" s="7"/>
      <c r="S33" s="7"/>
      <c r="T33" s="7"/>
      <c r="U33" s="7"/>
      <c r="V33" s="7"/>
    </row>
    <row r="34" spans="2:22">
      <c r="B34" s="7"/>
      <c r="C34" s="7"/>
      <c r="D34" s="7"/>
      <c r="E34" s="7"/>
      <c r="F34" s="7"/>
      <c r="G34" s="7"/>
      <c r="H34" s="7"/>
      <c r="I34" s="7"/>
      <c r="J34" s="7"/>
      <c r="K34" s="7"/>
      <c r="L34" s="7"/>
      <c r="M34" s="7"/>
      <c r="N34" s="7"/>
      <c r="O34" s="7"/>
      <c r="P34" s="7"/>
      <c r="Q34" s="7"/>
      <c r="R34" s="7"/>
      <c r="S34" s="7"/>
      <c r="T34" s="7"/>
      <c r="U34" s="7"/>
      <c r="V34" s="7"/>
    </row>
    <row r="35" spans="2:22">
      <c r="B35" s="7"/>
      <c r="C35" s="7"/>
      <c r="D35" s="7"/>
      <c r="E35" s="7"/>
      <c r="F35" s="7"/>
      <c r="G35" s="7"/>
      <c r="H35" s="7"/>
      <c r="I35" s="7"/>
      <c r="J35" s="7"/>
      <c r="K35" s="8"/>
      <c r="L35" s="7"/>
      <c r="M35" s="7"/>
      <c r="N35" s="7"/>
      <c r="O35" s="7"/>
      <c r="P35" s="7"/>
      <c r="Q35" s="7"/>
      <c r="R35" s="7"/>
      <c r="S35" s="7"/>
      <c r="T35" s="7"/>
      <c r="U35" s="7"/>
      <c r="V35" s="7"/>
    </row>
    <row r="36" spans="2:22">
      <c r="B36" s="7"/>
      <c r="C36" s="7"/>
      <c r="D36" s="7"/>
      <c r="E36" s="7"/>
      <c r="F36" s="7"/>
      <c r="G36" s="7"/>
      <c r="H36" s="7"/>
      <c r="I36" s="7"/>
      <c r="J36" s="7"/>
      <c r="K36" s="7"/>
      <c r="L36" s="7"/>
      <c r="M36" s="7"/>
      <c r="N36" s="7"/>
      <c r="O36" s="7"/>
      <c r="P36" s="7"/>
      <c r="Q36" s="7"/>
      <c r="R36" s="7"/>
      <c r="S36" s="7"/>
      <c r="T36" s="7"/>
      <c r="U36" s="7"/>
      <c r="V36" s="7"/>
    </row>
    <row r="37" spans="2:22">
      <c r="B37" s="7"/>
      <c r="C37" s="7"/>
      <c r="D37" s="7"/>
      <c r="E37" s="7"/>
      <c r="F37" s="7"/>
      <c r="G37" s="7"/>
      <c r="H37" s="7"/>
      <c r="I37" s="7"/>
      <c r="J37" s="7"/>
      <c r="K37" s="7"/>
      <c r="L37" s="7"/>
      <c r="M37" s="7"/>
      <c r="N37" s="7"/>
      <c r="O37" s="7"/>
      <c r="P37" s="7"/>
      <c r="Q37" s="7"/>
      <c r="R37" s="7"/>
      <c r="S37" s="7"/>
      <c r="T37" s="7"/>
      <c r="U37" s="7"/>
      <c r="V37" s="7"/>
    </row>
    <row r="38" spans="2:22">
      <c r="B38" s="7"/>
      <c r="C38" s="7"/>
      <c r="D38" s="7"/>
      <c r="E38" s="7"/>
      <c r="F38" s="7"/>
      <c r="G38" s="7"/>
      <c r="H38" s="7"/>
      <c r="I38" s="7"/>
      <c r="J38" s="7"/>
      <c r="K38" s="7"/>
      <c r="L38" s="7"/>
      <c r="M38" s="7"/>
      <c r="N38" s="7"/>
      <c r="O38" s="7"/>
      <c r="P38" s="7"/>
      <c r="Q38" s="7"/>
      <c r="R38" s="7"/>
      <c r="S38" s="7"/>
      <c r="T38" s="7"/>
      <c r="U38" s="7"/>
      <c r="V38" s="7"/>
    </row>
    <row r="39" spans="2:22">
      <c r="B39" s="7"/>
      <c r="C39" s="7"/>
      <c r="D39" s="7"/>
      <c r="E39" s="7"/>
      <c r="F39" s="7"/>
      <c r="G39" s="7"/>
      <c r="H39" s="7"/>
      <c r="I39" s="7"/>
      <c r="J39" s="7"/>
      <c r="K39" s="7"/>
      <c r="L39" s="7"/>
      <c r="M39" s="7"/>
      <c r="N39" s="7"/>
      <c r="O39" s="7"/>
      <c r="P39" s="7"/>
      <c r="Q39" s="7"/>
      <c r="R39" s="7"/>
      <c r="S39" s="7"/>
      <c r="T39" s="7"/>
      <c r="U39" s="7"/>
      <c r="V39" s="7"/>
    </row>
    <row r="40" spans="2:22">
      <c r="B40" s="7"/>
      <c r="C40" s="7"/>
      <c r="D40" s="7"/>
      <c r="E40" s="7"/>
      <c r="F40" s="7"/>
      <c r="G40" s="7"/>
      <c r="H40" s="7"/>
      <c r="I40" s="7"/>
      <c r="J40" s="7"/>
      <c r="K40" s="7"/>
      <c r="L40" s="7"/>
      <c r="M40" s="7"/>
      <c r="N40" s="7"/>
      <c r="O40" s="7"/>
      <c r="P40" s="7"/>
      <c r="Q40" s="7"/>
      <c r="R40" s="7"/>
      <c r="S40" s="7"/>
      <c r="T40" s="7"/>
      <c r="U40" s="7"/>
      <c r="V40" s="7"/>
    </row>
    <row r="79" spans="7:7">
      <c r="G79">
        <f>H22-I22</f>
        <v>37470000000</v>
      </c>
    </row>
  </sheetData>
  <mergeCells count="3">
    <mergeCell ref="E31:F31"/>
    <mergeCell ref="H31:I31"/>
    <mergeCell ref="L31:N31"/>
  </mergeCells>
  <dataValidations count="1">
    <dataValidation type="custom" allowBlank="1" showInputMessage="1" showErrorMessage="1" errorTitle="Invalid Coin Name" error="Coin name must contain 3 to 10 characters and must not contain numbers." sqref="L13" xr:uid="{00000000-0002-0000-0900-000000000000}">
      <formula1>AND(LEN(E4)&gt;=3,LEN(E4)&lt;=10,SUMPRODUCT(--ISNUMBER(SEARCH(MID(M11,ROW($1:$10),1),"0123456789")))=0)</formula1>
    </dataValidation>
  </dataValidation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B7"/>
  <sheetViews>
    <sheetView workbookViewId="0">
      <selection activeCell="M9" sqref="M9"/>
    </sheetView>
  </sheetViews>
  <sheetFormatPr defaultColWidth="9" defaultRowHeight="14.4"/>
  <cols>
    <col min="1" max="1" width="23.33203125" customWidth="1"/>
    <col min="2" max="2" width="11" customWidth="1"/>
  </cols>
  <sheetData>
    <row r="1" spans="1:2">
      <c r="A1" s="3" t="s">
        <v>913</v>
      </c>
      <c r="B1" s="3" t="s">
        <v>914</v>
      </c>
    </row>
    <row r="2" spans="1:2">
      <c r="A2" t="str">
        <f>Task3_Pivot_Top5!A4</f>
        <v>Bitcoin</v>
      </c>
      <c r="B2">
        <f>Task3_Pivot_Top5!B4</f>
        <v>30990000000</v>
      </c>
    </row>
    <row r="3" spans="1:2">
      <c r="A3" t="str">
        <f>Task3_Pivot_Top5!A5</f>
        <v>Block Street</v>
      </c>
      <c r="B3">
        <f>Task3_Pivot_Top5!B5</f>
        <v>663280000</v>
      </c>
    </row>
    <row r="4" spans="1:2">
      <c r="A4" t="str">
        <f>Task3_Pivot_Top5!A6</f>
        <v>BNB</v>
      </c>
      <c r="B4">
        <f>Task3_Pivot_Top5!B6</f>
        <v>1230000000</v>
      </c>
    </row>
    <row r="5" spans="1:2">
      <c r="A5" t="str">
        <f>Task3_Pivot_Top5!A7</f>
        <v>Tether</v>
      </c>
      <c r="B5">
        <f>Task3_Pivot_Top5!B7</f>
        <v>56830000000</v>
      </c>
    </row>
    <row r="6" spans="1:2">
      <c r="A6" t="str">
        <f>Task3_Pivot_Top5!A8</f>
        <v>XRP</v>
      </c>
      <c r="B6">
        <f>Task3_Pivot_Top5!B8</f>
        <v>1160000000</v>
      </c>
    </row>
    <row r="7" spans="1:2">
      <c r="A7" s="3" t="s">
        <v>888</v>
      </c>
      <c r="B7">
        <f>Task3_Pivot_All!B282-SUM(B2:B6)</f>
        <v>-90873280000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CA87F-1E19-4320-B287-B48D24310317}">
  <dimension ref="A1:H14"/>
  <sheetViews>
    <sheetView zoomScale="69" workbookViewId="0">
      <selection activeCell="H21" sqref="H21"/>
    </sheetView>
  </sheetViews>
  <sheetFormatPr defaultRowHeight="14.4"/>
  <cols>
    <col min="1" max="1" width="45.77734375" bestFit="1" customWidth="1"/>
    <col min="2" max="2" width="18.44140625" bestFit="1" customWidth="1"/>
    <col min="3" max="3" width="22" bestFit="1" customWidth="1"/>
    <col min="4" max="4" width="19.6640625" bestFit="1" customWidth="1"/>
    <col min="6" max="6" width="45.77734375" bestFit="1" customWidth="1"/>
    <col min="8" max="8" width="14.5546875" bestFit="1" customWidth="1"/>
  </cols>
  <sheetData>
    <row r="1" spans="1:8">
      <c r="A1" s="26" t="s">
        <v>1120</v>
      </c>
      <c r="B1" t="s">
        <v>1136</v>
      </c>
    </row>
    <row r="3" spans="1:8">
      <c r="A3" s="26" t="s">
        <v>2</v>
      </c>
      <c r="B3" t="s">
        <v>1133</v>
      </c>
      <c r="C3" t="s">
        <v>1134</v>
      </c>
      <c r="D3" t="s">
        <v>1135</v>
      </c>
      <c r="F3" s="46" t="s">
        <v>307</v>
      </c>
      <c r="G3" s="46" t="s">
        <v>308</v>
      </c>
      <c r="H3" s="46" t="s">
        <v>1137</v>
      </c>
    </row>
    <row r="4" spans="1:8">
      <c r="A4" s="2" t="s">
        <v>6</v>
      </c>
      <c r="B4" s="45">
        <v>713.29</v>
      </c>
      <c r="C4" s="45">
        <v>709.74129353233832</v>
      </c>
      <c r="D4" s="45">
        <v>0.5</v>
      </c>
      <c r="F4" s="47" t="str">
        <f>A4</f>
        <v>BNB</v>
      </c>
      <c r="G4" s="47" t="str">
        <f>_xlfn.XLOOKUP(F4,Task4_Price_Change1!A:A,Task4_Price_Change1!B:B,"Not Found")</f>
        <v>BNB</v>
      </c>
      <c r="H4" s="47">
        <f>_xlfn.XLOOKUP(F4,Task4_Price_Change1!A:A,Task4_Price_Change1!D:D,"Not Found")</f>
        <v>0.5</v>
      </c>
    </row>
    <row r="5" spans="1:8">
      <c r="A5" s="2" t="s">
        <v>725</v>
      </c>
      <c r="B5" s="45">
        <v>0</v>
      </c>
      <c r="C5" s="45">
        <v>4.6669970267591677E-5</v>
      </c>
      <c r="D5" s="45">
        <v>0.9</v>
      </c>
      <c r="F5" s="47" t="str">
        <f t="shared" ref="F5:F13" si="0">A5</f>
        <v>Cratos</v>
      </c>
      <c r="G5" s="47" t="str">
        <f>_xlfn.XLOOKUP(F5,Task4_Price_Change1!A:A,Task4_Price_Change1!B:B,"Not Found")</f>
        <v>CRTS</v>
      </c>
      <c r="H5" s="47">
        <f>_xlfn.XLOOKUP(F5,Task4_Price_Change1!A:A,Task4_Price_Change1!D:D,"Not Found")</f>
        <v>0.9</v>
      </c>
    </row>
    <row r="6" spans="1:8">
      <c r="A6" s="2" t="s">
        <v>674</v>
      </c>
      <c r="B6" s="45">
        <v>116.08</v>
      </c>
      <c r="C6" s="45">
        <v>115.20444620881301</v>
      </c>
      <c r="D6" s="45">
        <v>0.76</v>
      </c>
      <c r="F6" s="47" t="str">
        <f t="shared" si="0"/>
        <v>Direxion Semiconductor Bull 3X tokenized ETF (xStock)</v>
      </c>
      <c r="G6" s="47" t="str">
        <f>_xlfn.XLOOKUP(F6,Task4_Price_Change1!A:A,Task4_Price_Change1!B:B,"Not Found")</f>
        <v>SOXLx</v>
      </c>
      <c r="H6" s="47">
        <f>_xlfn.XLOOKUP(F6,Task4_Price_Change1!A:A,Task4_Price_Change1!D:D,"Not Found")</f>
        <v>0.76</v>
      </c>
    </row>
    <row r="7" spans="1:8">
      <c r="A7" s="2" t="s">
        <v>368</v>
      </c>
      <c r="B7" s="45">
        <v>0</v>
      </c>
      <c r="C7" s="45">
        <v>2.7209944751381215E-5</v>
      </c>
      <c r="D7" s="45">
        <v>1.36</v>
      </c>
      <c r="F7" s="47" t="str">
        <f t="shared" si="0"/>
        <v>FLOKI</v>
      </c>
      <c r="G7" s="47" t="str">
        <f>_xlfn.XLOOKUP(F7,Task4_Price_Change1!A:A,Task4_Price_Change1!B:B,"Not Found")</f>
        <v>FLOKI</v>
      </c>
      <c r="H7" s="47">
        <f>_xlfn.XLOOKUP(F7,Task4_Price_Change1!A:A,Task4_Price_Change1!D:D,"Not Found")</f>
        <v>1.36</v>
      </c>
    </row>
    <row r="8" spans="1:8">
      <c r="A8" s="2" t="s">
        <v>536</v>
      </c>
      <c r="B8" s="45">
        <v>89.53</v>
      </c>
      <c r="C8" s="45">
        <v>88.863523573200993</v>
      </c>
      <c r="D8" s="45">
        <v>0.75</v>
      </c>
      <c r="F8" s="47" t="str">
        <f t="shared" si="0"/>
        <v>Intel Tokenized Stock (Reality)</v>
      </c>
      <c r="G8" s="47" t="str">
        <f>_xlfn.XLOOKUP(F8,Task4_Price_Change1!A:A,Task4_Price_Change1!B:B,"Not Found")</f>
        <v>rINTC</v>
      </c>
      <c r="H8" s="47">
        <f>_xlfn.XLOOKUP(F8,Task4_Price_Change1!A:A,Task4_Price_Change1!D:D,"Not Found")</f>
        <v>0.75</v>
      </c>
    </row>
    <row r="9" spans="1:8">
      <c r="A9" s="2" t="s">
        <v>13</v>
      </c>
      <c r="B9" s="45">
        <v>445.16</v>
      </c>
      <c r="C9" s="45">
        <v>439.83796067582256</v>
      </c>
      <c r="D9" s="45">
        <v>1.21</v>
      </c>
      <c r="F9" s="47" t="str">
        <f t="shared" si="0"/>
        <v>Monero</v>
      </c>
      <c r="G9" s="47" t="str">
        <f>_xlfn.XLOOKUP(F9,Task4_Price_Change1!A:A,Task4_Price_Change1!B:B,"Not Found")</f>
        <v>XMR</v>
      </c>
      <c r="H9" s="47">
        <f>_xlfn.XLOOKUP(F9,Task4_Price_Change1!A:A,Task4_Price_Change1!D:D,"Not Found")</f>
        <v>1.21</v>
      </c>
    </row>
    <row r="10" spans="1:8">
      <c r="A10" s="2" t="s">
        <v>295</v>
      </c>
      <c r="B10" s="45">
        <v>101.09</v>
      </c>
      <c r="C10" s="45">
        <v>100.46710395547605</v>
      </c>
      <c r="D10" s="45">
        <v>0.62</v>
      </c>
      <c r="F10" s="47" t="str">
        <f t="shared" si="0"/>
        <v>Solana</v>
      </c>
      <c r="G10" s="47" t="str">
        <f>_xlfn.XLOOKUP(F10,Task4_Price_Change1!A:A,Task4_Price_Change1!B:B,"Not Found")</f>
        <v>SOL</v>
      </c>
      <c r="H10" s="47">
        <f>_xlfn.XLOOKUP(F10,Task4_Price_Change1!A:A,Task4_Price_Change1!D:D,"Not Found")</f>
        <v>0.62</v>
      </c>
    </row>
    <row r="11" spans="1:8">
      <c r="A11" s="2" t="s">
        <v>408</v>
      </c>
      <c r="B11" s="45">
        <v>13.79</v>
      </c>
      <c r="C11" s="45">
        <v>13.703666898539202</v>
      </c>
      <c r="D11" s="45">
        <v>0.63</v>
      </c>
      <c r="F11" s="47" t="str">
        <f t="shared" si="0"/>
        <v>Targon</v>
      </c>
      <c r="G11" s="47" t="str">
        <f>_xlfn.XLOOKUP(F11,Task4_Price_Change1!A:A,Task4_Price_Change1!B:B,"Not Found")</f>
        <v>SN4</v>
      </c>
      <c r="H11" s="47">
        <f>_xlfn.XLOOKUP(F11,Task4_Price_Change1!A:A,Task4_Price_Change1!D:D,"Not Found")</f>
        <v>0.63</v>
      </c>
    </row>
    <row r="12" spans="1:8">
      <c r="A12" s="2" t="s">
        <v>349</v>
      </c>
      <c r="B12" s="45">
        <v>0</v>
      </c>
      <c r="C12" s="45">
        <v>5.433560224918615E-5</v>
      </c>
      <c r="D12" s="45">
        <v>1.37</v>
      </c>
      <c r="F12" s="47" t="str">
        <f t="shared" si="0"/>
        <v>Terra Classic</v>
      </c>
      <c r="G12" s="47" t="str">
        <f>_xlfn.XLOOKUP(F12,Task4_Price_Change1!A:A,Task4_Price_Change1!B:B,"Not Found")</f>
        <v>LUNC</v>
      </c>
      <c r="H12" s="47">
        <f>_xlfn.XLOOKUP(F12,Task4_Price_Change1!A:A,Task4_Price_Change1!D:D,"Not Found")</f>
        <v>1.37</v>
      </c>
    </row>
    <row r="13" spans="1:8">
      <c r="A13" s="2" t="s">
        <v>12</v>
      </c>
      <c r="B13" s="45">
        <v>848.04</v>
      </c>
      <c r="C13" s="45">
        <v>842.64705882352939</v>
      </c>
      <c r="D13" s="45">
        <v>0.64</v>
      </c>
      <c r="F13" s="47" t="str">
        <f t="shared" si="0"/>
        <v>Zcash</v>
      </c>
      <c r="G13" s="47" t="str">
        <f>_xlfn.XLOOKUP(F13,Task4_Price_Change1!A:A,Task4_Price_Change1!B:B,"Not Found")</f>
        <v>ZEC</v>
      </c>
      <c r="H13" s="47">
        <f>_xlfn.XLOOKUP(F13,Task4_Price_Change1!A:A,Task4_Price_Change1!D:D,"Not Found")</f>
        <v>0.64</v>
      </c>
    </row>
    <row r="14" spans="1:8">
      <c r="A14" s="2" t="s">
        <v>246</v>
      </c>
      <c r="B14" s="45">
        <v>848.04</v>
      </c>
      <c r="C14" s="45">
        <v>842.64705882352939</v>
      </c>
      <c r="D14" s="45">
        <v>1.37</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4B0A2-927A-402B-9B40-F1DBE224EEA9}">
  <sheetPr codeName="Sheet10"/>
  <dimension ref="A1:D11"/>
  <sheetViews>
    <sheetView tabSelected="1" zoomScale="92" workbookViewId="0">
      <selection activeCell="P10" sqref="P10"/>
    </sheetView>
  </sheetViews>
  <sheetFormatPr defaultRowHeight="14.4"/>
  <cols>
    <col min="1" max="1" width="20.5546875" bestFit="1" customWidth="1"/>
    <col min="3" max="3" width="12" bestFit="1" customWidth="1"/>
  </cols>
  <sheetData>
    <row r="1" spans="1:4">
      <c r="A1" t="s">
        <v>307</v>
      </c>
      <c r="B1" t="s">
        <v>308</v>
      </c>
      <c r="C1" t="s">
        <v>1115</v>
      </c>
      <c r="D1" t="s">
        <v>1116</v>
      </c>
    </row>
    <row r="2" spans="1:4">
      <c r="A2" s="2" t="s">
        <v>667</v>
      </c>
      <c r="B2" t="str">
        <f>_xlfn.XLOOKUP(A2,Task5_datatable!A:A,Task5_datatable!B:B,"Not Found")</f>
        <v>MDT</v>
      </c>
      <c r="C2">
        <v>4.2813559322033897E-5</v>
      </c>
      <c r="D2">
        <v>0</v>
      </c>
    </row>
    <row r="3" spans="1:4">
      <c r="A3" s="2" t="s">
        <v>730</v>
      </c>
      <c r="B3" t="str">
        <f>_xlfn.XLOOKUP(A3,Task5_datatable!A:A,Task5_datatable!B:B,"Not Found")</f>
        <v>BILLY</v>
      </c>
      <c r="C3">
        <v>1.659205217487426E-5</v>
      </c>
      <c r="D3">
        <v>0</v>
      </c>
    </row>
    <row r="4" spans="1:4">
      <c r="A4" s="2" t="s">
        <v>562</v>
      </c>
      <c r="B4" t="str">
        <f>_xlfn.XLOOKUP(A4,Task5_datatable!A:A,Task5_datatable!B:B,"Not Found")</f>
        <v>CYBERLEEK</v>
      </c>
      <c r="C4">
        <v>5.6427441984679609E-7</v>
      </c>
      <c r="D4">
        <v>0</v>
      </c>
    </row>
    <row r="5" spans="1:4">
      <c r="A5" s="2" t="s">
        <v>177</v>
      </c>
      <c r="B5" t="str">
        <f>_xlfn.XLOOKUP(A5,Task5_datatable!A:A,Task5_datatable!B:B,"Not Found")</f>
        <v>AZERO</v>
      </c>
      <c r="C5">
        <v>8.270683453237411E-4</v>
      </c>
      <c r="D5">
        <v>0</v>
      </c>
    </row>
    <row r="6" spans="1:4">
      <c r="A6" s="2" t="s">
        <v>798</v>
      </c>
      <c r="B6" t="str">
        <f>_xlfn.XLOOKUP(A6,Task5_datatable!A:A,Task5_datatable!B:B,"Not Found")</f>
        <v>SC</v>
      </c>
      <c r="C6">
        <v>2.1142703139738581E-5</v>
      </c>
      <c r="D6">
        <v>0</v>
      </c>
    </row>
    <row r="7" spans="1:4">
      <c r="A7" s="2" t="s">
        <v>387</v>
      </c>
      <c r="B7" t="str">
        <f>_xlfn.XLOOKUP(A7,Task5_datatable!A:A,Task5_datatable!B:B,"Not Found")</f>
        <v>PONS</v>
      </c>
      <c r="C7">
        <v>4.1903786150048904E-4</v>
      </c>
      <c r="D7">
        <v>0</v>
      </c>
    </row>
    <row r="8" spans="1:4">
      <c r="A8" s="2" t="s">
        <v>406</v>
      </c>
      <c r="B8" t="str">
        <f>_xlfn.XLOOKUP(A8,Task5_datatable!A:A,Task5_datatable!B:B,"Not Found")</f>
        <v>APR</v>
      </c>
      <c r="C8">
        <v>1.3640866873065016E-2</v>
      </c>
      <c r="D8">
        <v>0</v>
      </c>
    </row>
    <row r="9" spans="1:4">
      <c r="A9" s="2" t="s">
        <v>751</v>
      </c>
      <c r="B9" t="str">
        <f>_xlfn.XLOOKUP(A9,Task5_datatable!A:A,Task5_datatable!B:B,"Not Found")</f>
        <v>RUSSELL</v>
      </c>
      <c r="C9">
        <v>7.1044258027191199E-5</v>
      </c>
      <c r="D9">
        <v>0</v>
      </c>
    </row>
    <row r="10" spans="1:4">
      <c r="A10" s="2" t="s">
        <v>640</v>
      </c>
      <c r="B10" t="str">
        <f>_xlfn.XLOOKUP(A10,Task5_datatable!A:A,Task5_datatable!B:B,"Not Found")</f>
        <v>EL</v>
      </c>
      <c r="C10">
        <v>6.1005368472425582E-5</v>
      </c>
      <c r="D10">
        <v>0</v>
      </c>
    </row>
    <row r="11" spans="1:4">
      <c r="A11" s="2" t="s">
        <v>706</v>
      </c>
      <c r="B11" t="str">
        <f>_xlfn.XLOOKUP(A11,Task5_datatable!A:A,Task5_datatable!B:B,"Not Found")</f>
        <v>GRIN</v>
      </c>
      <c r="C11">
        <v>8.5921052631578957E-3</v>
      </c>
      <c r="D11">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4A596-13E4-4B4C-8A1F-3D27940AB2C7}">
  <sheetPr codeName="Sheet11"/>
  <dimension ref="A1:T65"/>
  <sheetViews>
    <sheetView zoomScale="67" workbookViewId="0">
      <selection activeCell="P31" sqref="P31"/>
    </sheetView>
  </sheetViews>
  <sheetFormatPr defaultRowHeight="14.4"/>
  <cols>
    <col min="1" max="1" width="11.21875" bestFit="1" customWidth="1"/>
    <col min="4" max="4" width="18.5546875" bestFit="1" customWidth="1"/>
  </cols>
  <sheetData>
    <row r="1" spans="1:20">
      <c r="A1" t="s">
        <v>307</v>
      </c>
      <c r="B1" t="s">
        <v>308</v>
      </c>
      <c r="C1" t="s">
        <v>309</v>
      </c>
      <c r="D1" t="s">
        <v>1121</v>
      </c>
      <c r="E1" t="s">
        <v>1126</v>
      </c>
    </row>
    <row r="2" spans="1:20">
      <c r="A2" t="str">
        <f>Sheet2!A4</f>
        <v>Groestlcoin</v>
      </c>
      <c r="B2" t="str">
        <f>_xlfn.XLOOKUP(A2,Task5_Data!A:A,Task5_Data!B:B,"Not Found")</f>
        <v>GRS</v>
      </c>
      <c r="C2">
        <f>Sheet2!B4</f>
        <v>9.1539999999999996E-2</v>
      </c>
      <c r="D2">
        <f>Sheet2!C4</f>
        <v>0</v>
      </c>
      <c r="E2">
        <f>GETPIVOTDATA("Count of Coin Name",Sheet2!$A$3)</f>
        <v>80</v>
      </c>
    </row>
    <row r="5" spans="1:20">
      <c r="A5" s="41"/>
      <c r="B5" s="42"/>
      <c r="C5" s="42"/>
      <c r="D5" s="42"/>
      <c r="E5" s="42"/>
      <c r="F5" s="27"/>
      <c r="G5" s="27"/>
      <c r="H5" s="27"/>
      <c r="I5" s="27"/>
      <c r="J5" s="27"/>
      <c r="K5" s="27"/>
      <c r="L5" s="27"/>
      <c r="M5" s="27"/>
      <c r="N5" s="27"/>
      <c r="O5" s="27"/>
      <c r="P5" s="27"/>
      <c r="Q5" s="27"/>
      <c r="R5" s="27"/>
      <c r="S5" s="27"/>
      <c r="T5" s="27"/>
    </row>
    <row r="6" spans="1:20">
      <c r="A6" s="27"/>
      <c r="B6" s="27"/>
      <c r="C6" s="27"/>
      <c r="D6" s="27"/>
      <c r="E6" s="27"/>
      <c r="F6" s="27"/>
      <c r="G6" s="27"/>
      <c r="H6" s="27"/>
      <c r="I6" s="27"/>
      <c r="J6" s="27"/>
      <c r="K6" s="27"/>
      <c r="L6" s="27"/>
      <c r="M6" s="27"/>
      <c r="N6" s="27"/>
      <c r="O6" s="27"/>
      <c r="P6" s="27"/>
      <c r="Q6" s="27"/>
      <c r="R6" s="27"/>
      <c r="S6" s="27"/>
      <c r="T6" s="27"/>
    </row>
    <row r="7" spans="1:20">
      <c r="A7" s="43" t="s">
        <v>1129</v>
      </c>
      <c r="B7" s="38"/>
      <c r="C7" s="38"/>
      <c r="D7" s="38"/>
      <c r="E7" s="38"/>
      <c r="F7" s="38"/>
      <c r="G7" s="38"/>
      <c r="H7" s="38"/>
      <c r="I7" s="38"/>
      <c r="J7" s="38"/>
      <c r="K7" s="38"/>
      <c r="L7" s="38"/>
      <c r="M7" s="38"/>
      <c r="N7" s="38"/>
      <c r="O7" s="38"/>
      <c r="P7" s="38"/>
      <c r="Q7" s="38"/>
      <c r="R7" s="38"/>
      <c r="S7" s="38"/>
      <c r="T7" s="38"/>
    </row>
    <row r="8" spans="1:20">
      <c r="A8" s="38"/>
      <c r="B8" s="38"/>
      <c r="C8" s="38"/>
      <c r="D8" s="38"/>
      <c r="E8" s="38"/>
      <c r="F8" s="38"/>
      <c r="G8" s="38"/>
      <c r="H8" s="38"/>
      <c r="I8" s="38"/>
      <c r="J8" s="38"/>
      <c r="K8" s="38"/>
      <c r="L8" s="38"/>
      <c r="M8" s="38"/>
      <c r="N8" s="38"/>
      <c r="O8" s="38"/>
      <c r="P8" s="38"/>
      <c r="Q8" s="38"/>
      <c r="R8" s="38"/>
      <c r="S8" s="38"/>
      <c r="T8" s="38"/>
    </row>
    <row r="9" spans="1:20">
      <c r="A9" s="44" t="s">
        <v>1128</v>
      </c>
      <c r="B9" s="38"/>
      <c r="C9" s="38"/>
      <c r="D9" s="38"/>
      <c r="E9" s="38"/>
      <c r="F9" s="38"/>
      <c r="G9" s="38"/>
      <c r="H9" s="38"/>
      <c r="I9" s="38"/>
      <c r="J9" s="38"/>
      <c r="K9" s="38"/>
      <c r="L9" s="38"/>
      <c r="M9" s="38"/>
      <c r="N9" s="38"/>
      <c r="O9" s="38"/>
      <c r="P9" s="38"/>
      <c r="Q9" s="38"/>
      <c r="R9" s="38"/>
      <c r="S9" s="38"/>
      <c r="T9" s="38"/>
    </row>
    <row r="10" spans="1:20">
      <c r="A10" s="38"/>
      <c r="B10" s="38"/>
      <c r="C10" s="38"/>
      <c r="D10" s="38"/>
      <c r="E10" s="38"/>
      <c r="F10" s="38"/>
      <c r="G10" s="38"/>
      <c r="H10" s="38"/>
      <c r="I10" s="38"/>
      <c r="J10" s="38"/>
      <c r="K10" s="38"/>
      <c r="L10" s="38"/>
      <c r="M10" s="38"/>
      <c r="N10" s="38"/>
      <c r="O10" s="38"/>
      <c r="P10" s="38"/>
      <c r="Q10" s="38"/>
      <c r="R10" s="38"/>
      <c r="S10" s="38"/>
      <c r="T10" s="38"/>
    </row>
    <row r="11" spans="1:20">
      <c r="A11" s="27"/>
      <c r="B11" s="27"/>
      <c r="C11" s="27"/>
      <c r="D11" s="27"/>
      <c r="E11" s="27"/>
      <c r="F11" s="27"/>
      <c r="G11" s="27"/>
      <c r="H11" s="27"/>
      <c r="I11" s="27"/>
      <c r="J11" s="27"/>
      <c r="K11" s="27"/>
      <c r="L11" s="27"/>
      <c r="M11" s="27"/>
      <c r="N11" s="27"/>
      <c r="O11" s="27"/>
      <c r="P11" s="27"/>
      <c r="Q11" s="27"/>
      <c r="R11" s="27"/>
      <c r="S11" s="27"/>
      <c r="T11" s="27"/>
    </row>
    <row r="12" spans="1:20">
      <c r="A12" s="27"/>
      <c r="B12" s="27"/>
      <c r="C12" s="27"/>
      <c r="D12" s="27"/>
      <c r="E12" s="27"/>
      <c r="F12" s="27"/>
      <c r="G12" s="27"/>
      <c r="H12" s="27"/>
      <c r="I12" s="27"/>
      <c r="J12" s="27"/>
      <c r="K12" s="27"/>
      <c r="L12" s="27"/>
      <c r="M12" s="27"/>
      <c r="N12" s="27"/>
      <c r="O12" s="27"/>
      <c r="P12" s="27"/>
      <c r="Q12" s="27"/>
      <c r="R12" s="27"/>
      <c r="S12" s="27"/>
      <c r="T12" s="27"/>
    </row>
    <row r="13" spans="1:20">
      <c r="A13" s="27"/>
      <c r="B13" s="27"/>
      <c r="C13" s="27"/>
      <c r="D13" s="27"/>
      <c r="E13" s="27"/>
      <c r="F13" s="27"/>
      <c r="G13" s="27"/>
      <c r="H13" s="27"/>
      <c r="I13" s="27"/>
      <c r="J13" s="27"/>
      <c r="K13" s="27"/>
      <c r="L13" s="27"/>
      <c r="M13" s="27"/>
      <c r="N13" s="27"/>
      <c r="O13" s="27"/>
      <c r="P13" s="27"/>
      <c r="Q13" s="27"/>
      <c r="R13" s="27"/>
      <c r="S13" s="27"/>
      <c r="T13" s="27"/>
    </row>
    <row r="14" spans="1:20">
      <c r="A14" s="27"/>
      <c r="B14" s="27"/>
      <c r="C14" s="27"/>
      <c r="D14" s="27"/>
      <c r="E14" s="27"/>
      <c r="F14" s="27"/>
      <c r="G14" s="27"/>
      <c r="H14" s="27"/>
      <c r="I14" s="27"/>
      <c r="J14" s="27"/>
      <c r="K14" s="27"/>
      <c r="L14" s="27"/>
      <c r="M14" s="27"/>
      <c r="N14" s="27"/>
      <c r="O14" s="27"/>
      <c r="P14" s="27"/>
      <c r="Q14" s="27"/>
      <c r="R14" s="27"/>
      <c r="S14" s="27"/>
      <c r="T14" s="27"/>
    </row>
    <row r="15" spans="1:20">
      <c r="A15" s="27"/>
      <c r="B15" s="27"/>
      <c r="C15" s="27"/>
      <c r="D15" s="27"/>
      <c r="E15" s="27"/>
      <c r="F15" s="27"/>
      <c r="G15" s="27"/>
      <c r="H15" s="27"/>
      <c r="I15" s="27"/>
      <c r="J15" s="27"/>
      <c r="K15" s="27"/>
      <c r="L15" s="27"/>
      <c r="M15" s="27"/>
      <c r="N15" s="27"/>
      <c r="O15" s="27"/>
      <c r="P15" s="27"/>
      <c r="Q15" s="27"/>
      <c r="R15" s="27"/>
      <c r="S15" s="27"/>
      <c r="T15" s="27"/>
    </row>
    <row r="16" spans="1:20">
      <c r="A16" s="27"/>
      <c r="B16" s="27"/>
      <c r="C16" s="27"/>
      <c r="D16" s="27"/>
      <c r="E16" s="27"/>
      <c r="F16" s="27"/>
      <c r="G16" s="27"/>
      <c r="H16" s="27"/>
      <c r="I16" s="27"/>
      <c r="J16" s="27"/>
      <c r="K16" s="27"/>
      <c r="L16" s="27"/>
      <c r="M16" s="27"/>
      <c r="N16" s="27"/>
      <c r="O16" s="27"/>
      <c r="P16" s="27"/>
      <c r="Q16" s="27"/>
      <c r="R16" s="27"/>
      <c r="S16" s="27"/>
      <c r="T16" s="27"/>
    </row>
    <row r="17" spans="1:20">
      <c r="A17" s="27"/>
      <c r="B17" s="27"/>
      <c r="C17" s="27"/>
      <c r="D17" s="27"/>
      <c r="E17" s="27"/>
      <c r="F17" s="27"/>
      <c r="G17" s="27"/>
      <c r="H17" s="27"/>
      <c r="I17" s="27"/>
      <c r="J17" s="27"/>
      <c r="K17" s="27"/>
      <c r="L17" s="27"/>
      <c r="M17" s="27"/>
      <c r="N17" s="27"/>
      <c r="O17" s="27"/>
      <c r="P17" s="27"/>
      <c r="Q17" s="27"/>
      <c r="R17" s="27"/>
      <c r="S17" s="27"/>
      <c r="T17" s="27"/>
    </row>
    <row r="18" spans="1:20">
      <c r="A18" s="27"/>
      <c r="B18" s="27"/>
      <c r="C18" s="27"/>
      <c r="D18" s="27"/>
      <c r="E18" s="27"/>
      <c r="F18" s="27"/>
      <c r="G18" s="27"/>
      <c r="H18" s="27"/>
      <c r="I18" s="27"/>
      <c r="J18" s="27"/>
      <c r="K18" s="27"/>
      <c r="L18" s="27"/>
      <c r="M18" s="27"/>
      <c r="N18" s="27"/>
      <c r="O18" s="27"/>
      <c r="P18" s="27"/>
      <c r="Q18" s="27"/>
      <c r="R18" s="27"/>
      <c r="S18" s="27"/>
      <c r="T18" s="27"/>
    </row>
    <row r="19" spans="1:20">
      <c r="A19" s="27"/>
      <c r="B19" s="27"/>
      <c r="C19" s="27"/>
      <c r="D19" s="27"/>
      <c r="E19" s="27"/>
      <c r="F19" s="27"/>
      <c r="G19" s="27"/>
      <c r="H19" s="27"/>
      <c r="I19" s="27"/>
      <c r="J19" s="27"/>
      <c r="K19" s="27"/>
      <c r="L19" s="27"/>
      <c r="M19" s="27"/>
      <c r="N19" s="27"/>
      <c r="O19" s="27"/>
      <c r="P19" s="27"/>
      <c r="Q19" s="27"/>
      <c r="R19" s="27"/>
      <c r="S19" s="27"/>
      <c r="T19" s="27"/>
    </row>
    <row r="20" spans="1:20">
      <c r="A20" s="27"/>
      <c r="B20" s="27"/>
      <c r="C20" s="27"/>
      <c r="D20" s="27"/>
      <c r="E20" s="27"/>
      <c r="F20" s="27"/>
      <c r="G20" s="27"/>
      <c r="H20" s="27"/>
      <c r="I20" s="27"/>
      <c r="J20" s="27"/>
      <c r="K20" s="27"/>
      <c r="L20" s="27"/>
      <c r="M20" s="27"/>
      <c r="N20" s="27"/>
      <c r="O20" s="27"/>
      <c r="P20" s="27"/>
      <c r="Q20" s="27"/>
      <c r="R20" s="27"/>
      <c r="S20" s="27"/>
      <c r="T20" s="27"/>
    </row>
    <row r="21" spans="1:20">
      <c r="A21" s="27"/>
      <c r="B21" s="27"/>
      <c r="C21" s="27"/>
      <c r="D21" s="27"/>
      <c r="E21" s="27"/>
      <c r="F21" s="27"/>
      <c r="G21" s="27"/>
      <c r="H21" s="27"/>
      <c r="I21" s="27"/>
      <c r="J21" s="27"/>
      <c r="K21" s="27"/>
      <c r="L21" s="27"/>
      <c r="M21" s="27"/>
      <c r="N21" s="27"/>
      <c r="O21" s="27"/>
      <c r="P21" s="27"/>
      <c r="Q21" s="27"/>
      <c r="R21" s="27"/>
      <c r="S21" s="27"/>
      <c r="T21" s="27"/>
    </row>
    <row r="22" spans="1:20">
      <c r="A22" s="27"/>
      <c r="B22" s="27"/>
      <c r="C22" s="27"/>
      <c r="D22" s="27"/>
      <c r="E22" s="27"/>
      <c r="F22" s="27"/>
      <c r="G22" s="27"/>
      <c r="H22" s="27"/>
      <c r="I22" s="27"/>
      <c r="J22" s="27"/>
      <c r="K22" s="27"/>
      <c r="L22" s="27"/>
      <c r="M22" s="27"/>
      <c r="N22" s="27"/>
      <c r="O22" s="27"/>
      <c r="P22" s="27"/>
      <c r="Q22" s="27"/>
      <c r="R22" s="27"/>
      <c r="S22" s="27"/>
      <c r="T22" s="27"/>
    </row>
    <row r="23" spans="1:20">
      <c r="A23" s="27"/>
      <c r="B23" s="27"/>
      <c r="C23" s="27"/>
      <c r="D23" s="27"/>
      <c r="E23" s="27"/>
      <c r="F23" s="27"/>
      <c r="G23" s="27"/>
      <c r="H23" s="27"/>
      <c r="I23" s="27"/>
      <c r="J23" s="27"/>
      <c r="K23" s="27"/>
      <c r="L23" s="27"/>
      <c r="M23" s="27"/>
      <c r="N23" s="27"/>
      <c r="O23" s="27"/>
      <c r="P23" s="27"/>
      <c r="Q23" s="27"/>
      <c r="R23" s="27"/>
      <c r="S23" s="27"/>
      <c r="T23" s="27"/>
    </row>
    <row r="24" spans="1:20">
      <c r="A24" s="27"/>
      <c r="B24" s="27"/>
      <c r="C24" s="27"/>
      <c r="D24" s="27"/>
      <c r="E24" s="27"/>
      <c r="F24" s="27"/>
      <c r="G24" s="27"/>
      <c r="H24" s="27"/>
      <c r="I24" s="27"/>
      <c r="J24" s="27"/>
      <c r="K24" s="27"/>
      <c r="L24" s="27"/>
      <c r="M24" s="27"/>
      <c r="N24" s="27"/>
      <c r="O24" s="27"/>
      <c r="P24" s="27"/>
      <c r="Q24" s="27"/>
      <c r="R24" s="27"/>
      <c r="S24" s="27"/>
      <c r="T24" s="27"/>
    </row>
    <row r="25" spans="1:20">
      <c r="A25" s="27"/>
      <c r="B25" s="27"/>
      <c r="C25" s="27"/>
      <c r="D25" s="27"/>
      <c r="E25" s="27"/>
      <c r="F25" s="27"/>
      <c r="G25" s="27"/>
      <c r="H25" s="27"/>
      <c r="I25" s="27"/>
      <c r="J25" s="27"/>
      <c r="K25" s="27"/>
      <c r="L25" s="27"/>
      <c r="M25" s="27"/>
      <c r="N25" s="27"/>
      <c r="O25" s="27"/>
      <c r="P25" s="27"/>
      <c r="Q25" s="27"/>
      <c r="R25" s="27"/>
      <c r="S25" s="27"/>
      <c r="T25" s="27"/>
    </row>
    <row r="26" spans="1:20">
      <c r="A26" s="27"/>
      <c r="B26" s="27"/>
      <c r="C26" s="27"/>
      <c r="D26" s="27"/>
      <c r="E26" s="27"/>
      <c r="F26" s="27"/>
      <c r="G26" s="27"/>
      <c r="H26" s="27"/>
      <c r="I26" s="27"/>
      <c r="J26" s="27"/>
      <c r="K26" s="27"/>
      <c r="L26" s="27"/>
      <c r="M26" s="27"/>
      <c r="N26" s="27"/>
      <c r="O26" s="27"/>
      <c r="P26" s="27"/>
      <c r="Q26" s="27"/>
      <c r="R26" s="27"/>
      <c r="S26" s="27"/>
      <c r="T26" s="27"/>
    </row>
    <row r="27" spans="1:20">
      <c r="A27" s="27"/>
      <c r="B27" s="27"/>
      <c r="C27" s="27"/>
      <c r="D27" s="27"/>
      <c r="E27" s="27"/>
      <c r="F27" s="27"/>
      <c r="G27" s="27"/>
      <c r="H27" s="27"/>
      <c r="I27" s="27"/>
      <c r="J27" s="27"/>
      <c r="K27" s="27"/>
      <c r="L27" s="27"/>
      <c r="M27" s="27"/>
      <c r="N27" s="27"/>
      <c r="O27" s="27"/>
      <c r="P27" s="27"/>
      <c r="Q27" s="27"/>
      <c r="R27" s="27"/>
      <c r="S27" s="27"/>
      <c r="T27" s="27"/>
    </row>
    <row r="28" spans="1:20">
      <c r="A28" s="27"/>
      <c r="B28" s="27"/>
      <c r="C28" s="27"/>
      <c r="D28" s="27"/>
      <c r="E28" s="27"/>
      <c r="F28" s="27"/>
      <c r="G28" s="27"/>
      <c r="H28" s="27"/>
      <c r="I28" s="27"/>
      <c r="J28" s="27"/>
      <c r="K28" s="27"/>
      <c r="L28" s="27"/>
      <c r="M28" s="27"/>
      <c r="N28" s="27"/>
      <c r="O28" s="27"/>
      <c r="P28" s="27"/>
      <c r="Q28" s="27"/>
      <c r="R28" s="27"/>
      <c r="S28" s="27"/>
      <c r="T28" s="27"/>
    </row>
    <row r="29" spans="1:20">
      <c r="A29" s="27"/>
      <c r="B29" s="27"/>
      <c r="C29" s="27"/>
      <c r="D29" s="27"/>
      <c r="E29" s="27"/>
      <c r="F29" s="27"/>
      <c r="G29" s="27"/>
      <c r="H29" s="27"/>
      <c r="I29" s="27"/>
      <c r="J29" s="27"/>
      <c r="K29" s="27"/>
      <c r="L29" s="27"/>
      <c r="M29" s="27"/>
      <c r="N29" s="27"/>
      <c r="O29" s="27"/>
      <c r="P29" s="27"/>
      <c r="Q29" s="27"/>
      <c r="R29" s="27"/>
      <c r="S29" s="27"/>
      <c r="T29" s="27"/>
    </row>
    <row r="30" spans="1:20">
      <c r="A30" s="27"/>
      <c r="B30" s="27"/>
      <c r="C30" s="27"/>
      <c r="D30" s="27"/>
      <c r="E30" s="27"/>
      <c r="F30" s="27"/>
      <c r="G30" s="27"/>
      <c r="H30" s="27"/>
      <c r="I30" s="27"/>
      <c r="J30" s="27"/>
      <c r="K30" s="27"/>
      <c r="L30" s="27"/>
      <c r="M30" s="27"/>
      <c r="N30" s="27"/>
      <c r="O30" s="27"/>
      <c r="P30" s="27"/>
      <c r="Q30" s="27"/>
      <c r="R30" s="27"/>
      <c r="S30" s="27"/>
      <c r="T30" s="27"/>
    </row>
    <row r="31" spans="1:20">
      <c r="A31" s="27"/>
      <c r="B31" s="27"/>
      <c r="C31" s="27"/>
      <c r="D31" s="27"/>
      <c r="E31" s="27"/>
      <c r="F31" s="27"/>
      <c r="G31" s="27"/>
      <c r="H31" s="27"/>
      <c r="I31" s="27"/>
      <c r="J31" s="27"/>
      <c r="K31" s="27"/>
      <c r="L31" s="27"/>
      <c r="M31" s="27"/>
      <c r="N31" s="27"/>
      <c r="O31" s="27"/>
      <c r="P31" s="27"/>
      <c r="Q31" s="27"/>
      <c r="R31" s="27"/>
      <c r="S31" s="27"/>
      <c r="T31" s="27"/>
    </row>
    <row r="32" spans="1:20">
      <c r="A32" s="27"/>
      <c r="B32" s="27"/>
      <c r="C32" s="27"/>
      <c r="D32" s="27"/>
      <c r="E32" s="27"/>
      <c r="F32" s="27"/>
      <c r="G32" s="27"/>
      <c r="H32" s="27"/>
      <c r="I32" s="27"/>
      <c r="J32" s="27"/>
      <c r="K32" s="27"/>
      <c r="L32" s="27"/>
      <c r="M32" s="27"/>
      <c r="N32" s="27"/>
      <c r="O32" s="27"/>
      <c r="P32" s="27"/>
      <c r="Q32" s="27"/>
      <c r="R32" s="27"/>
      <c r="S32" s="27"/>
      <c r="T32" s="27"/>
    </row>
    <row r="33" spans="1:20">
      <c r="A33" s="27"/>
      <c r="B33" s="27"/>
      <c r="C33" s="27"/>
      <c r="D33" s="27"/>
      <c r="E33" s="27"/>
      <c r="F33" s="27"/>
      <c r="G33" s="27"/>
      <c r="H33" s="27"/>
      <c r="I33" s="27"/>
      <c r="J33" s="27"/>
      <c r="K33" s="27"/>
      <c r="L33" s="27"/>
      <c r="M33" s="27"/>
      <c r="N33" s="27"/>
      <c r="O33" s="27"/>
      <c r="P33" s="27"/>
      <c r="Q33" s="27"/>
      <c r="R33" s="27"/>
      <c r="S33" s="27"/>
      <c r="T33" s="27"/>
    </row>
    <row r="34" spans="1:20">
      <c r="A34" s="27"/>
      <c r="B34" s="27"/>
      <c r="C34" s="27"/>
      <c r="D34" s="27"/>
      <c r="E34" s="27"/>
      <c r="F34" s="27"/>
      <c r="G34" s="27"/>
      <c r="H34" s="27"/>
      <c r="I34" s="27"/>
      <c r="J34" s="27"/>
      <c r="K34" s="27"/>
      <c r="L34" s="27"/>
      <c r="M34" s="27"/>
      <c r="N34" s="27"/>
      <c r="O34" s="27"/>
      <c r="P34" s="27"/>
      <c r="Q34" s="27"/>
      <c r="R34" s="27"/>
      <c r="S34" s="27"/>
      <c r="T34" s="27"/>
    </row>
    <row r="35" spans="1:20">
      <c r="A35" s="27"/>
      <c r="B35" s="27"/>
      <c r="C35" s="27"/>
      <c r="D35" s="27"/>
      <c r="E35" s="27"/>
      <c r="F35" s="27"/>
      <c r="G35" s="27"/>
      <c r="H35" s="27"/>
      <c r="I35" s="27"/>
      <c r="J35" s="27"/>
      <c r="K35" s="27"/>
      <c r="L35" s="27"/>
      <c r="M35" s="27"/>
      <c r="N35" s="27"/>
      <c r="O35" s="27"/>
      <c r="P35" s="27"/>
      <c r="Q35" s="27"/>
      <c r="R35" s="27"/>
      <c r="S35" s="27"/>
      <c r="T35" s="27"/>
    </row>
    <row r="36" spans="1:20">
      <c r="A36" s="27"/>
      <c r="B36" s="27"/>
      <c r="C36" s="27"/>
      <c r="D36" s="27"/>
      <c r="E36" s="27"/>
      <c r="F36" s="27"/>
      <c r="G36" s="27"/>
      <c r="H36" s="27"/>
      <c r="I36" s="27"/>
      <c r="J36" s="27"/>
      <c r="K36" s="27"/>
      <c r="L36" s="27"/>
      <c r="M36" s="27"/>
      <c r="N36" s="27"/>
      <c r="O36" s="27"/>
      <c r="P36" s="27"/>
      <c r="Q36" s="27"/>
      <c r="R36" s="27"/>
      <c r="S36" s="27"/>
      <c r="T36" s="27"/>
    </row>
    <row r="37" spans="1:20">
      <c r="A37" s="27"/>
      <c r="B37" s="27"/>
      <c r="C37" s="27"/>
      <c r="D37" s="27"/>
      <c r="E37" s="27"/>
      <c r="F37" s="27"/>
      <c r="G37" s="27"/>
      <c r="H37" s="27"/>
      <c r="I37" s="27"/>
      <c r="J37" s="27"/>
      <c r="K37" s="27"/>
      <c r="L37" s="27"/>
      <c r="M37" s="27"/>
      <c r="N37" s="27"/>
      <c r="O37" s="27"/>
      <c r="P37" s="27"/>
      <c r="Q37" s="27"/>
      <c r="R37" s="27"/>
      <c r="S37" s="27"/>
      <c r="T37" s="27"/>
    </row>
    <row r="38" spans="1:20">
      <c r="A38" s="27"/>
      <c r="B38" s="27"/>
      <c r="C38" s="27"/>
      <c r="D38" s="27"/>
      <c r="E38" s="27"/>
      <c r="F38" s="27"/>
      <c r="G38" s="27"/>
      <c r="H38" s="27"/>
      <c r="I38" s="27"/>
      <c r="J38" s="27"/>
      <c r="K38" s="27"/>
      <c r="L38" s="27"/>
      <c r="M38" s="27"/>
      <c r="N38" s="27"/>
      <c r="O38" s="27"/>
      <c r="P38" s="27"/>
      <c r="Q38" s="27"/>
      <c r="R38" s="27"/>
      <c r="S38" s="27"/>
      <c r="T38" s="27"/>
    </row>
    <row r="39" spans="1:20">
      <c r="A39" s="27"/>
      <c r="B39" s="27"/>
      <c r="C39" s="27"/>
      <c r="D39" s="27"/>
      <c r="E39" s="27"/>
      <c r="F39" s="27"/>
      <c r="G39" s="27"/>
      <c r="H39" s="27"/>
      <c r="I39" s="27"/>
      <c r="J39" s="27"/>
      <c r="K39" s="27"/>
      <c r="L39" s="27"/>
      <c r="M39" s="27"/>
      <c r="N39" s="27"/>
      <c r="O39" s="27"/>
      <c r="P39" s="27"/>
      <c r="Q39" s="27"/>
      <c r="R39" s="27"/>
      <c r="S39" s="27"/>
      <c r="T39" s="27"/>
    </row>
    <row r="40" spans="1:20">
      <c r="A40" s="27"/>
      <c r="B40" s="27"/>
      <c r="C40" s="27"/>
      <c r="D40" s="27"/>
      <c r="E40" s="27"/>
      <c r="F40" s="27"/>
      <c r="G40" s="27"/>
      <c r="H40" s="27"/>
      <c r="I40" s="27"/>
      <c r="J40" s="27"/>
      <c r="K40" s="27"/>
      <c r="L40" s="27"/>
      <c r="M40" s="27"/>
      <c r="N40" s="27"/>
      <c r="O40" s="27"/>
      <c r="P40" s="27"/>
      <c r="Q40" s="27"/>
      <c r="R40" s="27"/>
      <c r="S40" s="27"/>
      <c r="T40" s="27"/>
    </row>
    <row r="41" spans="1:20">
      <c r="A41" s="27"/>
      <c r="B41" s="27"/>
      <c r="C41" s="27"/>
      <c r="D41" s="27"/>
      <c r="E41" s="27"/>
      <c r="F41" s="27"/>
      <c r="G41" s="27"/>
      <c r="H41" s="27"/>
      <c r="I41" s="27"/>
      <c r="J41" s="27"/>
      <c r="K41" s="27"/>
      <c r="L41" s="27"/>
      <c r="M41" s="27"/>
      <c r="N41" s="27"/>
      <c r="O41" s="27"/>
      <c r="P41" s="27"/>
      <c r="Q41" s="27"/>
      <c r="R41" s="27"/>
      <c r="S41" s="27"/>
      <c r="T41" s="27"/>
    </row>
    <row r="42" spans="1:20">
      <c r="A42" s="27"/>
      <c r="B42" s="27"/>
      <c r="C42" s="27"/>
      <c r="D42" s="27"/>
      <c r="E42" s="27"/>
      <c r="F42" s="27"/>
      <c r="G42" s="27"/>
      <c r="H42" s="27"/>
      <c r="I42" s="27"/>
      <c r="J42" s="27"/>
      <c r="K42" s="27"/>
      <c r="L42" s="27"/>
      <c r="M42" s="27"/>
      <c r="N42" s="27"/>
      <c r="O42" s="27"/>
      <c r="P42" s="27"/>
      <c r="Q42" s="27"/>
      <c r="R42" s="27"/>
      <c r="S42" s="27"/>
      <c r="T42" s="27"/>
    </row>
    <row r="43" spans="1:20">
      <c r="A43" s="27"/>
      <c r="B43" s="27"/>
      <c r="C43" s="27"/>
      <c r="D43" s="27"/>
      <c r="E43" s="27"/>
      <c r="F43" s="27"/>
      <c r="G43" s="27"/>
      <c r="H43" s="27"/>
      <c r="I43" s="27"/>
      <c r="J43" s="27"/>
      <c r="K43" s="27"/>
      <c r="L43" s="27"/>
      <c r="M43" s="27"/>
      <c r="N43" s="27"/>
      <c r="O43" s="27"/>
      <c r="P43" s="27"/>
      <c r="Q43" s="27"/>
      <c r="R43" s="27"/>
      <c r="S43" s="27"/>
      <c r="T43" s="27"/>
    </row>
    <row r="44" spans="1:20">
      <c r="A44" s="27"/>
      <c r="B44" s="27"/>
      <c r="C44" s="27"/>
      <c r="D44" s="27"/>
      <c r="E44" s="27"/>
      <c r="F44" s="27"/>
      <c r="G44" s="27"/>
      <c r="H44" s="27"/>
      <c r="I44" s="27"/>
      <c r="J44" s="27"/>
      <c r="K44" s="27"/>
      <c r="L44" s="27"/>
      <c r="M44" s="27"/>
      <c r="N44" s="27"/>
      <c r="O44" s="27"/>
      <c r="P44" s="27"/>
      <c r="Q44" s="27"/>
      <c r="R44" s="27"/>
      <c r="S44" s="27"/>
      <c r="T44" s="27"/>
    </row>
    <row r="45" spans="1:20">
      <c r="A45" s="27"/>
      <c r="B45" s="27"/>
      <c r="C45" s="27"/>
      <c r="D45" s="27"/>
      <c r="E45" s="27"/>
      <c r="F45" s="27"/>
      <c r="G45" s="27"/>
      <c r="H45" s="27"/>
      <c r="I45" s="27"/>
      <c r="J45" s="27"/>
      <c r="K45" s="27"/>
      <c r="L45" s="27"/>
      <c r="M45" s="27"/>
      <c r="N45" s="27"/>
      <c r="O45" s="27"/>
      <c r="P45" s="27"/>
      <c r="Q45" s="27"/>
      <c r="R45" s="27"/>
      <c r="S45" s="27"/>
      <c r="T45" s="27"/>
    </row>
    <row r="46" spans="1:20">
      <c r="A46" s="27"/>
      <c r="B46" s="27"/>
      <c r="C46" s="27"/>
      <c r="D46" s="27"/>
      <c r="E46" s="27"/>
      <c r="F46" s="27"/>
      <c r="G46" s="27"/>
      <c r="H46" s="27"/>
      <c r="I46" s="27"/>
      <c r="J46" s="27"/>
      <c r="K46" s="27"/>
      <c r="L46" s="27"/>
      <c r="M46" s="27"/>
      <c r="N46" s="27"/>
      <c r="O46" s="27"/>
      <c r="P46" s="27"/>
      <c r="Q46" s="27"/>
      <c r="R46" s="27"/>
      <c r="S46" s="27"/>
      <c r="T46" s="27"/>
    </row>
    <row r="47" spans="1:20">
      <c r="A47" s="37" t="s">
        <v>1130</v>
      </c>
      <c r="B47" s="38"/>
      <c r="C47" s="38"/>
      <c r="D47" s="38"/>
      <c r="E47" s="38"/>
      <c r="F47" s="38"/>
      <c r="G47" s="38"/>
      <c r="H47" s="38"/>
      <c r="I47" s="38"/>
      <c r="J47" s="38"/>
      <c r="K47" s="38"/>
      <c r="L47" s="38"/>
      <c r="M47" s="38"/>
      <c r="N47" s="38"/>
      <c r="O47" s="38"/>
      <c r="P47" s="38"/>
      <c r="Q47" s="38"/>
      <c r="R47" s="38"/>
      <c r="S47" s="38"/>
      <c r="T47" s="38"/>
    </row>
    <row r="48" spans="1:20">
      <c r="A48" s="38"/>
      <c r="B48" s="38"/>
      <c r="C48" s="38"/>
      <c r="D48" s="38"/>
      <c r="E48" s="38"/>
      <c r="F48" s="38"/>
      <c r="G48" s="38"/>
      <c r="H48" s="38"/>
      <c r="I48" s="38"/>
      <c r="J48" s="38"/>
      <c r="K48" s="38"/>
      <c r="L48" s="38"/>
      <c r="M48" s="38"/>
      <c r="N48" s="38"/>
      <c r="O48" s="38"/>
      <c r="P48" s="38"/>
      <c r="Q48" s="38"/>
      <c r="R48" s="38"/>
      <c r="S48" s="38"/>
      <c r="T48" s="38"/>
    </row>
    <row r="49" spans="1:20">
      <c r="A49" s="38"/>
      <c r="B49" s="38"/>
      <c r="C49" s="38"/>
      <c r="D49" s="38"/>
      <c r="E49" s="38"/>
      <c r="F49" s="38"/>
      <c r="G49" s="38"/>
      <c r="H49" s="38"/>
      <c r="I49" s="38"/>
      <c r="J49" s="38"/>
      <c r="K49" s="38"/>
      <c r="L49" s="38"/>
      <c r="M49" s="38"/>
      <c r="N49" s="38"/>
      <c r="O49" s="38"/>
      <c r="P49" s="38"/>
      <c r="Q49" s="38"/>
      <c r="R49" s="38"/>
      <c r="S49" s="38"/>
      <c r="T49" s="38"/>
    </row>
    <row r="50" spans="1:20">
      <c r="A50" s="39" t="s">
        <v>1131</v>
      </c>
      <c r="B50" s="40"/>
      <c r="C50" s="40"/>
      <c r="D50" s="40"/>
      <c r="E50" s="40"/>
      <c r="F50" s="40"/>
      <c r="G50" s="40"/>
      <c r="H50" s="40"/>
      <c r="I50" s="40"/>
      <c r="J50" s="40"/>
      <c r="K50" s="40"/>
      <c r="L50" s="40"/>
      <c r="M50" s="40"/>
      <c r="N50" s="40"/>
      <c r="O50" s="40"/>
      <c r="P50" s="40"/>
      <c r="Q50" s="40"/>
      <c r="R50" s="40"/>
      <c r="S50" s="40"/>
      <c r="T50" s="40"/>
    </row>
    <row r="51" spans="1:20">
      <c r="A51" s="40"/>
      <c r="B51" s="40"/>
      <c r="C51" s="40"/>
      <c r="D51" s="40"/>
      <c r="E51" s="40"/>
      <c r="F51" s="40"/>
      <c r="G51" s="40"/>
      <c r="H51" s="40"/>
      <c r="I51" s="40"/>
      <c r="J51" s="40"/>
      <c r="K51" s="40"/>
      <c r="L51" s="40"/>
      <c r="M51" s="40"/>
      <c r="N51" s="40"/>
      <c r="O51" s="40"/>
      <c r="P51" s="40"/>
      <c r="Q51" s="40"/>
      <c r="R51" s="40"/>
      <c r="S51" s="40"/>
      <c r="T51" s="40"/>
    </row>
    <row r="52" spans="1:20">
      <c r="A52" s="40"/>
      <c r="B52" s="40"/>
      <c r="C52" s="40"/>
      <c r="D52" s="40"/>
      <c r="E52" s="40"/>
      <c r="F52" s="40"/>
      <c r="G52" s="40"/>
      <c r="H52" s="40"/>
      <c r="I52" s="40"/>
      <c r="J52" s="40"/>
      <c r="K52" s="40"/>
      <c r="L52" s="40"/>
      <c r="M52" s="40"/>
      <c r="N52" s="40"/>
      <c r="O52" s="40"/>
      <c r="P52" s="40"/>
      <c r="Q52" s="40"/>
      <c r="R52" s="40"/>
      <c r="S52" s="40"/>
      <c r="T52" s="40"/>
    </row>
    <row r="53" spans="1:20">
      <c r="A53" s="40"/>
      <c r="B53" s="40"/>
      <c r="C53" s="40"/>
      <c r="D53" s="40"/>
      <c r="E53" s="40"/>
      <c r="F53" s="40"/>
      <c r="G53" s="40"/>
      <c r="H53" s="40"/>
      <c r="I53" s="40"/>
      <c r="J53" s="40"/>
      <c r="K53" s="40"/>
      <c r="L53" s="40"/>
      <c r="M53" s="40"/>
      <c r="N53" s="40"/>
      <c r="O53" s="40"/>
      <c r="P53" s="40"/>
      <c r="Q53" s="40"/>
      <c r="R53" s="40"/>
      <c r="S53" s="40"/>
      <c r="T53" s="40"/>
    </row>
    <row r="54" spans="1:20">
      <c r="A54" s="40"/>
      <c r="B54" s="40"/>
      <c r="C54" s="40"/>
      <c r="D54" s="40"/>
      <c r="E54" s="40"/>
      <c r="F54" s="40"/>
      <c r="G54" s="40"/>
      <c r="H54" s="40"/>
      <c r="I54" s="40"/>
      <c r="J54" s="40"/>
      <c r="K54" s="40"/>
      <c r="L54" s="40"/>
      <c r="M54" s="40"/>
      <c r="N54" s="40"/>
      <c r="O54" s="40"/>
      <c r="P54" s="40"/>
      <c r="Q54" s="40"/>
      <c r="R54" s="40"/>
      <c r="S54" s="40"/>
      <c r="T54" s="40"/>
    </row>
    <row r="55" spans="1:20">
      <c r="A55" s="40"/>
      <c r="B55" s="40"/>
      <c r="C55" s="40"/>
      <c r="D55" s="40"/>
      <c r="E55" s="40"/>
      <c r="F55" s="40"/>
      <c r="G55" s="40"/>
      <c r="H55" s="40"/>
      <c r="I55" s="40"/>
      <c r="J55" s="40"/>
      <c r="K55" s="40"/>
      <c r="L55" s="40"/>
      <c r="M55" s="40"/>
      <c r="N55" s="40"/>
      <c r="O55" s="40"/>
      <c r="P55" s="40"/>
      <c r="Q55" s="40"/>
      <c r="R55" s="40"/>
      <c r="S55" s="40"/>
      <c r="T55" s="40"/>
    </row>
    <row r="56" spans="1:20">
      <c r="A56" s="28"/>
      <c r="B56" s="28"/>
      <c r="C56" s="28"/>
      <c r="D56" s="28"/>
      <c r="E56" s="28"/>
      <c r="F56" s="28"/>
      <c r="G56" s="28"/>
      <c r="H56" s="28"/>
      <c r="I56" s="28"/>
      <c r="J56" s="28"/>
      <c r="K56" s="28"/>
      <c r="L56" s="28"/>
      <c r="M56" s="28"/>
      <c r="N56" s="28"/>
      <c r="O56" s="28"/>
      <c r="P56" s="28"/>
      <c r="Q56" s="28"/>
      <c r="R56" s="28"/>
      <c r="S56" s="28"/>
      <c r="T56" s="28"/>
    </row>
    <row r="57" spans="1:20">
      <c r="A57" s="28"/>
      <c r="B57" s="28"/>
      <c r="C57" s="28"/>
      <c r="D57" s="28"/>
      <c r="E57" s="28"/>
      <c r="F57" s="28"/>
      <c r="G57" s="28"/>
      <c r="H57" s="28"/>
      <c r="I57" s="28"/>
      <c r="J57" s="28"/>
      <c r="K57" s="28"/>
      <c r="L57" s="28"/>
      <c r="M57" s="28"/>
      <c r="N57" s="28"/>
      <c r="O57" s="28"/>
      <c r="P57" s="28"/>
      <c r="Q57" s="28"/>
      <c r="R57" s="28"/>
      <c r="S57" s="28"/>
      <c r="T57" s="28"/>
    </row>
    <row r="58" spans="1:20">
      <c r="A58" s="27"/>
      <c r="B58" s="27"/>
      <c r="C58" s="27"/>
      <c r="D58" s="27"/>
      <c r="E58" s="27"/>
      <c r="F58" s="27"/>
      <c r="G58" s="27"/>
      <c r="H58" s="27"/>
      <c r="I58" s="27"/>
      <c r="J58" s="27"/>
      <c r="K58" s="27"/>
      <c r="L58" s="27"/>
      <c r="M58" s="27"/>
      <c r="N58" s="27"/>
      <c r="O58" s="27"/>
      <c r="P58" s="27"/>
      <c r="Q58" s="27"/>
      <c r="R58" s="27"/>
      <c r="S58" s="27"/>
      <c r="T58" s="27"/>
    </row>
    <row r="59" spans="1:20">
      <c r="A59" s="27"/>
      <c r="B59" s="27"/>
      <c r="C59" s="27"/>
      <c r="D59" s="27"/>
      <c r="E59" s="27"/>
      <c r="F59" s="27"/>
      <c r="G59" s="27"/>
      <c r="H59" s="27"/>
      <c r="I59" s="27"/>
      <c r="J59" s="27"/>
      <c r="K59" s="27"/>
      <c r="L59" s="27"/>
      <c r="M59" s="27"/>
      <c r="N59" s="27"/>
      <c r="O59" s="27"/>
      <c r="P59" s="27"/>
      <c r="Q59" s="27"/>
      <c r="R59" s="27"/>
      <c r="S59" s="27"/>
      <c r="T59" s="27"/>
    </row>
    <row r="60" spans="1:20">
      <c r="A60" s="27"/>
      <c r="B60" s="27"/>
      <c r="C60" s="27"/>
      <c r="D60" s="27"/>
      <c r="E60" s="27"/>
      <c r="F60" s="27"/>
      <c r="G60" s="27"/>
      <c r="H60" s="27"/>
      <c r="I60" s="27"/>
      <c r="J60" s="27"/>
      <c r="K60" s="27"/>
      <c r="L60" s="27"/>
      <c r="M60" s="27"/>
      <c r="N60" s="27"/>
      <c r="O60" s="27"/>
      <c r="P60" s="27"/>
      <c r="Q60" s="27"/>
      <c r="R60" s="27"/>
      <c r="S60" s="27"/>
      <c r="T60" s="27"/>
    </row>
    <row r="61" spans="1:20">
      <c r="A61" s="27"/>
      <c r="B61" s="27"/>
      <c r="C61" s="27"/>
      <c r="D61" s="27"/>
      <c r="E61" s="27"/>
      <c r="F61" s="27"/>
      <c r="G61" s="27"/>
      <c r="H61" s="27"/>
      <c r="I61" s="27"/>
      <c r="J61" s="27"/>
      <c r="K61" s="27"/>
      <c r="L61" s="27"/>
      <c r="M61" s="27"/>
      <c r="N61" s="27"/>
      <c r="O61" s="27"/>
      <c r="P61" s="27"/>
      <c r="Q61" s="27"/>
      <c r="R61" s="27"/>
      <c r="S61" s="27"/>
      <c r="T61" s="27"/>
    </row>
    <row r="62" spans="1:20">
      <c r="A62" s="27"/>
      <c r="B62" s="27"/>
      <c r="C62" s="27"/>
      <c r="D62" s="27"/>
      <c r="E62" s="27"/>
      <c r="F62" s="27"/>
      <c r="G62" s="27"/>
      <c r="H62" s="27"/>
      <c r="I62" s="27"/>
      <c r="J62" s="27"/>
      <c r="K62" s="27"/>
      <c r="L62" s="27"/>
      <c r="M62" s="27"/>
      <c r="N62" s="27"/>
      <c r="O62" s="27"/>
      <c r="P62" s="27"/>
      <c r="Q62" s="27"/>
      <c r="R62" s="27"/>
      <c r="S62" s="27"/>
      <c r="T62" s="27"/>
    </row>
    <row r="63" spans="1:20">
      <c r="A63" s="27"/>
      <c r="B63" s="27"/>
      <c r="C63" s="27"/>
      <c r="D63" s="27"/>
      <c r="E63" s="27"/>
      <c r="F63" s="27"/>
      <c r="G63" s="27"/>
      <c r="H63" s="27"/>
      <c r="I63" s="27"/>
      <c r="J63" s="27"/>
      <c r="K63" s="27"/>
      <c r="L63" s="27"/>
      <c r="M63" s="27"/>
      <c r="N63" s="27"/>
      <c r="O63" s="27"/>
      <c r="P63" s="27"/>
      <c r="Q63" s="27"/>
      <c r="R63" s="27"/>
      <c r="S63" s="27"/>
      <c r="T63" s="27"/>
    </row>
    <row r="64" spans="1:20">
      <c r="A64" s="27"/>
      <c r="B64" s="27"/>
      <c r="C64" s="27"/>
      <c r="D64" s="27"/>
      <c r="E64" s="27"/>
      <c r="F64" s="27"/>
      <c r="G64" s="27"/>
      <c r="H64" s="27"/>
      <c r="I64" s="27"/>
      <c r="J64" s="27"/>
      <c r="K64" s="27"/>
      <c r="L64" s="27"/>
      <c r="M64" s="27"/>
      <c r="N64" s="27"/>
      <c r="O64" s="27"/>
      <c r="P64" s="27"/>
      <c r="Q64" s="27"/>
      <c r="R64" s="27"/>
      <c r="S64" s="27"/>
      <c r="T64" s="27"/>
    </row>
    <row r="65" spans="1:20">
      <c r="A65" s="27"/>
      <c r="B65" s="27"/>
      <c r="C65" s="27"/>
      <c r="D65" s="27"/>
      <c r="E65" s="27"/>
      <c r="F65" s="27"/>
      <c r="G65" s="27"/>
      <c r="H65" s="27"/>
      <c r="I65" s="27"/>
      <c r="J65" s="27"/>
      <c r="K65" s="27"/>
      <c r="L65" s="27"/>
      <c r="M65" s="27"/>
      <c r="N65" s="27"/>
      <c r="O65" s="27"/>
      <c r="P65" s="27"/>
      <c r="Q65" s="27"/>
      <c r="R65" s="27"/>
      <c r="S65" s="27"/>
      <c r="T65" s="27"/>
    </row>
  </sheetData>
  <mergeCells count="6">
    <mergeCell ref="A47:T49"/>
    <mergeCell ref="A50:T55"/>
    <mergeCell ref="A5:E5"/>
    <mergeCell ref="A7:Q8"/>
    <mergeCell ref="A9:Q10"/>
    <mergeCell ref="R7:T10"/>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B1:AA267"/>
  <sheetViews>
    <sheetView zoomScale="61" zoomScaleNormal="61" workbookViewId="0">
      <selection activeCell="AA14" sqref="AA14"/>
    </sheetView>
  </sheetViews>
  <sheetFormatPr defaultColWidth="9" defaultRowHeight="14.4"/>
  <cols>
    <col min="21" max="21" width="29.33203125" bestFit="1" customWidth="1"/>
    <col min="22" max="22" width="19.77734375" bestFit="1" customWidth="1"/>
  </cols>
  <sheetData>
    <row r="1" spans="2:27">
      <c r="B1" s="14"/>
      <c r="C1" s="14"/>
      <c r="D1" s="14"/>
      <c r="E1" s="14"/>
      <c r="F1" s="14"/>
      <c r="G1" s="14"/>
      <c r="H1" s="14"/>
      <c r="I1" s="14"/>
      <c r="J1" s="14"/>
      <c r="K1" s="14"/>
      <c r="L1" s="14"/>
      <c r="M1" s="14"/>
      <c r="N1" s="14"/>
      <c r="O1" s="14"/>
      <c r="P1" s="14"/>
      <c r="Q1" s="14"/>
      <c r="R1" s="14"/>
      <c r="S1" s="14"/>
      <c r="T1" s="14"/>
      <c r="U1" s="14"/>
      <c r="V1" s="14"/>
      <c r="W1" s="14"/>
      <c r="X1" s="15"/>
      <c r="Y1" s="15"/>
    </row>
    <row r="2" spans="2:27">
      <c r="B2" s="14"/>
      <c r="C2" s="14"/>
      <c r="D2" s="14"/>
      <c r="E2" s="14"/>
      <c r="F2" s="14"/>
      <c r="G2" s="14"/>
      <c r="H2" s="14"/>
      <c r="I2" s="14"/>
      <c r="J2" s="14"/>
      <c r="K2" s="14"/>
      <c r="L2" s="14"/>
      <c r="M2" s="14"/>
      <c r="N2" s="14"/>
      <c r="O2" s="14"/>
      <c r="P2" s="14"/>
      <c r="Q2" s="14"/>
      <c r="R2" s="14"/>
      <c r="S2" s="14"/>
      <c r="T2" s="14"/>
      <c r="U2" s="14"/>
      <c r="V2" s="14"/>
      <c r="W2" s="14"/>
      <c r="X2" s="15"/>
      <c r="Y2" s="15"/>
    </row>
    <row r="3" spans="2:27">
      <c r="B3" s="14"/>
      <c r="C3" s="14"/>
      <c r="D3" s="14"/>
      <c r="E3" s="14"/>
      <c r="F3" s="14"/>
      <c r="G3" s="14"/>
      <c r="H3" s="14"/>
      <c r="I3" s="14"/>
      <c r="J3" s="14"/>
      <c r="K3" s="14"/>
      <c r="L3" s="14"/>
      <c r="M3" s="14"/>
      <c r="N3" s="14"/>
      <c r="O3" s="14"/>
      <c r="P3" s="14"/>
      <c r="Q3" s="14"/>
      <c r="R3" s="14"/>
      <c r="S3" s="14"/>
      <c r="T3" s="14"/>
      <c r="U3" s="14"/>
      <c r="V3" s="14"/>
      <c r="W3" s="14"/>
      <c r="X3" s="15"/>
      <c r="Y3" s="15"/>
    </row>
    <row r="4" spans="2:27">
      <c r="B4" s="14"/>
      <c r="C4" s="14"/>
      <c r="D4" s="14"/>
      <c r="E4" s="14"/>
      <c r="F4" s="14"/>
      <c r="G4" s="14"/>
      <c r="H4" s="14"/>
      <c r="I4" s="14"/>
      <c r="J4" s="14"/>
      <c r="K4" s="14"/>
      <c r="L4" s="14"/>
      <c r="M4" s="14"/>
      <c r="N4" s="14"/>
      <c r="O4" s="14"/>
      <c r="P4" s="14"/>
      <c r="Q4" s="14"/>
      <c r="R4" s="14"/>
      <c r="S4" s="14"/>
      <c r="T4" s="14"/>
      <c r="U4" s="14"/>
      <c r="V4" s="14"/>
      <c r="W4" s="14"/>
      <c r="X4" s="15"/>
      <c r="Y4" s="15"/>
    </row>
    <row r="5" spans="2:27">
      <c r="B5" s="14"/>
      <c r="C5" s="14"/>
      <c r="D5" s="14"/>
      <c r="E5" s="14"/>
      <c r="F5" s="14"/>
      <c r="G5" s="14"/>
      <c r="H5" s="14"/>
      <c r="I5" s="14"/>
      <c r="J5" s="14"/>
      <c r="K5" s="14"/>
      <c r="L5" s="14"/>
      <c r="M5" s="14"/>
      <c r="N5" s="14"/>
      <c r="O5" s="14"/>
      <c r="P5" s="14"/>
      <c r="Q5" s="14"/>
      <c r="R5" s="14"/>
      <c r="S5" s="14"/>
      <c r="T5" s="14"/>
      <c r="U5" s="14"/>
      <c r="V5" s="14"/>
      <c r="W5" s="14"/>
      <c r="X5" s="15"/>
      <c r="Y5" s="15"/>
    </row>
    <row r="6" spans="2:27">
      <c r="B6" s="14"/>
      <c r="C6" s="14"/>
      <c r="D6" s="14"/>
      <c r="E6" s="14"/>
      <c r="F6" s="14"/>
      <c r="G6" s="14"/>
      <c r="H6" s="14"/>
      <c r="I6" s="14"/>
      <c r="J6" s="14"/>
      <c r="K6" s="14"/>
      <c r="L6" s="14"/>
      <c r="M6" s="14"/>
      <c r="N6" s="14"/>
      <c r="O6" s="14"/>
      <c r="P6" s="14"/>
      <c r="Q6" s="14"/>
      <c r="R6" s="14"/>
      <c r="S6" s="14"/>
      <c r="T6" s="14"/>
      <c r="U6" s="14"/>
      <c r="V6" s="14"/>
      <c r="W6" s="14"/>
      <c r="X6" s="15"/>
      <c r="Y6" s="15"/>
    </row>
    <row r="7" spans="2:27">
      <c r="B7" s="14"/>
      <c r="C7" s="14"/>
      <c r="D7" s="14"/>
      <c r="E7" s="14"/>
      <c r="F7" s="14"/>
      <c r="G7" s="14"/>
      <c r="H7" s="14"/>
      <c r="I7" s="14"/>
      <c r="J7" s="14"/>
      <c r="K7" s="14"/>
      <c r="L7" s="14"/>
      <c r="M7" s="14"/>
      <c r="N7" s="14"/>
      <c r="O7" s="14"/>
      <c r="P7" s="14"/>
      <c r="Q7" s="14"/>
      <c r="R7" s="14"/>
      <c r="S7" s="14"/>
      <c r="T7" s="14"/>
      <c r="U7" s="14"/>
      <c r="V7" s="14"/>
      <c r="W7" s="14"/>
      <c r="X7" s="15"/>
      <c r="Y7" s="15"/>
    </row>
    <row r="8" spans="2:27">
      <c r="B8" s="14"/>
      <c r="C8" s="14"/>
      <c r="D8" s="14"/>
      <c r="E8" s="14"/>
      <c r="F8" s="14"/>
      <c r="G8" s="14"/>
      <c r="H8" s="14"/>
      <c r="I8" s="14"/>
      <c r="J8" s="14"/>
      <c r="K8" s="14"/>
      <c r="L8" s="14"/>
      <c r="M8" s="14"/>
      <c r="N8" s="14"/>
      <c r="O8" s="14"/>
      <c r="P8" s="14"/>
      <c r="Q8" s="14"/>
      <c r="R8" s="14"/>
      <c r="S8" s="14"/>
      <c r="T8" s="14"/>
      <c r="U8" s="14"/>
      <c r="V8" s="14"/>
      <c r="W8" s="14"/>
      <c r="X8" s="15"/>
      <c r="Y8" s="15"/>
    </row>
    <row r="9" spans="2:27">
      <c r="B9" s="14"/>
      <c r="C9" s="14"/>
      <c r="D9" s="14"/>
      <c r="E9" s="14"/>
      <c r="F9" s="14"/>
      <c r="G9" s="14"/>
      <c r="H9" s="14"/>
      <c r="I9" s="14"/>
      <c r="J9" s="14"/>
      <c r="K9" s="14"/>
      <c r="L9" s="14"/>
      <c r="M9" s="14"/>
      <c r="N9" s="14"/>
      <c r="O9" s="14"/>
      <c r="P9" s="14"/>
      <c r="Q9" s="14"/>
      <c r="R9" s="14"/>
      <c r="S9" s="14"/>
      <c r="T9" s="14"/>
      <c r="U9" s="14"/>
      <c r="V9" s="14"/>
      <c r="W9" s="14"/>
      <c r="X9" s="15"/>
      <c r="Y9" s="15"/>
    </row>
    <row r="10" spans="2:27">
      <c r="B10" s="14"/>
      <c r="C10" s="14"/>
      <c r="D10" s="14"/>
      <c r="E10" s="14"/>
      <c r="F10" s="14"/>
      <c r="G10" s="14"/>
      <c r="H10" s="14"/>
      <c r="I10" s="14"/>
      <c r="J10" s="14"/>
      <c r="K10" s="14"/>
      <c r="L10" s="14"/>
      <c r="M10" s="14"/>
      <c r="N10" s="14"/>
      <c r="O10" s="14"/>
      <c r="P10" s="14"/>
      <c r="Q10" s="14"/>
      <c r="R10" s="14"/>
      <c r="S10" s="14"/>
      <c r="T10" s="14"/>
      <c r="U10" s="14"/>
      <c r="V10" s="14"/>
      <c r="W10" s="14"/>
      <c r="X10" s="15"/>
      <c r="Y10" s="15"/>
    </row>
    <row r="11" spans="2:27">
      <c r="B11" s="14"/>
      <c r="C11" s="14"/>
      <c r="D11" s="14"/>
      <c r="E11" s="14"/>
      <c r="F11" s="14"/>
      <c r="G11" s="14"/>
      <c r="H11" s="14"/>
      <c r="I11" s="14"/>
      <c r="J11" s="14"/>
      <c r="K11" s="14"/>
      <c r="L11" s="14"/>
      <c r="M11" s="14"/>
      <c r="N11" s="14"/>
      <c r="O11" s="14"/>
      <c r="P11" s="14"/>
      <c r="Q11" s="14"/>
      <c r="R11" s="14"/>
      <c r="S11" s="14"/>
      <c r="T11" s="14"/>
      <c r="U11" s="14"/>
      <c r="V11" s="14"/>
      <c r="W11" s="14"/>
      <c r="X11" s="15"/>
      <c r="Y11" s="15"/>
    </row>
    <row r="12" spans="2:27">
      <c r="B12" s="14"/>
      <c r="C12" s="14"/>
      <c r="D12" s="14"/>
      <c r="E12" s="14"/>
      <c r="F12" s="14"/>
      <c r="G12" s="14"/>
      <c r="H12" s="14"/>
      <c r="I12" s="14"/>
      <c r="J12" s="14"/>
      <c r="K12" s="14"/>
      <c r="L12" s="14"/>
      <c r="M12" s="14"/>
      <c r="N12" s="14"/>
      <c r="O12" s="14"/>
      <c r="P12" s="14"/>
      <c r="Q12" s="14"/>
      <c r="R12" s="14"/>
      <c r="S12" s="14"/>
      <c r="T12" s="14"/>
      <c r="U12" s="14"/>
      <c r="V12" s="14"/>
      <c r="W12" s="14"/>
      <c r="X12" s="15"/>
      <c r="Y12" s="15"/>
    </row>
    <row r="13" spans="2:27">
      <c r="B13" s="14"/>
      <c r="C13" s="14"/>
      <c r="D13" s="14"/>
      <c r="E13" s="14"/>
      <c r="F13" s="14"/>
      <c r="G13" s="14"/>
      <c r="H13" s="14"/>
      <c r="I13" s="14"/>
      <c r="J13" s="14"/>
      <c r="K13" s="14"/>
      <c r="L13" s="14"/>
      <c r="M13" s="14"/>
      <c r="N13" s="14"/>
      <c r="O13" s="14"/>
      <c r="P13" s="14"/>
      <c r="Q13" s="14"/>
      <c r="R13" s="14"/>
      <c r="S13" s="14"/>
      <c r="T13" s="14"/>
      <c r="U13" s="14"/>
      <c r="V13" s="14"/>
      <c r="W13" s="14"/>
      <c r="X13" s="15"/>
      <c r="Y13" s="15"/>
    </row>
    <row r="14" spans="2:27">
      <c r="B14" s="14"/>
      <c r="C14" s="14"/>
      <c r="D14" s="14"/>
      <c r="E14" s="14"/>
      <c r="F14" s="14"/>
      <c r="G14" s="14"/>
      <c r="H14" s="14"/>
      <c r="I14" s="14"/>
      <c r="J14" s="14"/>
      <c r="K14" s="14"/>
      <c r="L14" s="14"/>
      <c r="M14" s="14"/>
      <c r="N14" s="14"/>
      <c r="O14" s="14"/>
      <c r="P14" s="14"/>
      <c r="Q14" s="14"/>
      <c r="R14" s="14"/>
      <c r="S14" s="14"/>
      <c r="T14" s="14"/>
      <c r="U14" s="14"/>
      <c r="V14" s="14"/>
      <c r="W14" s="14"/>
      <c r="X14" s="15"/>
      <c r="Y14" s="15"/>
      <c r="AA14" s="16"/>
    </row>
    <row r="15" spans="2:27">
      <c r="B15" s="14"/>
      <c r="C15" s="14"/>
      <c r="D15" s="14"/>
      <c r="E15" s="14"/>
      <c r="F15" s="14"/>
      <c r="G15" s="14"/>
      <c r="H15" s="14"/>
      <c r="I15" s="14"/>
      <c r="J15" s="14"/>
      <c r="K15" s="14"/>
      <c r="L15" s="14"/>
      <c r="M15" s="14"/>
      <c r="N15" s="14"/>
      <c r="O15" s="14"/>
      <c r="P15" s="14"/>
      <c r="Q15" s="14"/>
      <c r="R15" s="14"/>
      <c r="S15" s="14"/>
      <c r="T15" s="14"/>
      <c r="U15" s="14"/>
      <c r="V15" s="14"/>
      <c r="W15" s="14"/>
      <c r="X15" s="15"/>
      <c r="Y15" s="15"/>
    </row>
    <row r="16" spans="2:27">
      <c r="B16" s="14"/>
      <c r="C16" s="14"/>
      <c r="D16" s="14"/>
      <c r="E16" s="14"/>
      <c r="F16" s="14"/>
      <c r="G16" s="14"/>
      <c r="H16" s="14"/>
      <c r="I16" s="14"/>
      <c r="J16" s="14"/>
      <c r="K16" s="14"/>
      <c r="L16" s="14"/>
      <c r="M16" s="14"/>
      <c r="N16" s="14"/>
      <c r="O16" s="14"/>
      <c r="P16" s="14"/>
      <c r="Q16" s="14"/>
      <c r="R16" s="14"/>
      <c r="S16" s="14"/>
      <c r="T16" s="14"/>
      <c r="U16" s="14"/>
      <c r="V16" s="14"/>
      <c r="W16" s="14"/>
      <c r="X16" s="15"/>
      <c r="Y16" s="15"/>
    </row>
    <row r="17" spans="2:25">
      <c r="B17" s="14"/>
      <c r="C17" s="14"/>
      <c r="D17" s="14"/>
      <c r="E17" s="14"/>
      <c r="F17" s="14"/>
      <c r="G17" s="14"/>
      <c r="H17" s="14"/>
      <c r="I17" s="14"/>
      <c r="J17" s="14"/>
      <c r="K17" s="14"/>
      <c r="L17" s="14"/>
      <c r="M17" s="14"/>
      <c r="N17" s="14"/>
      <c r="O17" s="14"/>
      <c r="P17" s="14"/>
      <c r="Q17" s="14"/>
      <c r="R17" s="14"/>
      <c r="S17" s="14"/>
      <c r="T17" s="14"/>
      <c r="U17" s="14"/>
      <c r="V17" s="14"/>
      <c r="W17" s="14"/>
      <c r="X17" s="15"/>
      <c r="Y17" s="15"/>
    </row>
    <row r="18" spans="2:25">
      <c r="B18" s="14"/>
      <c r="C18" s="14"/>
      <c r="D18" s="14"/>
      <c r="E18" s="14"/>
      <c r="F18" s="14"/>
      <c r="G18" s="14"/>
      <c r="H18" s="14"/>
      <c r="I18" s="14"/>
      <c r="J18" s="14"/>
      <c r="K18" s="14"/>
      <c r="L18" s="14"/>
      <c r="M18" s="14"/>
      <c r="N18" s="14"/>
      <c r="O18" s="14"/>
      <c r="P18" s="14"/>
      <c r="Q18" s="14"/>
      <c r="R18" s="14"/>
      <c r="S18" s="14"/>
      <c r="T18" s="14"/>
      <c r="U18" s="14"/>
      <c r="V18" s="14"/>
      <c r="W18" s="14"/>
      <c r="X18" s="15"/>
      <c r="Y18" s="15"/>
    </row>
    <row r="19" spans="2:25">
      <c r="B19" s="14"/>
      <c r="C19" s="14"/>
      <c r="D19" s="14"/>
      <c r="E19" s="14"/>
      <c r="F19" s="14"/>
      <c r="G19" s="14"/>
      <c r="H19" s="14"/>
      <c r="I19" s="14"/>
      <c r="J19" s="14"/>
      <c r="K19" s="14"/>
      <c r="L19" s="14"/>
      <c r="M19" s="14"/>
      <c r="N19" s="14"/>
      <c r="O19" s="14"/>
      <c r="P19" s="14"/>
      <c r="Q19" s="14"/>
      <c r="R19" s="14"/>
      <c r="S19" s="14"/>
      <c r="T19" s="14"/>
      <c r="U19" s="14"/>
      <c r="V19" s="14"/>
      <c r="W19" s="14"/>
      <c r="X19" s="15"/>
      <c r="Y19" s="15"/>
    </row>
    <row r="20" spans="2:25">
      <c r="B20" s="14"/>
      <c r="C20" s="14"/>
      <c r="D20" s="14"/>
      <c r="E20" s="14"/>
      <c r="F20" s="14"/>
      <c r="G20" s="14"/>
      <c r="H20" s="14"/>
      <c r="I20" s="14"/>
      <c r="J20" s="14"/>
      <c r="K20" s="14"/>
      <c r="L20" s="14"/>
      <c r="M20" s="14"/>
      <c r="N20" s="14"/>
      <c r="O20" s="14"/>
      <c r="P20" s="14"/>
      <c r="Q20" s="14"/>
      <c r="R20" s="14"/>
      <c r="S20" s="14"/>
      <c r="T20" s="14"/>
      <c r="U20" s="14"/>
      <c r="V20" s="14"/>
      <c r="W20" s="14"/>
      <c r="X20" s="15"/>
      <c r="Y20" s="15"/>
    </row>
    <row r="21" spans="2:25">
      <c r="B21" s="14"/>
      <c r="C21" s="14"/>
      <c r="D21" s="14"/>
      <c r="E21" s="14"/>
      <c r="F21" s="14"/>
      <c r="G21" s="14"/>
      <c r="H21" s="14"/>
      <c r="I21" s="14"/>
      <c r="J21" s="14"/>
      <c r="K21" s="14"/>
      <c r="L21" s="14"/>
      <c r="M21" s="14"/>
      <c r="N21" s="14"/>
      <c r="O21" s="14"/>
      <c r="P21" s="14"/>
      <c r="Q21" s="14"/>
      <c r="R21" s="14"/>
      <c r="S21" s="14"/>
      <c r="T21" s="14"/>
      <c r="U21" s="14"/>
      <c r="V21" s="14"/>
      <c r="W21" s="14"/>
      <c r="X21" s="15"/>
      <c r="Y21" s="15"/>
    </row>
    <row r="22" spans="2:25">
      <c r="B22" s="14"/>
      <c r="C22" s="14"/>
      <c r="D22" s="14"/>
      <c r="E22" s="14"/>
      <c r="F22" s="14"/>
      <c r="G22" s="14"/>
      <c r="H22" s="14"/>
      <c r="I22" s="14"/>
      <c r="J22" s="14"/>
      <c r="K22" s="14"/>
      <c r="L22" s="14"/>
      <c r="M22" s="14"/>
      <c r="N22" s="14"/>
      <c r="O22" s="14"/>
      <c r="P22" s="14"/>
      <c r="Q22" s="14"/>
      <c r="R22" s="14"/>
      <c r="S22" s="14"/>
      <c r="T22" s="14"/>
      <c r="U22" s="14"/>
      <c r="V22" s="14"/>
      <c r="W22" s="14"/>
      <c r="X22" s="15"/>
      <c r="Y22" s="15"/>
    </row>
    <row r="23" spans="2:25">
      <c r="B23" s="14"/>
      <c r="C23" s="14"/>
      <c r="D23" s="14"/>
      <c r="E23" s="14"/>
      <c r="F23" s="14"/>
      <c r="G23" s="14"/>
      <c r="H23" s="14"/>
      <c r="I23" s="14"/>
      <c r="J23" s="14"/>
      <c r="K23" s="14"/>
      <c r="L23" s="14"/>
      <c r="M23" s="14"/>
      <c r="N23" s="14"/>
      <c r="O23" s="14"/>
      <c r="P23" s="14"/>
      <c r="Q23" s="14"/>
      <c r="R23" s="14"/>
      <c r="S23" s="14"/>
      <c r="T23" s="14"/>
      <c r="U23" s="14"/>
      <c r="V23" s="14"/>
      <c r="W23" s="14"/>
      <c r="X23" s="15"/>
      <c r="Y23" s="15"/>
    </row>
    <row r="24" spans="2:25">
      <c r="B24" s="14"/>
      <c r="C24" s="14"/>
      <c r="D24" s="14"/>
      <c r="E24" s="14"/>
      <c r="F24" s="14"/>
      <c r="G24" s="14"/>
      <c r="H24" s="14"/>
      <c r="I24" s="14"/>
      <c r="J24" s="14"/>
      <c r="K24" s="14"/>
      <c r="L24" s="14"/>
      <c r="M24" s="14"/>
      <c r="N24" s="14"/>
      <c r="O24" s="14"/>
      <c r="P24" s="14"/>
      <c r="Q24" s="14"/>
      <c r="R24" s="14"/>
      <c r="S24" s="14"/>
      <c r="T24" s="14"/>
      <c r="U24" s="14"/>
      <c r="V24" s="14"/>
      <c r="W24" s="14"/>
      <c r="X24" s="15"/>
      <c r="Y24" s="15"/>
    </row>
    <row r="25" spans="2:25">
      <c r="B25" s="14"/>
      <c r="C25" s="14"/>
      <c r="D25" s="14"/>
      <c r="E25" s="14"/>
      <c r="F25" s="14"/>
      <c r="G25" s="14"/>
      <c r="H25" s="14"/>
      <c r="I25" s="14"/>
      <c r="J25" s="14"/>
      <c r="K25" s="14"/>
      <c r="L25" s="14"/>
      <c r="M25" s="14"/>
      <c r="N25" s="14"/>
      <c r="O25" s="14"/>
      <c r="P25" s="14"/>
      <c r="Q25" s="14"/>
      <c r="R25" s="14"/>
      <c r="S25" s="14"/>
      <c r="T25" s="14"/>
      <c r="U25" s="14"/>
      <c r="V25" s="14"/>
      <c r="W25" s="14"/>
      <c r="X25" s="15"/>
      <c r="Y25" s="15"/>
    </row>
    <row r="26" spans="2:25">
      <c r="B26" s="14"/>
      <c r="C26" s="14"/>
      <c r="D26" s="14"/>
      <c r="E26" s="14"/>
      <c r="F26" s="14"/>
      <c r="G26" s="14"/>
      <c r="H26" s="14"/>
      <c r="I26" s="14"/>
      <c r="J26" s="14"/>
      <c r="K26" s="14"/>
      <c r="L26" s="14"/>
      <c r="M26" s="14"/>
      <c r="N26" s="14"/>
      <c r="O26" s="14"/>
      <c r="P26" s="14"/>
      <c r="Q26" s="14"/>
      <c r="R26" s="14"/>
      <c r="S26" s="14"/>
      <c r="T26" s="14"/>
      <c r="U26" s="14"/>
      <c r="V26" s="14"/>
      <c r="W26" s="14"/>
      <c r="X26" s="15"/>
      <c r="Y26" s="15"/>
    </row>
    <row r="27" spans="2:25">
      <c r="B27" s="14"/>
      <c r="C27" s="14"/>
      <c r="D27" s="14"/>
      <c r="E27" s="14"/>
      <c r="F27" s="14"/>
      <c r="G27" s="14"/>
      <c r="H27" s="14"/>
      <c r="I27" s="14"/>
      <c r="J27" s="14"/>
      <c r="K27" s="14"/>
      <c r="L27" s="14"/>
      <c r="M27" s="14"/>
      <c r="N27" s="14"/>
      <c r="O27" s="14"/>
      <c r="P27" s="14"/>
      <c r="Q27" s="14"/>
      <c r="R27" s="14"/>
      <c r="S27" s="14"/>
      <c r="T27" s="14"/>
      <c r="U27" s="14"/>
      <c r="V27" s="14"/>
      <c r="W27" s="14"/>
      <c r="X27" s="15"/>
      <c r="Y27" s="15"/>
    </row>
    <row r="28" spans="2:25">
      <c r="B28" s="14"/>
      <c r="C28" s="14"/>
      <c r="D28" s="14"/>
      <c r="E28" s="14"/>
      <c r="F28" s="14"/>
      <c r="G28" s="14"/>
      <c r="H28" s="14"/>
      <c r="I28" s="14"/>
      <c r="J28" s="14"/>
      <c r="K28" s="14"/>
      <c r="L28" s="14"/>
      <c r="M28" s="14"/>
      <c r="N28" s="14"/>
      <c r="O28" s="14"/>
      <c r="P28" s="14"/>
      <c r="Q28" s="14"/>
      <c r="R28" s="14"/>
      <c r="S28" s="14"/>
      <c r="T28" s="14"/>
      <c r="U28" s="14"/>
      <c r="V28" s="14"/>
      <c r="W28" s="14"/>
      <c r="X28" s="15"/>
      <c r="Y28" s="15"/>
    </row>
    <row r="29" spans="2:25">
      <c r="B29" s="14"/>
      <c r="C29" s="14"/>
      <c r="D29" s="14"/>
      <c r="E29" s="14"/>
      <c r="F29" s="14"/>
      <c r="G29" s="14"/>
      <c r="H29" s="14"/>
      <c r="I29" s="14"/>
      <c r="J29" s="14"/>
      <c r="K29" s="14"/>
      <c r="L29" s="14"/>
      <c r="M29" s="14"/>
      <c r="N29" s="14"/>
      <c r="O29" s="14"/>
      <c r="P29" s="14"/>
      <c r="Q29" s="14"/>
      <c r="R29" s="14"/>
      <c r="S29" s="14"/>
      <c r="T29" s="14"/>
      <c r="U29" s="14"/>
      <c r="V29" s="14"/>
      <c r="W29" s="14"/>
      <c r="X29" s="15"/>
      <c r="Y29" s="15"/>
    </row>
    <row r="30" spans="2:25">
      <c r="B30" s="14"/>
      <c r="C30" s="14"/>
      <c r="D30" s="14"/>
      <c r="E30" s="14"/>
      <c r="F30" s="14"/>
      <c r="G30" s="14"/>
      <c r="H30" s="14"/>
      <c r="I30" s="14"/>
      <c r="J30" s="14"/>
      <c r="K30" s="14"/>
      <c r="L30" s="14"/>
      <c r="M30" s="14"/>
      <c r="N30" s="14"/>
      <c r="O30" s="14"/>
      <c r="P30" s="14"/>
      <c r="Q30" s="14"/>
      <c r="R30" s="14"/>
      <c r="S30" s="14"/>
      <c r="T30" s="14"/>
      <c r="U30" s="14"/>
      <c r="V30" s="14"/>
      <c r="W30" s="14"/>
      <c r="X30" s="15"/>
      <c r="Y30" s="15"/>
    </row>
    <row r="31" spans="2:25">
      <c r="B31" s="14"/>
      <c r="C31" s="14"/>
      <c r="D31" s="14"/>
      <c r="E31" s="14"/>
      <c r="F31" s="14"/>
      <c r="G31" s="14"/>
      <c r="H31" s="14"/>
      <c r="I31" s="14"/>
      <c r="J31" s="14"/>
      <c r="K31" s="14"/>
      <c r="L31" s="14"/>
      <c r="M31" s="14"/>
      <c r="N31" s="14"/>
      <c r="O31" s="14"/>
      <c r="P31" s="14"/>
      <c r="Q31" s="14"/>
      <c r="R31" s="14"/>
      <c r="S31" s="14"/>
      <c r="T31" s="14"/>
      <c r="U31" s="14"/>
      <c r="V31" s="14"/>
      <c r="W31" s="14"/>
      <c r="X31" s="15"/>
      <c r="Y31" s="15"/>
    </row>
    <row r="32" spans="2:25">
      <c r="B32" s="14"/>
      <c r="C32" s="14"/>
      <c r="D32" s="14"/>
      <c r="E32" s="14"/>
      <c r="F32" s="14"/>
      <c r="G32" s="14"/>
      <c r="H32" s="14"/>
      <c r="I32" s="14"/>
      <c r="J32" s="14"/>
      <c r="K32" s="14"/>
      <c r="L32" s="14"/>
      <c r="M32" s="14"/>
      <c r="N32" s="14"/>
      <c r="O32" s="14"/>
      <c r="P32" s="14"/>
      <c r="Q32" s="14"/>
      <c r="R32" s="14"/>
      <c r="S32" s="14"/>
      <c r="T32" s="14"/>
      <c r="U32" s="14"/>
      <c r="V32" s="14"/>
      <c r="W32" s="14"/>
      <c r="X32" s="15"/>
      <c r="Y32" s="15"/>
    </row>
    <row r="33" spans="2:25">
      <c r="B33" s="14"/>
      <c r="C33" s="14"/>
      <c r="D33" s="14"/>
      <c r="E33" s="14"/>
      <c r="F33" s="14"/>
      <c r="G33" s="14"/>
      <c r="H33" s="14"/>
      <c r="I33" s="14"/>
      <c r="J33" s="14"/>
      <c r="K33" s="14"/>
      <c r="L33" s="14"/>
      <c r="M33" s="14"/>
      <c r="N33" s="14"/>
      <c r="O33" s="14"/>
      <c r="P33" s="14"/>
      <c r="Q33" s="14"/>
      <c r="R33" s="14"/>
      <c r="S33" s="14"/>
      <c r="T33" s="14"/>
      <c r="U33" s="14"/>
      <c r="V33" s="14"/>
      <c r="W33" s="14"/>
      <c r="X33" s="15"/>
      <c r="Y33" s="15"/>
    </row>
    <row r="34" spans="2:25">
      <c r="B34" s="14"/>
      <c r="C34" s="14"/>
      <c r="D34" s="14"/>
      <c r="E34" s="14"/>
      <c r="F34" s="14"/>
      <c r="G34" s="14"/>
      <c r="H34" s="14"/>
      <c r="I34" s="14"/>
      <c r="J34" s="14"/>
      <c r="K34" s="14"/>
      <c r="L34" s="14"/>
      <c r="M34" s="14"/>
      <c r="N34" s="14"/>
      <c r="O34" s="14"/>
      <c r="P34" s="14"/>
      <c r="Q34" s="14"/>
      <c r="R34" s="14"/>
      <c r="S34" s="14"/>
      <c r="T34" s="14"/>
      <c r="U34" s="14"/>
      <c r="V34" s="14"/>
      <c r="W34" s="14"/>
      <c r="X34" s="15"/>
      <c r="Y34" s="15"/>
    </row>
    <row r="35" spans="2:25">
      <c r="B35" s="14"/>
      <c r="C35" s="14"/>
      <c r="D35" s="14"/>
      <c r="E35" s="14"/>
      <c r="F35" s="14"/>
      <c r="G35" s="14"/>
      <c r="H35" s="14"/>
      <c r="I35" s="14"/>
      <c r="J35" s="14"/>
      <c r="K35" s="14"/>
      <c r="L35" s="14"/>
      <c r="M35" s="14"/>
      <c r="N35" s="14"/>
      <c r="O35" s="14"/>
      <c r="P35" s="14"/>
      <c r="Q35" s="14"/>
      <c r="R35" s="14"/>
      <c r="S35" s="14"/>
      <c r="T35" s="14"/>
      <c r="U35" s="14"/>
      <c r="V35" s="14"/>
      <c r="W35" s="14"/>
      <c r="X35" s="15"/>
      <c r="Y35" s="15"/>
    </row>
    <row r="36" spans="2:25">
      <c r="B36" s="14"/>
      <c r="C36" s="14"/>
      <c r="D36" s="14"/>
      <c r="E36" s="14"/>
      <c r="F36" s="14"/>
      <c r="G36" s="14"/>
      <c r="H36" s="14"/>
      <c r="I36" s="14"/>
      <c r="J36" s="14"/>
      <c r="K36" s="14"/>
      <c r="L36" s="14"/>
      <c r="M36" s="14"/>
      <c r="N36" s="14"/>
      <c r="O36" s="14"/>
      <c r="P36" s="14"/>
      <c r="Q36" s="14"/>
      <c r="R36" s="14"/>
      <c r="S36" s="14"/>
      <c r="T36" s="14"/>
      <c r="U36" s="14"/>
      <c r="V36" s="14"/>
      <c r="W36" s="14"/>
      <c r="X36" s="15"/>
      <c r="Y36" s="15"/>
    </row>
    <row r="37" spans="2:25">
      <c r="B37" s="14"/>
      <c r="C37" s="14"/>
      <c r="D37" s="14"/>
      <c r="E37" s="14"/>
      <c r="F37" s="14"/>
      <c r="G37" s="14"/>
      <c r="H37" s="14"/>
      <c r="I37" s="14"/>
      <c r="J37" s="14"/>
      <c r="K37" s="14"/>
      <c r="L37" s="14"/>
      <c r="M37" s="14"/>
      <c r="N37" s="14"/>
      <c r="O37" s="14"/>
      <c r="P37" s="14"/>
      <c r="Q37" s="14"/>
      <c r="R37" s="14"/>
      <c r="S37" s="14"/>
      <c r="T37" s="14"/>
      <c r="U37" s="14"/>
      <c r="V37" s="14"/>
      <c r="W37" s="14"/>
      <c r="X37" s="15"/>
      <c r="Y37" s="15"/>
    </row>
    <row r="38" spans="2:25">
      <c r="B38" s="14"/>
      <c r="C38" s="14"/>
      <c r="D38" s="14"/>
      <c r="E38" s="14"/>
      <c r="F38" s="14"/>
      <c r="G38" s="14"/>
      <c r="H38" s="14"/>
      <c r="I38" s="14"/>
      <c r="J38" s="14"/>
      <c r="K38" s="14"/>
      <c r="L38" s="14"/>
      <c r="M38" s="14"/>
      <c r="N38" s="14"/>
      <c r="O38" s="14"/>
      <c r="P38" s="14"/>
      <c r="Q38" s="14"/>
      <c r="R38" s="14"/>
      <c r="S38" s="14"/>
      <c r="T38" s="14"/>
      <c r="U38" s="14"/>
      <c r="V38" s="14"/>
      <c r="W38" s="14"/>
      <c r="X38" s="15"/>
      <c r="Y38" s="15"/>
    </row>
    <row r="39" spans="2:25">
      <c r="B39" s="14"/>
      <c r="C39" s="14"/>
      <c r="D39" s="14"/>
      <c r="E39" s="14"/>
      <c r="F39" s="14"/>
      <c r="G39" s="14"/>
      <c r="H39" s="14"/>
      <c r="I39" s="14"/>
      <c r="J39" s="14"/>
      <c r="K39" s="14"/>
      <c r="L39" s="14"/>
      <c r="M39" s="14"/>
      <c r="N39" s="14"/>
      <c r="O39" s="14"/>
      <c r="P39" s="14"/>
      <c r="Q39" s="14"/>
      <c r="R39" s="14"/>
      <c r="S39" s="14"/>
      <c r="T39" s="14"/>
      <c r="U39" s="17" t="s">
        <v>307</v>
      </c>
      <c r="V39" s="17" t="s">
        <v>248</v>
      </c>
      <c r="W39" s="14"/>
      <c r="X39" s="15"/>
      <c r="Y39" s="15"/>
    </row>
    <row r="40" spans="2:25">
      <c r="B40" s="14"/>
      <c r="C40" s="14"/>
      <c r="D40" s="14"/>
      <c r="E40" s="14"/>
      <c r="F40" s="14"/>
      <c r="G40" s="14"/>
      <c r="H40" s="14"/>
      <c r="I40" s="14"/>
      <c r="J40" s="14"/>
      <c r="K40" s="14"/>
      <c r="L40" s="14"/>
      <c r="M40" s="14"/>
      <c r="N40" s="14"/>
      <c r="O40" s="14"/>
      <c r="P40" s="14"/>
      <c r="Q40" s="14"/>
      <c r="R40" s="14"/>
      <c r="S40" s="14"/>
      <c r="T40" s="14"/>
      <c r="U40" s="18" t="s">
        <v>232</v>
      </c>
      <c r="V40" s="17">
        <v>16.46</v>
      </c>
      <c r="W40" s="14"/>
      <c r="X40" s="15"/>
      <c r="Y40" s="15"/>
    </row>
    <row r="41" spans="2:25">
      <c r="B41" s="14"/>
      <c r="C41" s="14"/>
      <c r="D41" s="14"/>
      <c r="E41" s="14"/>
      <c r="F41" s="14"/>
      <c r="G41" s="14"/>
      <c r="H41" s="14"/>
      <c r="I41" s="14"/>
      <c r="J41" s="14"/>
      <c r="K41" s="14"/>
      <c r="L41" s="14"/>
      <c r="M41" s="14"/>
      <c r="N41" s="14"/>
      <c r="O41" s="14"/>
      <c r="P41" s="14"/>
      <c r="Q41" s="14"/>
      <c r="R41" s="14"/>
      <c r="S41" s="14"/>
      <c r="T41" s="14"/>
      <c r="U41" s="18" t="s">
        <v>127</v>
      </c>
      <c r="V41" s="17">
        <v>4.3499999999999996</v>
      </c>
      <c r="W41" s="14"/>
      <c r="X41" s="15"/>
      <c r="Y41" s="15"/>
    </row>
    <row r="42" spans="2:25">
      <c r="B42" s="14"/>
      <c r="C42" s="14"/>
      <c r="D42" s="14"/>
      <c r="E42" s="14"/>
      <c r="F42" s="14"/>
      <c r="G42" s="14"/>
      <c r="H42" s="14"/>
      <c r="I42" s="14"/>
      <c r="J42" s="14"/>
      <c r="K42" s="14"/>
      <c r="L42" s="14"/>
      <c r="M42" s="14"/>
      <c r="N42" s="14"/>
      <c r="O42" s="14"/>
      <c r="P42" s="14"/>
      <c r="Q42" s="14"/>
      <c r="R42" s="14"/>
      <c r="S42" s="14"/>
      <c r="T42" s="14"/>
      <c r="U42" s="19" t="s">
        <v>127</v>
      </c>
      <c r="V42" s="17">
        <v>4.3499999999999996</v>
      </c>
      <c r="W42" s="14"/>
      <c r="X42" s="15"/>
      <c r="Y42" s="15"/>
    </row>
    <row r="43" spans="2:25">
      <c r="B43" s="14"/>
      <c r="C43" s="14"/>
      <c r="D43" s="14"/>
      <c r="E43" s="14"/>
      <c r="F43" s="14"/>
      <c r="G43" s="14"/>
      <c r="H43" s="14"/>
      <c r="I43" s="14"/>
      <c r="J43" s="14"/>
      <c r="K43" s="14"/>
      <c r="L43" s="14"/>
      <c r="M43" s="14"/>
      <c r="N43" s="14"/>
      <c r="O43" s="14"/>
      <c r="P43" s="14"/>
      <c r="Q43" s="14"/>
      <c r="R43" s="14"/>
      <c r="S43" s="14"/>
      <c r="T43" s="14"/>
      <c r="U43" s="18" t="s">
        <v>69</v>
      </c>
      <c r="V43" s="17">
        <v>3.06</v>
      </c>
      <c r="W43" s="14"/>
      <c r="X43" s="15"/>
      <c r="Y43" s="15"/>
    </row>
    <row r="44" spans="2:25">
      <c r="B44" s="14"/>
      <c r="C44" s="14"/>
      <c r="D44" s="14"/>
      <c r="E44" s="14"/>
      <c r="F44" s="14"/>
      <c r="G44" s="14"/>
      <c r="H44" s="14"/>
      <c r="I44" s="14"/>
      <c r="J44" s="14"/>
      <c r="K44" s="14"/>
      <c r="L44" s="14"/>
      <c r="M44" s="14"/>
      <c r="N44" s="14"/>
      <c r="O44" s="14"/>
      <c r="P44" s="14"/>
      <c r="Q44" s="14"/>
      <c r="R44" s="14"/>
      <c r="S44" s="14"/>
      <c r="T44" s="14"/>
      <c r="U44" s="19" t="s">
        <v>887</v>
      </c>
      <c r="V44" s="17">
        <v>3.06</v>
      </c>
      <c r="W44" s="14"/>
      <c r="X44" s="15"/>
      <c r="Y44" s="15"/>
    </row>
    <row r="45" spans="2:25">
      <c r="B45" s="14"/>
      <c r="C45" s="14"/>
      <c r="D45" s="14"/>
      <c r="E45" s="14"/>
      <c r="F45" s="14"/>
      <c r="G45" s="14"/>
      <c r="H45" s="14"/>
      <c r="I45" s="14"/>
      <c r="J45" s="14"/>
      <c r="K45" s="14"/>
      <c r="L45" s="14"/>
      <c r="M45" s="14"/>
      <c r="N45" s="14"/>
      <c r="O45" s="14"/>
      <c r="P45" s="14"/>
      <c r="Q45" s="14"/>
      <c r="R45" s="14"/>
      <c r="S45" s="14"/>
      <c r="T45" s="14"/>
      <c r="U45" s="18" t="s">
        <v>148</v>
      </c>
      <c r="V45" s="17">
        <v>3.85</v>
      </c>
      <c r="W45" s="14"/>
      <c r="X45" s="15"/>
      <c r="Y45" s="15"/>
    </row>
    <row r="46" spans="2:25">
      <c r="B46" s="14"/>
      <c r="C46" s="14"/>
      <c r="D46" s="14"/>
      <c r="E46" s="14"/>
      <c r="F46" s="14"/>
      <c r="G46" s="14"/>
      <c r="H46" s="14"/>
      <c r="I46" s="14"/>
      <c r="J46" s="14"/>
      <c r="K46" s="14"/>
      <c r="L46" s="14"/>
      <c r="M46" s="14"/>
      <c r="N46" s="14"/>
      <c r="O46" s="14"/>
      <c r="P46" s="14"/>
      <c r="Q46" s="14"/>
      <c r="R46" s="14"/>
      <c r="S46" s="14"/>
      <c r="T46" s="14"/>
      <c r="U46" s="19" t="s">
        <v>710</v>
      </c>
      <c r="V46" s="17">
        <v>3.85</v>
      </c>
      <c r="W46" s="14"/>
      <c r="X46" s="15"/>
      <c r="Y46" s="15"/>
    </row>
    <row r="47" spans="2:25">
      <c r="B47" s="14"/>
      <c r="C47" s="14"/>
      <c r="D47" s="14"/>
      <c r="E47" s="14"/>
      <c r="F47" s="14"/>
      <c r="G47" s="14"/>
      <c r="H47" s="14"/>
      <c r="I47" s="14"/>
      <c r="J47" s="14"/>
      <c r="K47" s="14"/>
      <c r="L47" s="14"/>
      <c r="M47" s="14"/>
      <c r="N47" s="14"/>
      <c r="O47" s="14"/>
      <c r="P47" s="14"/>
      <c r="Q47" s="14"/>
      <c r="R47" s="14"/>
      <c r="S47" s="14"/>
      <c r="T47" s="14"/>
      <c r="U47" s="18" t="s">
        <v>233</v>
      </c>
      <c r="V47" s="17">
        <v>4.4800000000000004</v>
      </c>
      <c r="W47" s="14"/>
      <c r="X47" s="15"/>
      <c r="Y47" s="15"/>
    </row>
    <row r="48" spans="2:25">
      <c r="B48" s="14"/>
      <c r="C48" s="14"/>
      <c r="D48" s="14"/>
      <c r="E48" s="14"/>
      <c r="F48" s="14"/>
      <c r="G48" s="14"/>
      <c r="H48" s="14"/>
      <c r="I48" s="14"/>
      <c r="J48" s="14"/>
      <c r="K48" s="14"/>
      <c r="L48" s="14"/>
      <c r="M48" s="14"/>
      <c r="N48" s="14"/>
      <c r="O48" s="14"/>
      <c r="P48" s="14"/>
      <c r="Q48" s="14"/>
      <c r="R48" s="14"/>
      <c r="S48" s="14"/>
      <c r="T48" s="14"/>
      <c r="U48" s="19" t="s">
        <v>889</v>
      </c>
      <c r="V48" s="17">
        <v>4.4800000000000004</v>
      </c>
      <c r="W48" s="14"/>
      <c r="X48" s="15"/>
      <c r="Y48" s="15"/>
    </row>
    <row r="49" spans="2:25">
      <c r="B49" s="14"/>
      <c r="C49" s="14"/>
      <c r="D49" s="14"/>
      <c r="E49" s="14"/>
      <c r="F49" s="14"/>
      <c r="G49" s="14"/>
      <c r="H49" s="14"/>
      <c r="I49" s="14"/>
      <c r="J49" s="14"/>
      <c r="K49" s="14"/>
      <c r="L49" s="14"/>
      <c r="M49" s="14"/>
      <c r="N49" s="14"/>
      <c r="O49" s="14"/>
      <c r="P49" s="14"/>
      <c r="Q49" s="14"/>
      <c r="R49" s="14"/>
      <c r="S49" s="14"/>
      <c r="T49" s="14"/>
      <c r="U49" s="18" t="s">
        <v>197</v>
      </c>
      <c r="V49" s="17">
        <v>5.66</v>
      </c>
      <c r="W49" s="14"/>
      <c r="X49" s="15"/>
      <c r="Y49" s="15"/>
    </row>
    <row r="50" spans="2:25">
      <c r="B50" s="14"/>
      <c r="C50" s="14"/>
      <c r="D50" s="14"/>
      <c r="E50" s="14"/>
      <c r="F50" s="14"/>
      <c r="G50" s="14"/>
      <c r="H50" s="14"/>
      <c r="I50" s="14"/>
      <c r="J50" s="14"/>
      <c r="K50" s="14"/>
      <c r="L50" s="14"/>
      <c r="M50" s="14"/>
      <c r="N50" s="14"/>
      <c r="O50" s="14"/>
      <c r="P50" s="14"/>
      <c r="Q50" s="14"/>
      <c r="R50" s="14"/>
      <c r="S50" s="14"/>
      <c r="T50" s="14"/>
      <c r="U50" s="19" t="s">
        <v>890</v>
      </c>
      <c r="V50" s="17">
        <v>5.66</v>
      </c>
      <c r="W50" s="14"/>
      <c r="X50" s="15"/>
      <c r="Y50" s="15"/>
    </row>
    <row r="51" spans="2:25">
      <c r="B51" s="14"/>
      <c r="C51" s="14"/>
      <c r="D51" s="14"/>
      <c r="E51" s="14"/>
      <c r="F51" s="14"/>
      <c r="G51" s="14"/>
      <c r="H51" s="14"/>
      <c r="I51" s="14"/>
      <c r="J51" s="14"/>
      <c r="K51" s="14"/>
      <c r="L51" s="14"/>
      <c r="M51" s="14"/>
      <c r="N51" s="14"/>
      <c r="O51" s="14"/>
      <c r="P51" s="14"/>
      <c r="Q51" s="14"/>
      <c r="R51" s="14"/>
      <c r="S51" s="14"/>
      <c r="T51" s="14"/>
      <c r="U51" s="18" t="s">
        <v>203</v>
      </c>
      <c r="V51" s="17">
        <v>3.39</v>
      </c>
      <c r="W51" s="14"/>
      <c r="X51" s="15"/>
      <c r="Y51" s="15"/>
    </row>
    <row r="52" spans="2:25">
      <c r="B52" s="14"/>
      <c r="C52" s="14"/>
      <c r="D52" s="14"/>
      <c r="E52" s="14"/>
      <c r="F52" s="14"/>
      <c r="G52" s="14"/>
      <c r="H52" s="14"/>
      <c r="I52" s="14"/>
      <c r="J52" s="14"/>
      <c r="K52" s="14"/>
      <c r="L52" s="14"/>
      <c r="M52" s="14"/>
      <c r="N52" s="14"/>
      <c r="O52" s="14"/>
      <c r="P52" s="14"/>
      <c r="Q52" s="14"/>
      <c r="R52" s="14"/>
      <c r="S52" s="14"/>
      <c r="T52" s="14"/>
      <c r="U52" s="19" t="s">
        <v>891</v>
      </c>
      <c r="V52" s="17">
        <v>3.39</v>
      </c>
      <c r="W52" s="14"/>
      <c r="X52" s="15"/>
      <c r="Y52" s="15"/>
    </row>
    <row r="53" spans="2:25">
      <c r="B53" s="14"/>
      <c r="C53" s="14"/>
      <c r="D53" s="14"/>
      <c r="E53" s="14"/>
      <c r="F53" s="14"/>
      <c r="G53" s="14"/>
      <c r="H53" s="14"/>
      <c r="I53" s="14"/>
      <c r="J53" s="14"/>
      <c r="K53" s="14"/>
      <c r="L53" s="14"/>
      <c r="M53" s="14"/>
      <c r="N53" s="14"/>
      <c r="O53" s="14"/>
      <c r="P53" s="14"/>
      <c r="Q53" s="14"/>
      <c r="R53" s="14"/>
      <c r="S53" s="14"/>
      <c r="T53" s="14"/>
      <c r="U53" s="18" t="s">
        <v>206</v>
      </c>
      <c r="V53" s="17">
        <v>9.1999999999999993</v>
      </c>
      <c r="W53" s="14"/>
      <c r="X53" s="15"/>
      <c r="Y53" s="15"/>
    </row>
    <row r="54" spans="2:25">
      <c r="B54" s="14"/>
      <c r="C54" s="14"/>
      <c r="D54" s="14"/>
      <c r="E54" s="14"/>
      <c r="F54" s="14"/>
      <c r="G54" s="14"/>
      <c r="H54" s="14"/>
      <c r="I54" s="14"/>
      <c r="J54" s="14"/>
      <c r="K54" s="14"/>
      <c r="L54" s="14"/>
      <c r="M54" s="14"/>
      <c r="N54" s="14"/>
      <c r="O54" s="14"/>
      <c r="P54" s="14"/>
      <c r="Q54" s="14"/>
      <c r="R54" s="14"/>
      <c r="S54" s="14"/>
      <c r="T54" s="14"/>
      <c r="U54" s="19" t="s">
        <v>892</v>
      </c>
      <c r="V54" s="17">
        <v>9.1999999999999993</v>
      </c>
      <c r="W54" s="14"/>
      <c r="X54" s="15"/>
      <c r="Y54" s="15"/>
    </row>
    <row r="55" spans="2:25">
      <c r="B55" s="14"/>
      <c r="C55" s="14"/>
      <c r="D55" s="14"/>
      <c r="E55" s="14"/>
      <c r="F55" s="14"/>
      <c r="G55" s="14"/>
      <c r="H55" s="14"/>
      <c r="I55" s="14"/>
      <c r="J55" s="14"/>
      <c r="K55" s="14"/>
      <c r="L55" s="14"/>
      <c r="M55" s="14"/>
      <c r="N55" s="14"/>
      <c r="O55" s="14"/>
      <c r="P55" s="14"/>
      <c r="Q55" s="14"/>
      <c r="R55" s="14"/>
      <c r="S55" s="14"/>
      <c r="T55" s="14"/>
      <c r="U55" s="18" t="s">
        <v>33</v>
      </c>
      <c r="V55" s="17">
        <v>4.53</v>
      </c>
      <c r="W55" s="14"/>
      <c r="X55" s="15"/>
      <c r="Y55" s="15"/>
    </row>
    <row r="56" spans="2:25">
      <c r="B56" s="14"/>
      <c r="C56" s="14"/>
      <c r="D56" s="14"/>
      <c r="E56" s="14"/>
      <c r="F56" s="14"/>
      <c r="G56" s="14"/>
      <c r="H56" s="14"/>
      <c r="I56" s="14"/>
      <c r="J56" s="14"/>
      <c r="K56" s="14"/>
      <c r="L56" s="14"/>
      <c r="M56" s="14"/>
      <c r="N56" s="14"/>
      <c r="O56" s="14"/>
      <c r="P56" s="14"/>
      <c r="Q56" s="14"/>
      <c r="R56" s="14"/>
      <c r="S56" s="14"/>
      <c r="T56" s="14"/>
      <c r="U56" s="19" t="s">
        <v>893</v>
      </c>
      <c r="V56" s="17">
        <v>4.53</v>
      </c>
      <c r="W56" s="14"/>
      <c r="X56" s="15"/>
      <c r="Y56" s="15"/>
    </row>
    <row r="57" spans="2:25">
      <c r="B57" s="14"/>
      <c r="C57" s="14"/>
      <c r="D57" s="14"/>
      <c r="E57" s="14"/>
      <c r="F57" s="14"/>
      <c r="G57" s="14"/>
      <c r="H57" s="14"/>
      <c r="I57" s="14"/>
      <c r="J57" s="14"/>
      <c r="K57" s="14"/>
      <c r="L57" s="14"/>
      <c r="M57" s="14"/>
      <c r="N57" s="14"/>
      <c r="O57" s="14"/>
      <c r="P57" s="14"/>
      <c r="Q57" s="14"/>
      <c r="R57" s="14"/>
      <c r="S57" s="14"/>
      <c r="T57" s="14"/>
      <c r="U57" s="18" t="s">
        <v>249</v>
      </c>
      <c r="V57" s="17">
        <v>5.57</v>
      </c>
      <c r="W57" s="14"/>
      <c r="X57" s="15"/>
      <c r="Y57" s="15"/>
    </row>
    <row r="58" spans="2:25">
      <c r="B58" s="14"/>
      <c r="C58" s="14"/>
      <c r="D58" s="14"/>
      <c r="E58" s="14"/>
      <c r="F58" s="14"/>
      <c r="G58" s="14"/>
      <c r="H58" s="14"/>
      <c r="I58" s="14"/>
      <c r="J58" s="14"/>
      <c r="K58" s="14"/>
      <c r="L58" s="14"/>
      <c r="M58" s="14"/>
      <c r="N58" s="14"/>
      <c r="O58" s="14"/>
      <c r="P58" s="14"/>
      <c r="Q58" s="14"/>
      <c r="R58" s="14"/>
      <c r="S58" s="14"/>
      <c r="T58" s="14"/>
      <c r="U58" s="19" t="s">
        <v>894</v>
      </c>
      <c r="V58" s="17">
        <v>5.57</v>
      </c>
      <c r="W58" s="14"/>
      <c r="X58" s="15"/>
      <c r="Y58" s="15"/>
    </row>
    <row r="59" spans="2:25">
      <c r="B59" s="14"/>
      <c r="C59" s="14"/>
      <c r="D59" s="14"/>
      <c r="E59" s="14"/>
      <c r="F59" s="14"/>
      <c r="G59" s="14"/>
      <c r="H59" s="14"/>
      <c r="I59" s="14"/>
      <c r="J59" s="14"/>
      <c r="K59" s="14"/>
      <c r="L59" s="14"/>
      <c r="M59" s="14"/>
      <c r="N59" s="14"/>
      <c r="O59" s="14"/>
      <c r="P59" s="14"/>
      <c r="Q59" s="14"/>
      <c r="R59" s="14"/>
      <c r="S59" s="14"/>
      <c r="T59" s="14"/>
      <c r="U59" s="18" t="s">
        <v>246</v>
      </c>
      <c r="V59" s="17">
        <v>60.550000000000004</v>
      </c>
      <c r="W59" s="14"/>
      <c r="X59" s="15"/>
      <c r="Y59" s="15"/>
    </row>
    <row r="60" spans="2:25">
      <c r="B60" s="14"/>
      <c r="C60" s="14"/>
      <c r="D60" s="14"/>
      <c r="E60" s="14"/>
      <c r="F60" s="14"/>
      <c r="G60" s="14"/>
      <c r="H60" s="14"/>
      <c r="I60" s="14"/>
      <c r="J60" s="14"/>
      <c r="K60" s="14"/>
      <c r="L60" s="14"/>
      <c r="M60" s="14"/>
      <c r="N60" s="14"/>
      <c r="O60" s="14"/>
      <c r="P60" s="14"/>
      <c r="Q60" s="14"/>
      <c r="R60" s="14"/>
      <c r="S60" s="14"/>
      <c r="T60" s="14"/>
      <c r="U60" s="14"/>
      <c r="V60" s="14"/>
      <c r="W60" s="14"/>
      <c r="X60" s="15"/>
      <c r="Y60" s="15"/>
    </row>
    <row r="61" spans="2:25">
      <c r="B61" s="14"/>
      <c r="C61" s="14"/>
      <c r="D61" s="14"/>
      <c r="E61" s="14"/>
      <c r="F61" s="14"/>
      <c r="G61" s="14"/>
      <c r="H61" s="14"/>
      <c r="I61" s="14"/>
      <c r="J61" s="14"/>
      <c r="K61" s="14"/>
      <c r="L61" s="14"/>
      <c r="M61" s="14"/>
      <c r="N61" s="14"/>
      <c r="O61" s="14"/>
      <c r="P61" s="14"/>
      <c r="Q61" s="14"/>
      <c r="R61" s="14"/>
      <c r="S61" s="14"/>
      <c r="T61" s="14"/>
      <c r="U61" s="14"/>
      <c r="V61" s="14"/>
      <c r="W61" s="14"/>
      <c r="X61" s="15"/>
      <c r="Y61" s="15"/>
    </row>
    <row r="62" spans="2:25">
      <c r="B62" s="14"/>
      <c r="C62" s="14"/>
      <c r="D62" s="14"/>
      <c r="E62" s="14"/>
      <c r="F62" s="14"/>
      <c r="G62" s="14"/>
      <c r="H62" s="14"/>
      <c r="I62" s="14"/>
      <c r="J62" s="14"/>
      <c r="K62" s="14"/>
      <c r="L62" s="14"/>
      <c r="M62" s="14"/>
      <c r="N62" s="14"/>
      <c r="O62" s="14"/>
      <c r="P62" s="14"/>
      <c r="Q62" s="14"/>
      <c r="R62" s="14"/>
      <c r="S62" s="14"/>
      <c r="T62" s="14"/>
      <c r="U62" s="14"/>
      <c r="V62" s="14"/>
      <c r="W62" s="14"/>
      <c r="X62" s="15"/>
      <c r="Y62" s="15"/>
    </row>
    <row r="63" spans="2:25">
      <c r="B63" s="14"/>
      <c r="C63" s="14"/>
      <c r="D63" s="14"/>
      <c r="E63" s="14"/>
      <c r="F63" s="14"/>
      <c r="G63" s="14"/>
      <c r="H63" s="14"/>
      <c r="I63" s="14"/>
      <c r="J63" s="14"/>
      <c r="K63" s="14"/>
      <c r="L63" s="14"/>
      <c r="M63" s="14"/>
      <c r="N63" s="14"/>
      <c r="O63" s="14"/>
      <c r="P63" s="14"/>
      <c r="Q63" s="14"/>
      <c r="R63" s="14"/>
      <c r="S63" s="14"/>
      <c r="T63" s="14"/>
      <c r="U63" s="14"/>
      <c r="V63" s="14"/>
      <c r="W63" s="14"/>
      <c r="X63" s="15"/>
      <c r="Y63" s="15"/>
    </row>
    <row r="64" spans="2:25">
      <c r="B64" s="10"/>
      <c r="C64" s="10"/>
      <c r="D64" s="10"/>
      <c r="E64" s="10"/>
      <c r="F64" s="10"/>
      <c r="G64" s="10"/>
      <c r="H64" s="10"/>
      <c r="I64" s="10"/>
      <c r="J64" s="10"/>
      <c r="K64" s="10"/>
      <c r="L64" s="10"/>
      <c r="M64" s="10"/>
      <c r="N64" s="10"/>
      <c r="O64" s="10"/>
      <c r="P64" s="10"/>
      <c r="Q64" s="10"/>
      <c r="R64" s="10"/>
      <c r="S64" s="10"/>
      <c r="T64" s="10"/>
      <c r="U64" s="10"/>
      <c r="V64" s="10"/>
      <c r="W64" s="10"/>
      <c r="X64" s="15"/>
      <c r="Y64" s="15"/>
    </row>
    <row r="65" spans="2:25">
      <c r="B65" s="10"/>
      <c r="C65" s="10"/>
      <c r="D65" s="10"/>
      <c r="E65" s="10"/>
      <c r="F65" s="10"/>
      <c r="G65" s="10"/>
      <c r="H65" s="10"/>
      <c r="I65" s="10"/>
      <c r="J65" s="10"/>
      <c r="K65" s="10"/>
      <c r="L65" s="10"/>
      <c r="M65" s="10"/>
      <c r="N65" s="10"/>
      <c r="O65" s="10"/>
      <c r="P65" s="10"/>
      <c r="Q65" s="10"/>
      <c r="R65" s="10"/>
      <c r="S65" s="10"/>
      <c r="T65" s="10"/>
      <c r="U65" s="10"/>
      <c r="V65" s="10"/>
      <c r="W65" s="10"/>
      <c r="X65" s="10"/>
      <c r="Y65" s="10"/>
    </row>
    <row r="66" spans="2:25">
      <c r="B66" s="10"/>
      <c r="C66" s="10"/>
      <c r="D66" s="10"/>
      <c r="E66" s="10"/>
      <c r="F66" s="10"/>
      <c r="G66" s="10"/>
      <c r="H66" s="10"/>
      <c r="I66" s="10"/>
      <c r="J66" s="10"/>
      <c r="K66" s="10"/>
      <c r="L66" s="10"/>
      <c r="M66" s="10"/>
      <c r="N66" s="10"/>
      <c r="O66" s="10"/>
      <c r="P66" s="10"/>
      <c r="Q66" s="10"/>
      <c r="R66" s="10"/>
      <c r="S66" s="10"/>
      <c r="T66" s="10"/>
      <c r="U66" s="10"/>
      <c r="V66" s="10"/>
      <c r="W66" s="10"/>
      <c r="X66" s="10"/>
      <c r="Y66" s="10"/>
    </row>
    <row r="67" spans="2:25">
      <c r="B67" s="10"/>
      <c r="C67" s="10"/>
      <c r="D67" s="10"/>
      <c r="E67" s="10"/>
      <c r="F67" s="10"/>
      <c r="G67" s="10"/>
      <c r="H67" s="10"/>
      <c r="I67" s="10"/>
      <c r="J67" s="10"/>
      <c r="K67" s="10"/>
      <c r="L67" s="10"/>
      <c r="M67" s="10"/>
      <c r="N67" s="10"/>
      <c r="O67" s="10"/>
      <c r="P67" s="10"/>
      <c r="Q67" s="10"/>
      <c r="R67" s="10"/>
      <c r="S67" s="10"/>
      <c r="T67" s="10"/>
      <c r="U67" s="10"/>
      <c r="V67" s="10"/>
      <c r="W67" s="10"/>
      <c r="X67" s="10"/>
      <c r="Y67" s="10"/>
    </row>
    <row r="68" spans="2:25">
      <c r="B68" s="10"/>
      <c r="C68" s="10"/>
      <c r="D68" s="10"/>
      <c r="E68" s="10"/>
      <c r="F68" s="10"/>
      <c r="G68" s="10"/>
      <c r="H68" s="10"/>
      <c r="I68" s="10"/>
      <c r="J68" s="10"/>
      <c r="K68" s="10"/>
      <c r="L68" s="10"/>
      <c r="M68" s="10"/>
      <c r="N68" s="10"/>
      <c r="O68" s="10"/>
      <c r="P68" s="10"/>
      <c r="Q68" s="10"/>
      <c r="R68" s="10"/>
      <c r="S68" s="10"/>
      <c r="T68" s="10"/>
      <c r="U68" s="10"/>
      <c r="V68" s="10"/>
      <c r="W68" s="10"/>
      <c r="X68" s="10"/>
      <c r="Y68" s="10"/>
    </row>
    <row r="69" spans="2:25">
      <c r="B69" s="10"/>
      <c r="C69" s="10"/>
      <c r="D69" s="10"/>
      <c r="E69" s="10"/>
      <c r="F69" s="10"/>
      <c r="G69" s="10"/>
      <c r="H69" s="10"/>
      <c r="I69" s="10"/>
      <c r="J69" s="10"/>
      <c r="K69" s="10"/>
      <c r="L69" s="10"/>
      <c r="M69" s="10"/>
      <c r="N69" s="10"/>
      <c r="O69" s="10"/>
      <c r="P69" s="10"/>
      <c r="Q69" s="10"/>
      <c r="R69" s="10"/>
      <c r="S69" s="10"/>
      <c r="T69" s="10"/>
      <c r="U69" s="10"/>
      <c r="V69" s="10"/>
      <c r="W69" s="10"/>
      <c r="X69" s="10"/>
      <c r="Y69" s="10"/>
    </row>
    <row r="70" spans="2:25">
      <c r="B70" s="10"/>
      <c r="C70" s="10"/>
      <c r="D70" s="10"/>
      <c r="E70" s="10"/>
      <c r="F70" s="10"/>
      <c r="G70" s="10"/>
      <c r="H70" s="10"/>
      <c r="I70" s="10"/>
      <c r="J70" s="10"/>
      <c r="K70" s="10"/>
      <c r="L70" s="10"/>
      <c r="M70" s="10"/>
      <c r="N70" s="10"/>
      <c r="O70" s="10"/>
      <c r="P70" s="10"/>
      <c r="Q70" s="10"/>
      <c r="R70" s="10"/>
      <c r="S70" s="10"/>
      <c r="T70" s="10"/>
      <c r="U70" s="10"/>
      <c r="V70" s="10"/>
      <c r="W70" s="10"/>
      <c r="X70" s="10"/>
      <c r="Y70" s="10"/>
    </row>
    <row r="71" spans="2:25">
      <c r="B71" s="10"/>
      <c r="C71" s="10"/>
      <c r="D71" s="10"/>
      <c r="E71" s="10"/>
      <c r="F71" s="10"/>
      <c r="G71" s="10"/>
      <c r="H71" s="10"/>
      <c r="I71" s="10"/>
      <c r="J71" s="10"/>
      <c r="K71" s="10"/>
      <c r="L71" s="10"/>
      <c r="M71" s="10"/>
      <c r="N71" s="10"/>
      <c r="O71" s="10"/>
      <c r="P71" s="10"/>
      <c r="Q71" s="10"/>
      <c r="R71" s="10"/>
      <c r="S71" s="10"/>
      <c r="T71" s="10"/>
      <c r="U71" s="10"/>
      <c r="V71" s="10"/>
      <c r="W71" s="10"/>
      <c r="X71" s="10"/>
      <c r="Y71" s="10"/>
    </row>
    <row r="72" spans="2:25">
      <c r="B72" s="10"/>
      <c r="C72" s="10"/>
      <c r="D72" s="10"/>
      <c r="E72" s="10"/>
      <c r="F72" s="10"/>
      <c r="G72" s="10"/>
      <c r="H72" s="10"/>
      <c r="I72" s="10"/>
      <c r="J72" s="10"/>
      <c r="K72" s="10"/>
      <c r="L72" s="10"/>
      <c r="M72" s="10"/>
      <c r="N72" s="10"/>
      <c r="O72" s="10"/>
      <c r="P72" s="10"/>
      <c r="Q72" s="10"/>
      <c r="R72" s="10"/>
      <c r="S72" s="10"/>
      <c r="T72" s="10"/>
      <c r="U72" s="10"/>
      <c r="V72" s="10"/>
      <c r="W72" s="10"/>
      <c r="X72" s="10"/>
      <c r="Y72" s="10"/>
    </row>
    <row r="73" spans="2:25">
      <c r="B73" s="10"/>
      <c r="C73" s="10"/>
      <c r="D73" s="10"/>
      <c r="E73" s="10"/>
      <c r="F73" s="10"/>
      <c r="G73" s="10"/>
      <c r="H73" s="10"/>
      <c r="I73" s="10"/>
      <c r="J73" s="10"/>
      <c r="K73" s="10"/>
      <c r="L73" s="10"/>
      <c r="M73" s="10"/>
      <c r="N73" s="10"/>
      <c r="O73" s="10"/>
      <c r="P73" s="10"/>
      <c r="Q73" s="10"/>
      <c r="R73" s="10"/>
      <c r="S73" s="10"/>
      <c r="T73" s="10"/>
      <c r="U73" s="10"/>
      <c r="V73" s="10"/>
      <c r="W73" s="10"/>
      <c r="X73" s="10"/>
      <c r="Y73" s="10"/>
    </row>
    <row r="74" spans="2:25">
      <c r="B74" s="10"/>
      <c r="C74" s="10"/>
      <c r="D74" s="10"/>
      <c r="E74" s="10"/>
      <c r="F74" s="10"/>
      <c r="G74" s="10"/>
      <c r="H74" s="10"/>
      <c r="I74" s="10"/>
      <c r="J74" s="10"/>
      <c r="K74" s="10"/>
      <c r="L74" s="10"/>
      <c r="M74" s="10"/>
      <c r="N74" s="10"/>
      <c r="O74" s="10"/>
      <c r="P74" s="10"/>
      <c r="Q74" s="10"/>
      <c r="R74" s="10"/>
      <c r="S74" s="10"/>
      <c r="T74" s="10"/>
      <c r="U74" s="10"/>
      <c r="V74" s="10"/>
      <c r="W74" s="10"/>
      <c r="X74" s="10"/>
      <c r="Y74" s="10"/>
    </row>
    <row r="75" spans="2:25">
      <c r="B75" s="10"/>
      <c r="C75" s="10"/>
      <c r="D75" s="10"/>
      <c r="E75" s="10"/>
      <c r="F75" s="10"/>
      <c r="G75" s="10"/>
      <c r="H75" s="10"/>
      <c r="I75" s="10"/>
      <c r="J75" s="10"/>
      <c r="K75" s="10"/>
      <c r="L75" s="10"/>
      <c r="M75" s="10"/>
      <c r="N75" s="10"/>
      <c r="O75" s="10"/>
      <c r="P75" s="10"/>
      <c r="Q75" s="10"/>
      <c r="R75" s="10"/>
      <c r="S75" s="10"/>
      <c r="T75" s="10"/>
      <c r="U75" s="10"/>
      <c r="V75" s="10"/>
      <c r="W75" s="10"/>
      <c r="X75" s="10"/>
      <c r="Y75" s="10"/>
    </row>
    <row r="76" spans="2:25">
      <c r="B76" s="10"/>
      <c r="C76" s="10"/>
      <c r="D76" s="10"/>
      <c r="E76" s="10"/>
      <c r="F76" s="10"/>
      <c r="G76" s="10"/>
      <c r="H76" s="10"/>
      <c r="I76" s="10"/>
      <c r="J76" s="10"/>
      <c r="K76" s="10"/>
      <c r="L76" s="10"/>
      <c r="M76" s="10"/>
      <c r="N76" s="10"/>
      <c r="O76" s="10"/>
      <c r="P76" s="10"/>
      <c r="Q76" s="10"/>
      <c r="R76" s="10"/>
      <c r="S76" s="10"/>
      <c r="T76" s="10"/>
      <c r="U76" s="10"/>
      <c r="V76" s="10"/>
      <c r="W76" s="10"/>
      <c r="X76" s="10"/>
      <c r="Y76" s="10"/>
    </row>
    <row r="77" spans="2:25">
      <c r="B77" s="10"/>
      <c r="C77" s="10"/>
      <c r="D77" s="10"/>
      <c r="E77" s="10"/>
      <c r="F77" s="10"/>
      <c r="G77" s="10"/>
      <c r="H77" s="10"/>
      <c r="I77" s="10"/>
      <c r="J77" s="10"/>
      <c r="K77" s="10"/>
      <c r="L77" s="10"/>
      <c r="M77" s="10"/>
      <c r="N77" s="10"/>
      <c r="O77" s="10"/>
      <c r="P77" s="10"/>
      <c r="Q77" s="10"/>
      <c r="R77" s="10"/>
      <c r="S77" s="10"/>
      <c r="T77" s="10"/>
      <c r="U77" s="10"/>
      <c r="V77" s="10"/>
      <c r="W77" s="10"/>
      <c r="X77" s="10"/>
      <c r="Y77" s="10"/>
    </row>
    <row r="78" spans="2:25">
      <c r="B78" s="10"/>
      <c r="C78" s="10"/>
      <c r="D78" s="10"/>
      <c r="E78" s="10"/>
      <c r="F78" s="10"/>
      <c r="G78" s="10"/>
      <c r="H78" s="10"/>
      <c r="I78" s="10"/>
      <c r="J78" s="10"/>
      <c r="K78" s="10"/>
      <c r="L78" s="10"/>
      <c r="M78" s="10"/>
      <c r="N78" s="10"/>
      <c r="O78" s="10"/>
      <c r="P78" s="10"/>
      <c r="Q78" s="10"/>
      <c r="R78" s="10"/>
      <c r="S78" s="10"/>
      <c r="T78" s="10"/>
      <c r="U78" s="10"/>
      <c r="V78" s="10"/>
      <c r="W78" s="10"/>
      <c r="X78" s="10"/>
      <c r="Y78" s="10"/>
    </row>
    <row r="79" spans="2:25">
      <c r="B79" s="10"/>
      <c r="C79" s="10"/>
      <c r="D79" s="10"/>
      <c r="E79" s="10"/>
      <c r="F79" s="10"/>
      <c r="G79" s="10"/>
      <c r="H79" s="10"/>
      <c r="I79" s="10"/>
      <c r="J79" s="10"/>
      <c r="K79" s="10"/>
      <c r="L79" s="10"/>
      <c r="M79" s="10"/>
      <c r="N79" s="10"/>
      <c r="O79" s="10"/>
      <c r="P79" s="10"/>
      <c r="Q79" s="10"/>
      <c r="R79" s="10"/>
      <c r="S79" s="10"/>
      <c r="T79" s="10"/>
      <c r="U79" s="10"/>
      <c r="V79" s="10"/>
      <c r="W79" s="10"/>
      <c r="X79" s="10"/>
      <c r="Y79" s="10"/>
    </row>
    <row r="80" spans="2:25">
      <c r="B80" s="10"/>
      <c r="C80" s="10"/>
      <c r="D80" s="10"/>
      <c r="E80" s="10"/>
      <c r="F80" s="10"/>
      <c r="G80" s="10"/>
      <c r="H80" s="10"/>
      <c r="I80" s="10"/>
      <c r="J80" s="10"/>
      <c r="K80" s="10"/>
      <c r="L80" s="10"/>
      <c r="M80" s="10"/>
      <c r="N80" s="10"/>
      <c r="O80" s="10"/>
      <c r="P80" s="10"/>
      <c r="Q80" s="10"/>
      <c r="R80" s="10"/>
      <c r="S80" s="10"/>
      <c r="T80" s="10"/>
      <c r="U80" s="10"/>
      <c r="V80" s="10"/>
      <c r="W80" s="10"/>
      <c r="X80" s="10"/>
      <c r="Y80" s="10"/>
    </row>
    <row r="81" spans="2:25">
      <c r="B81" s="10"/>
      <c r="C81" s="10"/>
      <c r="D81" s="10"/>
      <c r="E81" s="10"/>
      <c r="F81" s="10"/>
      <c r="G81" s="10"/>
      <c r="H81" s="10"/>
      <c r="I81" s="10"/>
      <c r="J81" s="10"/>
      <c r="K81" s="10"/>
      <c r="L81" s="10"/>
      <c r="M81" s="10"/>
      <c r="N81" s="10"/>
      <c r="O81" s="10"/>
      <c r="P81" s="10"/>
      <c r="Q81" s="10"/>
      <c r="R81" s="10"/>
      <c r="S81" s="10"/>
      <c r="T81" s="10"/>
      <c r="U81" s="10"/>
      <c r="V81" s="10"/>
      <c r="W81" s="10"/>
      <c r="X81" s="10"/>
      <c r="Y81" s="10"/>
    </row>
    <row r="82" spans="2:25">
      <c r="B82" s="10"/>
      <c r="C82" s="10"/>
      <c r="D82" s="10"/>
      <c r="E82" s="10"/>
      <c r="F82" s="10"/>
      <c r="G82" s="10"/>
      <c r="H82" s="10"/>
      <c r="I82" s="10"/>
      <c r="J82" s="10"/>
      <c r="K82" s="10"/>
      <c r="L82" s="10"/>
      <c r="M82" s="10"/>
      <c r="N82" s="10"/>
      <c r="O82" s="10"/>
      <c r="P82" s="10"/>
      <c r="Q82" s="10"/>
      <c r="R82" s="10"/>
      <c r="S82" s="10"/>
      <c r="T82" s="10"/>
      <c r="U82" s="10"/>
      <c r="V82" s="10"/>
      <c r="W82" s="10"/>
      <c r="X82" s="10"/>
      <c r="Y82" s="10"/>
    </row>
    <row r="83" spans="2:25">
      <c r="B83" s="10"/>
      <c r="C83" s="10"/>
      <c r="D83" s="10"/>
      <c r="E83" s="10"/>
      <c r="F83" s="10"/>
      <c r="G83" s="10"/>
      <c r="H83" s="10"/>
      <c r="I83" s="10"/>
      <c r="J83" s="10"/>
      <c r="K83" s="10"/>
      <c r="L83" s="10"/>
      <c r="M83" s="10"/>
      <c r="N83" s="10"/>
      <c r="O83" s="10"/>
      <c r="P83" s="10"/>
      <c r="Q83" s="10"/>
      <c r="R83" s="10"/>
      <c r="S83" s="10"/>
      <c r="T83" s="10"/>
      <c r="U83" s="10"/>
      <c r="V83" s="10"/>
      <c r="W83" s="10"/>
      <c r="X83" s="10"/>
      <c r="Y83" s="10"/>
    </row>
    <row r="84" spans="2:25">
      <c r="B84" s="10"/>
      <c r="C84" s="10"/>
      <c r="D84" s="10"/>
      <c r="E84" s="10"/>
      <c r="F84" s="10"/>
      <c r="G84" s="10"/>
      <c r="H84" s="10"/>
      <c r="I84" s="10"/>
      <c r="J84" s="10"/>
      <c r="K84" s="10"/>
      <c r="L84" s="10"/>
      <c r="M84" s="10"/>
      <c r="N84" s="10"/>
      <c r="O84" s="10"/>
      <c r="P84" s="10"/>
      <c r="Q84" s="10"/>
      <c r="R84" s="10"/>
      <c r="S84" s="10"/>
      <c r="T84" s="10"/>
      <c r="U84" s="10"/>
      <c r="V84" s="10"/>
      <c r="W84" s="10"/>
      <c r="X84" s="10"/>
      <c r="Y84" s="10"/>
    </row>
    <row r="85" spans="2:25">
      <c r="B85" s="10"/>
      <c r="C85" s="10"/>
      <c r="D85" s="10"/>
      <c r="E85" s="10"/>
      <c r="F85" s="10"/>
      <c r="G85" s="10"/>
      <c r="H85" s="10"/>
      <c r="I85" s="10"/>
      <c r="J85" s="10"/>
      <c r="K85" s="10"/>
      <c r="L85" s="10"/>
      <c r="M85" s="10"/>
      <c r="N85" s="10"/>
      <c r="O85" s="10"/>
      <c r="P85" s="10"/>
      <c r="Q85" s="10"/>
      <c r="R85" s="10"/>
      <c r="S85" s="10"/>
      <c r="T85" s="10"/>
      <c r="U85" s="10"/>
      <c r="V85" s="10"/>
      <c r="W85" s="10"/>
      <c r="X85" s="10"/>
      <c r="Y85" s="10"/>
    </row>
    <row r="86" spans="2:25">
      <c r="B86" s="10"/>
      <c r="C86" s="10"/>
      <c r="D86" s="10"/>
      <c r="E86" s="10"/>
      <c r="F86" s="10"/>
      <c r="G86" s="10"/>
      <c r="H86" s="10"/>
      <c r="I86" s="10"/>
      <c r="J86" s="10"/>
      <c r="K86" s="10"/>
      <c r="L86" s="10"/>
      <c r="M86" s="10"/>
      <c r="N86" s="10"/>
      <c r="O86" s="10"/>
      <c r="P86" s="10"/>
      <c r="Q86" s="10"/>
      <c r="R86" s="10"/>
      <c r="S86" s="10"/>
      <c r="T86" s="10"/>
      <c r="U86" s="10"/>
      <c r="V86" s="10"/>
      <c r="W86" s="10"/>
      <c r="X86" s="10"/>
      <c r="Y86" s="10"/>
    </row>
    <row r="87" spans="2:25">
      <c r="B87" s="10"/>
      <c r="C87" s="10"/>
      <c r="D87" s="10"/>
      <c r="E87" s="10"/>
      <c r="F87" s="10"/>
      <c r="G87" s="10"/>
      <c r="H87" s="10"/>
      <c r="I87" s="10"/>
      <c r="J87" s="10"/>
      <c r="K87" s="10"/>
      <c r="L87" s="10"/>
      <c r="M87" s="10"/>
      <c r="N87" s="10"/>
      <c r="O87" s="10"/>
      <c r="P87" s="10"/>
      <c r="Q87" s="10"/>
      <c r="R87" s="10"/>
      <c r="S87" s="10"/>
      <c r="T87" s="10"/>
      <c r="U87" s="10"/>
      <c r="V87" s="10"/>
      <c r="W87" s="10"/>
      <c r="X87" s="10"/>
      <c r="Y87" s="10"/>
    </row>
    <row r="88" spans="2:25">
      <c r="B88" s="10"/>
      <c r="C88" s="10"/>
      <c r="D88" s="10"/>
      <c r="E88" s="10"/>
      <c r="F88" s="10"/>
      <c r="G88" s="10"/>
      <c r="H88" s="10"/>
      <c r="I88" s="10"/>
      <c r="J88" s="10"/>
      <c r="K88" s="10"/>
      <c r="L88" s="10"/>
      <c r="M88" s="10"/>
      <c r="N88" s="10"/>
      <c r="O88" s="10"/>
      <c r="P88" s="10"/>
      <c r="Q88" s="10"/>
      <c r="R88" s="10"/>
      <c r="S88" s="10"/>
      <c r="T88" s="10"/>
      <c r="U88" s="10"/>
      <c r="V88" s="10"/>
      <c r="W88" s="10"/>
      <c r="X88" s="10"/>
      <c r="Y88" s="10"/>
    </row>
    <row r="89" spans="2:25">
      <c r="B89" s="10"/>
      <c r="C89" s="10"/>
      <c r="D89" s="10"/>
      <c r="E89" s="10"/>
      <c r="F89" s="10"/>
      <c r="G89" s="10"/>
      <c r="H89" s="10"/>
      <c r="I89" s="10"/>
      <c r="J89" s="10"/>
      <c r="K89" s="10"/>
      <c r="L89" s="10"/>
      <c r="M89" s="10"/>
      <c r="N89" s="10"/>
      <c r="O89" s="10"/>
      <c r="P89" s="10"/>
      <c r="Q89" s="10"/>
      <c r="R89" s="10"/>
      <c r="S89" s="10"/>
      <c r="T89" s="10"/>
      <c r="U89" s="10"/>
      <c r="V89" s="10"/>
      <c r="W89" s="10"/>
      <c r="X89" s="10"/>
      <c r="Y89" s="10"/>
    </row>
    <row r="90" spans="2:25">
      <c r="B90" s="10"/>
      <c r="C90" s="10"/>
      <c r="D90" s="10"/>
      <c r="E90" s="10"/>
      <c r="F90" s="10"/>
      <c r="G90" s="10"/>
      <c r="H90" s="10"/>
      <c r="I90" s="10"/>
      <c r="J90" s="10"/>
      <c r="K90" s="10"/>
      <c r="L90" s="10"/>
      <c r="M90" s="10"/>
      <c r="N90" s="10"/>
      <c r="O90" s="10"/>
      <c r="P90" s="10"/>
      <c r="Q90" s="10"/>
      <c r="R90" s="10"/>
      <c r="S90" s="10"/>
      <c r="T90" s="10"/>
      <c r="U90" s="10"/>
      <c r="V90" s="10"/>
      <c r="W90" s="10"/>
      <c r="X90" s="10"/>
      <c r="Y90" s="10"/>
    </row>
    <row r="91" spans="2:25">
      <c r="B91" s="10"/>
      <c r="C91" s="10"/>
      <c r="D91" s="10"/>
      <c r="E91" s="10"/>
      <c r="F91" s="10"/>
      <c r="G91" s="10"/>
      <c r="H91" s="10"/>
      <c r="I91" s="10"/>
      <c r="J91" s="10"/>
      <c r="K91" s="10"/>
      <c r="L91" s="10"/>
      <c r="M91" s="10"/>
      <c r="N91" s="10"/>
      <c r="O91" s="10"/>
      <c r="P91" s="10"/>
      <c r="Q91" s="10"/>
      <c r="R91" s="10"/>
      <c r="S91" s="10"/>
      <c r="T91" s="10"/>
      <c r="U91" s="10"/>
      <c r="V91" s="10"/>
      <c r="W91" s="10"/>
      <c r="X91" s="10"/>
      <c r="Y91" s="10"/>
    </row>
    <row r="92" spans="2:25">
      <c r="B92" s="10"/>
      <c r="C92" s="10"/>
      <c r="D92" s="10"/>
      <c r="E92" s="10"/>
      <c r="F92" s="10"/>
      <c r="G92" s="10"/>
      <c r="H92" s="10"/>
      <c r="I92" s="10"/>
      <c r="J92" s="10"/>
      <c r="K92" s="10"/>
      <c r="L92" s="10"/>
      <c r="M92" s="10"/>
      <c r="N92" s="10"/>
      <c r="O92" s="10"/>
      <c r="P92" s="10"/>
      <c r="Q92" s="10"/>
      <c r="R92" s="10"/>
      <c r="S92" s="10"/>
      <c r="T92" s="10"/>
      <c r="U92" s="10"/>
      <c r="V92" s="10"/>
      <c r="W92" s="10"/>
      <c r="X92" s="10"/>
      <c r="Y92" s="10"/>
    </row>
    <row r="93" spans="2:25">
      <c r="B93" s="10"/>
      <c r="C93" s="10"/>
      <c r="D93" s="10"/>
      <c r="E93" s="10"/>
      <c r="F93" s="10"/>
      <c r="G93" s="10"/>
      <c r="H93" s="10"/>
      <c r="I93" s="10"/>
      <c r="J93" s="10"/>
      <c r="K93" s="10"/>
      <c r="L93" s="10"/>
      <c r="M93" s="10"/>
      <c r="N93" s="10"/>
      <c r="O93" s="10"/>
      <c r="P93" s="10"/>
      <c r="Q93" s="10"/>
      <c r="R93" s="10"/>
      <c r="S93" s="10"/>
      <c r="T93" s="10"/>
      <c r="U93" s="10"/>
      <c r="V93" s="10"/>
      <c r="W93" s="10"/>
      <c r="X93" s="10"/>
      <c r="Y93" s="10"/>
    </row>
    <row r="94" spans="2:25">
      <c r="B94" s="10"/>
      <c r="C94" s="10"/>
      <c r="D94" s="10"/>
      <c r="E94" s="10"/>
      <c r="F94" s="10"/>
      <c r="G94" s="10"/>
      <c r="H94" s="10"/>
      <c r="I94" s="10"/>
      <c r="J94" s="10"/>
      <c r="K94" s="10"/>
      <c r="L94" s="10"/>
      <c r="M94" s="10"/>
      <c r="N94" s="10"/>
      <c r="O94" s="10"/>
      <c r="P94" s="10"/>
      <c r="Q94" s="10"/>
      <c r="R94" s="10"/>
      <c r="S94" s="10"/>
      <c r="T94" s="10"/>
      <c r="U94" s="10"/>
      <c r="V94" s="10"/>
      <c r="W94" s="10"/>
      <c r="X94" s="10"/>
      <c r="Y94" s="10"/>
    </row>
    <row r="95" spans="2:25">
      <c r="B95" s="10"/>
      <c r="C95" s="10"/>
      <c r="D95" s="10"/>
      <c r="E95" s="10"/>
      <c r="F95" s="10"/>
      <c r="G95" s="10"/>
      <c r="H95" s="10"/>
      <c r="I95" s="10"/>
      <c r="J95" s="10"/>
      <c r="K95" s="10"/>
      <c r="L95" s="10"/>
      <c r="M95" s="10"/>
      <c r="N95" s="10"/>
      <c r="O95" s="10"/>
      <c r="P95" s="10"/>
      <c r="Q95" s="10"/>
      <c r="R95" s="10"/>
      <c r="S95" s="10"/>
      <c r="T95" s="10"/>
      <c r="U95" s="10"/>
      <c r="V95" s="10"/>
      <c r="W95" s="10"/>
      <c r="X95" s="10"/>
      <c r="Y95" s="10"/>
    </row>
    <row r="96" spans="2:25">
      <c r="B96" s="10"/>
      <c r="C96" s="10"/>
      <c r="D96" s="10"/>
      <c r="E96" s="10"/>
      <c r="F96" s="10"/>
      <c r="G96" s="10"/>
      <c r="H96" s="10"/>
      <c r="I96" s="10"/>
      <c r="J96" s="10"/>
      <c r="K96" s="10"/>
      <c r="L96" s="10"/>
      <c r="M96" s="10"/>
      <c r="N96" s="10"/>
      <c r="O96" s="10"/>
      <c r="P96" s="10"/>
      <c r="Q96" s="10"/>
      <c r="R96" s="10"/>
      <c r="S96" s="10"/>
      <c r="T96" s="10"/>
      <c r="U96" s="10"/>
      <c r="V96" s="10"/>
      <c r="W96" s="10"/>
      <c r="X96" s="10"/>
      <c r="Y96" s="10"/>
    </row>
    <row r="97" spans="2:25">
      <c r="B97" s="10"/>
      <c r="C97" s="10"/>
      <c r="D97" s="10"/>
      <c r="E97" s="10"/>
      <c r="F97" s="10"/>
      <c r="G97" s="10"/>
      <c r="H97" s="10"/>
      <c r="I97" s="10"/>
      <c r="J97" s="10"/>
      <c r="K97" s="10"/>
      <c r="L97" s="10"/>
      <c r="M97" s="10"/>
      <c r="N97" s="10"/>
      <c r="O97" s="10"/>
      <c r="P97" s="10"/>
      <c r="Q97" s="10"/>
      <c r="R97" s="10"/>
      <c r="S97" s="10"/>
      <c r="T97" s="10"/>
      <c r="U97" s="10"/>
      <c r="V97" s="10"/>
      <c r="W97" s="10"/>
      <c r="X97" s="10"/>
      <c r="Y97" s="10"/>
    </row>
    <row r="98" spans="2:25">
      <c r="B98" s="10"/>
      <c r="C98" s="10"/>
      <c r="D98" s="10"/>
      <c r="E98" s="10"/>
      <c r="F98" s="10"/>
      <c r="G98" s="10"/>
      <c r="H98" s="10"/>
      <c r="I98" s="10"/>
      <c r="J98" s="10"/>
      <c r="K98" s="10"/>
      <c r="L98" s="10"/>
      <c r="M98" s="10"/>
      <c r="N98" s="10"/>
      <c r="O98" s="10"/>
      <c r="P98" s="10"/>
      <c r="Q98" s="10"/>
      <c r="R98" s="10"/>
      <c r="S98" s="10"/>
      <c r="T98" s="10"/>
      <c r="U98" s="10"/>
      <c r="V98" s="10"/>
      <c r="W98" s="10"/>
      <c r="X98" s="10"/>
      <c r="Y98" s="10"/>
    </row>
    <row r="99" spans="2:25">
      <c r="B99" s="10"/>
      <c r="C99" s="10"/>
      <c r="D99" s="10"/>
      <c r="E99" s="10"/>
      <c r="F99" s="10"/>
      <c r="G99" s="10"/>
      <c r="H99" s="10"/>
      <c r="I99" s="10"/>
      <c r="J99" s="10"/>
      <c r="K99" s="10"/>
      <c r="L99" s="10"/>
      <c r="M99" s="10"/>
      <c r="N99" s="10"/>
      <c r="O99" s="10"/>
      <c r="P99" s="10"/>
      <c r="Q99" s="10"/>
      <c r="R99" s="10"/>
      <c r="S99" s="10"/>
      <c r="T99" s="10"/>
      <c r="U99" s="10"/>
      <c r="V99" s="10"/>
      <c r="W99" s="10"/>
      <c r="X99" s="10"/>
      <c r="Y99" s="10"/>
    </row>
    <row r="100" spans="2:25">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row>
    <row r="101" spans="2:25">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row>
    <row r="102" spans="2:25">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row>
    <row r="103" spans="2:25">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row>
    <row r="104" spans="2:25">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row>
    <row r="105" spans="2:25">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row>
    <row r="106" spans="2:25">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row>
    <row r="107" spans="2:25">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row>
    <row r="108" spans="2:25">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row>
    <row r="109" spans="2:25">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row>
    <row r="110" spans="2:25">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row>
    <row r="111" spans="2:25">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row>
    <row r="112" spans="2:25">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row>
    <row r="113" spans="2:25">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row>
    <row r="114" spans="2:25">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row>
    <row r="115" spans="2:25">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row>
    <row r="116" spans="2:25">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row>
    <row r="117" spans="2:25">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row>
    <row r="118" spans="2:25">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row>
    <row r="119" spans="2:25">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row>
    <row r="120" spans="2:25">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row>
    <row r="121" spans="2:25">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row>
    <row r="122" spans="2:25">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row>
    <row r="123" spans="2:25">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row>
    <row r="124" spans="2:25">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row>
    <row r="125" spans="2:25">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row>
    <row r="126" spans="2:25">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row>
    <row r="127" spans="2:25">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row>
    <row r="128" spans="2:25">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row>
    <row r="129" spans="2:25">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row>
    <row r="130" spans="2:25">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row>
    <row r="131" spans="2:25">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row>
    <row r="132" spans="2:25">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row>
    <row r="133" spans="2:25">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row>
    <row r="134" spans="2:25">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row>
    <row r="135" spans="2:25">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row>
    <row r="136" spans="2:25">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row>
    <row r="137" spans="2:25">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row>
    <row r="138" spans="2:25">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row>
    <row r="139" spans="2:25">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row>
    <row r="140" spans="2:25">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row>
    <row r="141" spans="2:25">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row>
    <row r="142" spans="2:25">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row>
    <row r="143" spans="2:25">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row>
    <row r="144" spans="2:25">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row>
    <row r="145" spans="2:25">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row>
    <row r="146" spans="2:25">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row>
    <row r="147" spans="2:25">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row>
    <row r="148" spans="2:25">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row>
    <row r="149" spans="2:25">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row>
    <row r="150" spans="2:25">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row>
    <row r="151" spans="2:25">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row>
    <row r="152" spans="2:25">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row>
    <row r="153" spans="2:25">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row>
    <row r="154" spans="2:25">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row>
    <row r="155" spans="2:25">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row>
    <row r="156" spans="2:25">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row>
    <row r="157" spans="2:25">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row>
    <row r="158" spans="2:25">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row>
    <row r="159" spans="2:25">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row>
    <row r="160" spans="2:25">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row>
    <row r="161" spans="2:25">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row>
    <row r="162" spans="2:25">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row>
    <row r="163" spans="2:25">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row>
    <row r="164" spans="2:25">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row>
    <row r="165" spans="2:25">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row>
    <row r="166" spans="2:25">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row>
    <row r="167" spans="2:25">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row>
    <row r="168" spans="2:25">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row>
    <row r="169" spans="2:25">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row>
    <row r="170" spans="2:25">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row>
    <row r="171" spans="2:25">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row>
    <row r="172" spans="2:25">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row>
    <row r="173" spans="2:25">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row>
    <row r="174" spans="2:25">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row>
    <row r="175" spans="2:25">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row>
    <row r="176" spans="2:25">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row>
    <row r="177" spans="2:25">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row>
    <row r="178" spans="2:25">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row>
    <row r="179" spans="2:25">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row>
    <row r="180" spans="2:25">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row>
    <row r="181" spans="2:25">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row>
    <row r="182" spans="2:25">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row>
    <row r="183" spans="2:25">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row>
    <row r="184" spans="2:25">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row>
    <row r="185" spans="2:25">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row>
    <row r="186" spans="2:25">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row>
    <row r="187" spans="2:25">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row>
    <row r="188" spans="2:25">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row>
    <row r="189" spans="2:25">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row>
    <row r="190" spans="2:25">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row>
    <row r="191" spans="2:25">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row>
    <row r="192" spans="2:25">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row>
    <row r="193" spans="2:25">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row>
    <row r="194" spans="2:25">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row>
    <row r="195" spans="2:25">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row>
    <row r="196" spans="2:25">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row>
    <row r="197" spans="2:25">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row>
    <row r="198" spans="2:25">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row>
    <row r="199" spans="2:25">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row>
    <row r="200" spans="2:25">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row>
    <row r="201" spans="2:25">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row>
    <row r="202" spans="2:25">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row>
    <row r="203" spans="2:25">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row>
    <row r="204" spans="2:25">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row>
    <row r="205" spans="2:25">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row>
    <row r="206" spans="2:25">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row>
    <row r="207" spans="2:25">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row>
    <row r="208" spans="2:25">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row>
    <row r="209" spans="2:25">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row>
    <row r="210" spans="2:25">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row>
    <row r="211" spans="2:25">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row>
    <row r="212" spans="2:25">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row>
    <row r="213" spans="2:25">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row>
    <row r="214" spans="2:25">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row>
    <row r="215" spans="2:25">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row>
    <row r="216" spans="2:25">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row>
    <row r="217" spans="2:25">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row>
    <row r="218" spans="2:25">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row>
    <row r="219" spans="2:25">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row>
    <row r="220" spans="2:25">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row>
    <row r="221" spans="2:25">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row>
    <row r="222" spans="2:25">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row>
    <row r="223" spans="2:25">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row>
    <row r="224" spans="2:25">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row>
    <row r="225" spans="2:25">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row>
    <row r="226" spans="2:25">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row>
    <row r="227" spans="2:25">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row>
    <row r="228" spans="2:25">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row>
    <row r="229" spans="2:25">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row>
    <row r="230" spans="2:25">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row>
    <row r="231" spans="2:25">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row>
    <row r="232" spans="2:25">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row>
    <row r="233" spans="2:25">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row>
    <row r="234" spans="2:25">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row>
    <row r="235" spans="2:25">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row>
    <row r="236" spans="2:25">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row>
    <row r="237" spans="2:25">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row>
    <row r="238" spans="2:25">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row>
    <row r="239" spans="2:25">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row>
    <row r="240" spans="2:25">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row>
    <row r="241" spans="2:25">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row>
    <row r="242" spans="2:25">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row>
    <row r="243" spans="2:25">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row>
    <row r="244" spans="2:25">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row>
    <row r="245" spans="2:25">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row>
    <row r="246" spans="2:25">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row>
    <row r="247" spans="2:25">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row>
    <row r="248" spans="2:25">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row>
    <row r="249" spans="2:25">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row>
    <row r="250" spans="2:25">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row>
    <row r="251" spans="2:25">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row>
    <row r="252" spans="2:25">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row>
    <row r="253" spans="2:25">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row>
    <row r="254" spans="2:25">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row>
    <row r="255" spans="2:25">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row>
    <row r="256" spans="2:25">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row>
    <row r="257" spans="2:25">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row>
    <row r="258" spans="2:25">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row>
    <row r="259" spans="2:25">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row>
    <row r="260" spans="2:25">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row>
    <row r="261" spans="2:25">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row>
    <row r="262" spans="2:25">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row>
    <row r="263" spans="2:25">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row>
    <row r="264" spans="2:25">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row>
    <row r="265" spans="2:25">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row>
    <row r="266" spans="2:25">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row>
    <row r="267" spans="2:25">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row>
  </sheetData>
  <conditionalFormatting sqref="U42">
    <cfRule type="dataBar" priority="8">
      <dataBar>
        <cfvo type="min"/>
        <cfvo type="max"/>
        <color rgb="FF63C384"/>
      </dataBar>
      <extLst>
        <ext xmlns:x14="http://schemas.microsoft.com/office/spreadsheetml/2009/9/main" uri="{B025F937-C7B1-47D3-B67F-A62EFF666E3E}">
          <x14:id>{2FBB1FF2-4F76-43B9-B4A8-E8FAEAE40E9B}</x14:id>
        </ext>
      </extLst>
    </cfRule>
  </conditionalFormatting>
  <conditionalFormatting sqref="U60:V60">
    <cfRule type="dataBar" priority="4">
      <dataBar>
        <cfvo type="min"/>
        <cfvo type="max"/>
        <color rgb="FFFF555A"/>
      </dataBar>
      <extLst>
        <ext xmlns:x14="http://schemas.microsoft.com/office/spreadsheetml/2009/9/main" uri="{B025F937-C7B1-47D3-B67F-A62EFF666E3E}">
          <x14:id>{5A9FE8CA-698F-4ED7-BBF2-DFEA730342B8}</x14:id>
        </ext>
      </extLst>
    </cfRule>
  </conditionalFormatting>
  <conditionalFormatting sqref="U40:U58">
    <cfRule type="dataBar" priority="1">
      <dataBar>
        <cfvo type="min"/>
        <cfvo type="max"/>
        <color rgb="FFD6007B"/>
      </dataBar>
      <extLst>
        <ext xmlns:x14="http://schemas.microsoft.com/office/spreadsheetml/2009/9/main" uri="{B025F937-C7B1-47D3-B67F-A62EFF666E3E}">
          <x14:id>{532C860D-90D8-473D-BBAD-7FB6131DFA47}</x14:id>
        </ext>
      </extLst>
    </cfRule>
    <cfRule type="dataBar" priority="2">
      <dataBar>
        <cfvo type="min"/>
        <cfvo type="max"/>
        <color rgb="FFFF555A"/>
      </dataBar>
      <extLst>
        <ext xmlns:x14="http://schemas.microsoft.com/office/spreadsheetml/2009/9/main" uri="{B025F937-C7B1-47D3-B67F-A62EFF666E3E}">
          <x14:id>{BF8B935C-9BD2-49F0-9EAC-50A227A57108}</x14:id>
        </ext>
      </extLst>
    </cfRule>
  </conditionalFormatting>
  <conditionalFormatting sqref="U40:U59">
    <cfRule type="dataBar" priority="5">
      <dataBar>
        <cfvo type="min"/>
        <cfvo type="max"/>
        <color rgb="FFFF555A"/>
      </dataBar>
      <extLst>
        <ext xmlns:x14="http://schemas.microsoft.com/office/spreadsheetml/2009/9/main" uri="{B025F937-C7B1-47D3-B67F-A62EFF666E3E}">
          <x14:id>{252A5E5F-A09B-46A9-91EF-C50F692E2A55}</x14:id>
        </ext>
      </extLst>
    </cfRule>
    <cfRule type="dataBar" priority="7">
      <dataBar>
        <cfvo type="min"/>
        <cfvo type="max"/>
        <color rgb="FF63C384"/>
      </dataBar>
      <extLst>
        <ext xmlns:x14="http://schemas.microsoft.com/office/spreadsheetml/2009/9/main" uri="{B025F937-C7B1-47D3-B67F-A62EFF666E3E}">
          <x14:id>{7CE17E8E-8C25-4BE7-B4EA-177B473A6649}</x14:id>
        </ext>
      </extLst>
    </cfRule>
    <cfRule type="dataBar" priority="9">
      <dataBar>
        <cfvo type="min"/>
        <cfvo type="max"/>
        <color rgb="FF63C384"/>
      </dataBar>
      <extLst>
        <ext xmlns:x14="http://schemas.microsoft.com/office/spreadsheetml/2009/9/main" uri="{B025F937-C7B1-47D3-B67F-A62EFF666E3E}">
          <x14:id>{92B24D66-251E-4CA5-9D8B-87898487C702}</x14:id>
        </ext>
      </extLst>
    </cfRule>
    <cfRule type="dataBar" priority="10">
      <dataBar>
        <cfvo type="min"/>
        <cfvo type="max"/>
        <color rgb="FF63C384"/>
      </dataBar>
      <extLst>
        <ext xmlns:x14="http://schemas.microsoft.com/office/spreadsheetml/2009/9/main" uri="{B025F937-C7B1-47D3-B67F-A62EFF666E3E}">
          <x14:id>{17DD611D-CA71-4F32-9802-66D213184665}</x14:id>
        </ext>
      </extLst>
    </cfRule>
    <cfRule type="dataBar" priority="11">
      <dataBar>
        <cfvo type="min"/>
        <cfvo type="max"/>
        <color rgb="FF63C384"/>
      </dataBar>
      <extLst>
        <ext xmlns:x14="http://schemas.microsoft.com/office/spreadsheetml/2009/9/main" uri="{B025F937-C7B1-47D3-B67F-A62EFF666E3E}">
          <x14:id>{58F2A142-8792-4774-9EF8-B7589A7B5428}</x14:id>
        </ext>
      </extLst>
    </cfRule>
  </conditionalFormatting>
  <conditionalFormatting sqref="U40:U41 U43 U45 U47 U49 U51 U53 U55 U57">
    <cfRule type="dataBar" priority="3">
      <dataBar>
        <cfvo type="min"/>
        <cfvo type="max"/>
        <color rgb="FFFF555A"/>
      </dataBar>
      <extLst>
        <ext xmlns:x14="http://schemas.microsoft.com/office/spreadsheetml/2009/9/main" uri="{B025F937-C7B1-47D3-B67F-A62EFF666E3E}">
          <x14:id>{DA212B47-E50E-487B-930A-7F66309700A5}</x14:id>
        </ext>
      </extLs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x14:cfRule type="dataBar" id="{2FBB1FF2-4F76-43B9-B4A8-E8FAEAE40E9B}">
            <x14:dataBar minLength="0" maxLength="100" gradient="0">
              <x14:cfvo type="autoMin"/>
              <x14:cfvo type="autoMax"/>
              <x14:negativeFillColor rgb="FFFF0000"/>
              <x14:axisColor rgb="FF000000"/>
            </x14:dataBar>
          </x14:cfRule>
          <xm:sqref>U42</xm:sqref>
        </x14:conditionalFormatting>
        <x14:conditionalFormatting xmlns:xm="http://schemas.microsoft.com/office/excel/2006/main">
          <x14:cfRule type="dataBar" id="{5A9FE8CA-698F-4ED7-BBF2-DFEA730342B8}">
            <x14:dataBar minLength="0" maxLength="100" border="1" negativeBarBorderColorSameAsPositive="0">
              <x14:cfvo type="autoMin"/>
              <x14:cfvo type="autoMax"/>
              <x14:borderColor rgb="FFFF555A"/>
              <x14:negativeFillColor rgb="FFFF0000"/>
              <x14:negativeBorderColor rgb="FFFF0000"/>
              <x14:axisColor rgb="FF000000"/>
            </x14:dataBar>
          </x14:cfRule>
          <xm:sqref>U60:V60</xm:sqref>
        </x14:conditionalFormatting>
        <x14:conditionalFormatting xmlns:xm="http://schemas.microsoft.com/office/excel/2006/main">
          <x14:cfRule type="dataBar" id="{532C860D-90D8-473D-BBAD-7FB6131DFA47}">
            <x14:dataBar minLength="0" maxLength="100" border="1" negativeBarBorderColorSameAsPositive="0">
              <x14:cfvo type="autoMin"/>
              <x14:cfvo type="autoMax"/>
              <x14:borderColor rgb="FFD6007B"/>
              <x14:negativeFillColor rgb="FFFF0000"/>
              <x14:negativeBorderColor rgb="FFFF0000"/>
              <x14:axisColor rgb="FF000000"/>
            </x14:dataBar>
          </x14:cfRule>
          <x14:cfRule type="dataBar" id="{BF8B935C-9BD2-49F0-9EAC-50A227A57108}">
            <x14:dataBar minLength="0" maxLength="100" border="1" negativeBarBorderColorSameAsPositive="0">
              <x14:cfvo type="autoMin"/>
              <x14:cfvo type="autoMax"/>
              <x14:borderColor rgb="FFFF555A"/>
              <x14:negativeFillColor rgb="FFFF0000"/>
              <x14:negativeBorderColor rgb="FFFF0000"/>
              <x14:axisColor rgb="FF000000"/>
            </x14:dataBar>
          </x14:cfRule>
          <xm:sqref>U40:U58</xm:sqref>
        </x14:conditionalFormatting>
        <x14:conditionalFormatting xmlns:xm="http://schemas.microsoft.com/office/excel/2006/main">
          <x14:cfRule type="dataBar" id="{252A5E5F-A09B-46A9-91EF-C50F692E2A55}">
            <x14:dataBar minLength="0" maxLength="100" border="1" negativeBarBorderColorSameAsPositive="0">
              <x14:cfvo type="autoMin"/>
              <x14:cfvo type="autoMax"/>
              <x14:borderColor rgb="FFFF555A"/>
              <x14:negativeFillColor rgb="FFFF0000"/>
              <x14:negativeBorderColor rgb="FFFF0000"/>
              <x14:axisColor rgb="FF000000"/>
            </x14:dataBar>
          </x14:cfRule>
          <x14:cfRule type="dataBar" id="{7CE17E8E-8C25-4BE7-B4EA-177B473A6649}">
            <x14:dataBar minLength="0" maxLength="100" gradient="0">
              <x14:cfvo type="autoMin"/>
              <x14:cfvo type="autoMax"/>
              <x14:negativeFillColor rgb="FFFF0000"/>
              <x14:axisColor rgb="FF000000"/>
            </x14:dataBar>
          </x14:cfRule>
          <x14:cfRule type="dataBar" id="{92B24D66-251E-4CA5-9D8B-87898487C702}">
            <x14:dataBar minLength="0" maxLength="100" gradient="0">
              <x14:cfvo type="autoMin"/>
              <x14:cfvo type="autoMax"/>
              <x14:negativeFillColor rgb="FFFF0000"/>
              <x14:axisColor rgb="FF000000"/>
            </x14:dataBar>
          </x14:cfRule>
          <x14:cfRule type="dataBar" id="{17DD611D-CA71-4F32-9802-66D213184665}">
            <x14:dataBar minLength="0" maxLength="100" gradient="0">
              <x14:cfvo type="autoMin"/>
              <x14:cfvo type="autoMax"/>
              <x14:negativeFillColor rgb="FFFF0000"/>
              <x14:axisColor rgb="FF000000"/>
            </x14:dataBar>
          </x14:cfRule>
          <x14:cfRule type="dataBar" id="{58F2A142-8792-4774-9EF8-B7589A7B5428}">
            <x14:dataBar minLength="0" maxLength="100" border="1" negativeBarBorderColorSameAsPositive="0">
              <x14:cfvo type="autoMin"/>
              <x14:cfvo type="autoMax"/>
              <x14:borderColor rgb="FF63C384"/>
              <x14:negativeFillColor rgb="FFFF0000"/>
              <x14:negativeBorderColor rgb="FFFF0000"/>
              <x14:axisColor rgb="FF000000"/>
            </x14:dataBar>
          </x14:cfRule>
          <xm:sqref>U40:U59</xm:sqref>
        </x14:conditionalFormatting>
        <x14:conditionalFormatting xmlns:xm="http://schemas.microsoft.com/office/excel/2006/main">
          <x14:cfRule type="dataBar" id="{DA212B47-E50E-487B-930A-7F66309700A5}">
            <x14:dataBar minLength="0" maxLength="100" border="1" negativeBarBorderColorSameAsPositive="0">
              <x14:cfvo type="autoMin"/>
              <x14:cfvo type="autoMax"/>
              <x14:borderColor rgb="FFFF555A"/>
              <x14:negativeFillColor rgb="FFFF0000"/>
              <x14:negativeBorderColor rgb="FFFF0000"/>
              <x14:axisColor rgb="FF000000"/>
            </x14:dataBar>
          </x14:cfRule>
          <xm:sqref>U40:U41 U43 U45 U47 U49 U51 U53 U55 U57</xm:sqref>
        </x14:conditionalFormatting>
      </x14:conditionalFormattings>
    </ex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O301"/>
  <sheetViews>
    <sheetView zoomScale="85" zoomScaleNormal="85" workbookViewId="0">
      <selection activeCell="Q21" sqref="Q21"/>
    </sheetView>
  </sheetViews>
  <sheetFormatPr defaultColWidth="9" defaultRowHeight="14.4"/>
  <cols>
    <col min="1" max="1" width="45.33203125" customWidth="1"/>
    <col min="2" max="2" width="12.5546875" customWidth="1"/>
    <col min="3" max="3" width="12.6640625" customWidth="1"/>
    <col min="4" max="4" width="15.44140625" customWidth="1"/>
    <col min="5" max="5" width="13" customWidth="1"/>
    <col min="6" max="6" width="14.6640625" customWidth="1"/>
    <col min="7" max="7" width="18.44140625" customWidth="1"/>
    <col min="8" max="8" width="19" customWidth="1"/>
  </cols>
  <sheetData>
    <row r="1" spans="1:15">
      <c r="A1" s="22" t="s">
        <v>307</v>
      </c>
      <c r="B1" s="22" t="s">
        <v>308</v>
      </c>
      <c r="C1" s="22" t="s">
        <v>309</v>
      </c>
      <c r="D1" s="22" t="s">
        <v>310</v>
      </c>
      <c r="E1" s="22" t="s">
        <v>311</v>
      </c>
      <c r="F1" s="22" t="s">
        <v>312</v>
      </c>
      <c r="G1" s="22" t="s">
        <v>313</v>
      </c>
      <c r="H1" t="s">
        <v>314</v>
      </c>
      <c r="I1" t="s">
        <v>315</v>
      </c>
      <c r="J1" t="s">
        <v>316</v>
      </c>
      <c r="K1" t="s">
        <v>0</v>
      </c>
      <c r="L1" s="3" t="s">
        <v>317</v>
      </c>
      <c r="M1" s="3" t="s">
        <v>318</v>
      </c>
      <c r="N1" s="22" t="s">
        <v>319</v>
      </c>
      <c r="O1" s="22" t="s">
        <v>320</v>
      </c>
    </row>
    <row r="2" spans="1:15">
      <c r="A2" s="22" t="s">
        <v>260</v>
      </c>
      <c r="B2" s="22" t="s">
        <v>321</v>
      </c>
      <c r="C2" s="22">
        <v>165.6</v>
      </c>
      <c r="D2" s="22">
        <v>7.0000000000000007E-2</v>
      </c>
      <c r="E2" s="22">
        <v>6120000</v>
      </c>
      <c r="F2" s="22">
        <v>2730000</v>
      </c>
      <c r="G2" s="22">
        <v>36990</v>
      </c>
      <c r="H2">
        <f>Sheet1[[#This Row],[Volume (24h)]]/Sheet1[[#This Row],[Circulating Supply]]</f>
        <v>73.803730738037302</v>
      </c>
      <c r="I2">
        <f>RANK(Sheet1[[#This Row],[Market Cap]],Sheet1[Market Cap],0)</f>
        <v>166</v>
      </c>
      <c r="J2" t="str">
        <f t="shared" ref="J2:J65" si="0">IF(C212&lt;=0.5,"0-0.5",IF(C212&lt;=1,"0.5-1",IF(C212&lt;=2,"1-2",IF(C212&lt;=10,"2-10",IF(C212&lt;=100,"10-100",IF(C212&lt;=10000,"100-10000","10000+"))))))</f>
        <v>0-0.5</v>
      </c>
      <c r="K2" t="str">
        <f t="shared" ref="K2:K65" si="1">IF(C4&lt;=50,"$0-$50","Above $50")</f>
        <v>Above $50</v>
      </c>
      <c r="L2">
        <f t="shared" ref="L2:L65" si="2">C2/(1+D2/100)</f>
        <v>165.48416108723893</v>
      </c>
      <c r="M2" t="str">
        <f t="shared" ref="M2:M65" si="3">IF(C4&lt;=10,"Up to $10","&gt;= $10")</f>
        <v>&gt;= $10</v>
      </c>
      <c r="N2" s="22">
        <v>3.78</v>
      </c>
      <c r="O2" s="22">
        <v>27.04</v>
      </c>
    </row>
    <row r="3" spans="1:15">
      <c r="A3" s="22" t="s">
        <v>5</v>
      </c>
      <c r="B3" s="22" t="s">
        <v>322</v>
      </c>
      <c r="C3" s="22">
        <v>80509.13</v>
      </c>
      <c r="D3" s="22">
        <v>0.18</v>
      </c>
      <c r="E3" s="23" t="s">
        <v>323</v>
      </c>
      <c r="F3" s="22">
        <v>60980000000</v>
      </c>
      <c r="G3" s="22">
        <v>20070000</v>
      </c>
      <c r="H3">
        <f>Sheet1[[#This Row],[Volume (24h)]]/Sheet1[[#This Row],[Circulating Supply]]</f>
        <v>3038.3657199800696</v>
      </c>
      <c r="I3" t="e">
        <f>RANK(Sheet1[[#This Row],[Market Cap]],Sheet1[Market Cap],0)</f>
        <v>#N/A</v>
      </c>
      <c r="J3" t="str">
        <f t="shared" si="0"/>
        <v>100-10000</v>
      </c>
      <c r="K3" t="str">
        <f t="shared" si="1"/>
        <v>$0-$50</v>
      </c>
      <c r="L3">
        <f t="shared" si="2"/>
        <v>80364.473946895596</v>
      </c>
      <c r="M3" t="str">
        <f t="shared" si="3"/>
        <v>Up to $10</v>
      </c>
      <c r="N3" s="22">
        <v>3.94</v>
      </c>
      <c r="O3" s="22">
        <v>25.22</v>
      </c>
    </row>
    <row r="4" spans="1:15">
      <c r="A4" s="22" t="s">
        <v>267</v>
      </c>
      <c r="B4" s="22" t="s">
        <v>324</v>
      </c>
      <c r="C4" s="22">
        <v>2502.7199999999998</v>
      </c>
      <c r="D4" s="22">
        <v>0.12</v>
      </c>
      <c r="E4" s="23" t="s">
        <v>325</v>
      </c>
      <c r="F4" s="22">
        <v>23510000000</v>
      </c>
      <c r="G4" s="22">
        <v>120680000</v>
      </c>
      <c r="H4">
        <f>Sheet1[[#This Row],[Volume (24h)]]/Sheet1[[#This Row],[Circulating Supply]]</f>
        <v>194.8127278753729</v>
      </c>
      <c r="I4" t="e">
        <f>RANK(Sheet1[[#This Row],[Market Cap]],Sheet1[Market Cap],0)</f>
        <v>#N/A</v>
      </c>
      <c r="J4" t="str">
        <f t="shared" si="0"/>
        <v>0-0.5</v>
      </c>
      <c r="K4" t="str">
        <f t="shared" si="1"/>
        <v>Above $50</v>
      </c>
      <c r="L4">
        <f t="shared" si="2"/>
        <v>2499.7203355972829</v>
      </c>
      <c r="M4" t="str">
        <f t="shared" si="3"/>
        <v>&gt;= $10</v>
      </c>
      <c r="N4" s="22">
        <v>2.04</v>
      </c>
      <c r="O4" s="22">
        <v>31.57</v>
      </c>
    </row>
    <row r="5" spans="1:15">
      <c r="A5" s="22" t="s">
        <v>4</v>
      </c>
      <c r="B5" s="22" t="s">
        <v>326</v>
      </c>
      <c r="C5" s="22">
        <v>0.99960000000000004</v>
      </c>
      <c r="D5" s="22">
        <v>0.01</v>
      </c>
      <c r="E5" s="23" t="s">
        <v>327</v>
      </c>
      <c r="F5" s="23" t="s">
        <v>328</v>
      </c>
      <c r="G5" s="23" t="s">
        <v>329</v>
      </c>
      <c r="H5">
        <f>Sheet1[[#This Row],[Volume (24h)]]/Sheet1[[#This Row],[Circulating Supply]]</f>
        <v>0.62484309337990507</v>
      </c>
      <c r="I5" t="e">
        <f>RANK(Sheet1[[#This Row],[Market Cap]],Sheet1[Market Cap],0)</f>
        <v>#N/A</v>
      </c>
      <c r="J5" t="str">
        <f t="shared" si="0"/>
        <v>10-100</v>
      </c>
      <c r="K5" t="str">
        <f t="shared" si="1"/>
        <v>$0-$50</v>
      </c>
      <c r="L5">
        <f t="shared" si="2"/>
        <v>0.99950004999500053</v>
      </c>
      <c r="M5" t="str">
        <f t="shared" si="3"/>
        <v>Up to $10</v>
      </c>
      <c r="N5" s="22">
        <v>0.05</v>
      </c>
      <c r="O5" s="22">
        <v>0.06</v>
      </c>
    </row>
    <row r="6" spans="1:15">
      <c r="A6" s="22" t="s">
        <v>6</v>
      </c>
      <c r="B6" s="22" t="s">
        <v>6</v>
      </c>
      <c r="C6" s="22">
        <v>713.29</v>
      </c>
      <c r="D6" s="22">
        <v>0.5</v>
      </c>
      <c r="E6" s="22">
        <v>94970000000</v>
      </c>
      <c r="F6" s="23" t="s">
        <v>330</v>
      </c>
      <c r="G6" s="22">
        <v>133160000</v>
      </c>
      <c r="H6">
        <f>Sheet1[[#This Row],[Volume (24h)]]/Sheet1[[#This Row],[Circulating Supply]]</f>
        <v>15.395013517572769</v>
      </c>
      <c r="I6">
        <f>RANK(Sheet1[[#This Row],[Market Cap]],Sheet1[Market Cap],0)</f>
        <v>1</v>
      </c>
      <c r="J6" t="str">
        <f t="shared" si="0"/>
        <v>0-0.5</v>
      </c>
      <c r="K6" t="str">
        <f t="shared" si="1"/>
        <v>$0-$50</v>
      </c>
      <c r="L6">
        <f t="shared" si="2"/>
        <v>709.74129353233832</v>
      </c>
      <c r="M6" t="str">
        <f t="shared" si="3"/>
        <v>Up to $10</v>
      </c>
      <c r="N6" s="22">
        <v>2.08</v>
      </c>
      <c r="O6" s="22">
        <v>18.03</v>
      </c>
    </row>
    <row r="7" spans="1:15">
      <c r="A7" s="22" t="s">
        <v>7</v>
      </c>
      <c r="B7" s="22" t="s">
        <v>7</v>
      </c>
      <c r="C7" s="22">
        <v>1.5</v>
      </c>
      <c r="D7" s="22">
        <v>0.97</v>
      </c>
      <c r="E7" s="22">
        <v>94530000000</v>
      </c>
      <c r="F7" s="22">
        <v>6610000000</v>
      </c>
      <c r="G7" s="22">
        <v>62740000000</v>
      </c>
      <c r="H7">
        <f>Sheet1[[#This Row],[Volume (24h)]]/Sheet1[[#This Row],[Circulating Supply]]</f>
        <v>0.10535543512910424</v>
      </c>
      <c r="I7">
        <f>RANK(Sheet1[[#This Row],[Market Cap]],Sheet1[Market Cap],0)</f>
        <v>2</v>
      </c>
      <c r="J7" t="str">
        <f t="shared" si="0"/>
        <v>0-0.5</v>
      </c>
      <c r="K7" t="str">
        <f t="shared" si="1"/>
        <v>Above $50</v>
      </c>
      <c r="L7">
        <f t="shared" si="2"/>
        <v>1.4855897791423194</v>
      </c>
      <c r="M7" t="str">
        <f t="shared" si="3"/>
        <v>&gt;= $10</v>
      </c>
      <c r="N7" s="22">
        <v>2.21</v>
      </c>
      <c r="O7" s="22">
        <v>50.9</v>
      </c>
    </row>
    <row r="8" spans="1:15">
      <c r="A8" s="22" t="s">
        <v>301</v>
      </c>
      <c r="B8" s="22" t="s">
        <v>301</v>
      </c>
      <c r="C8" s="22">
        <v>0.99990000000000001</v>
      </c>
      <c r="D8" s="22">
        <v>0</v>
      </c>
      <c r="E8" s="22">
        <v>73640000000</v>
      </c>
      <c r="F8" s="22">
        <v>22520000000</v>
      </c>
      <c r="G8" s="22">
        <v>73650000000</v>
      </c>
      <c r="H8">
        <f>Sheet1[[#This Row],[Volume (24h)]]/Sheet1[[#This Row],[Circulating Supply]]</f>
        <v>0.30577053632043449</v>
      </c>
      <c r="I8">
        <f>RANK(Sheet1[[#This Row],[Market Cap]],Sheet1[Market Cap],0)</f>
        <v>3</v>
      </c>
      <c r="J8" t="str">
        <f t="shared" si="0"/>
        <v>0-0.5</v>
      </c>
      <c r="K8" t="str">
        <f t="shared" si="1"/>
        <v>$0-$50</v>
      </c>
      <c r="L8">
        <f t="shared" si="2"/>
        <v>0.99990000000000001</v>
      </c>
      <c r="M8" t="str">
        <f t="shared" si="3"/>
        <v>Up to $10</v>
      </c>
      <c r="N8" s="22">
        <v>0.01</v>
      </c>
      <c r="O8" s="22">
        <v>0.01</v>
      </c>
    </row>
    <row r="9" spans="1:15">
      <c r="A9" s="22" t="s">
        <v>295</v>
      </c>
      <c r="B9" s="22" t="s">
        <v>331</v>
      </c>
      <c r="C9" s="22">
        <v>101.09</v>
      </c>
      <c r="D9" s="22">
        <v>0.62</v>
      </c>
      <c r="E9" s="22">
        <v>58970000000</v>
      </c>
      <c r="F9" s="22">
        <v>7590000000</v>
      </c>
      <c r="G9" s="22">
        <v>583370000</v>
      </c>
      <c r="H9">
        <f>Sheet1[[#This Row],[Volume (24h)]]/Sheet1[[#This Row],[Circulating Supply]]</f>
        <v>13.01061076160927</v>
      </c>
      <c r="I9">
        <f>RANK(Sheet1[[#This Row],[Market Cap]],Sheet1[Market Cap],0)</f>
        <v>4</v>
      </c>
      <c r="J9" t="str">
        <f t="shared" si="0"/>
        <v>0-0.5</v>
      </c>
      <c r="K9" t="str">
        <f t="shared" si="1"/>
        <v>Above $50</v>
      </c>
      <c r="L9">
        <f t="shared" si="2"/>
        <v>100.46710395547605</v>
      </c>
      <c r="M9" t="str">
        <f t="shared" si="3"/>
        <v>&gt;= $10</v>
      </c>
      <c r="N9" s="22">
        <v>7.48</v>
      </c>
      <c r="O9" s="22">
        <v>33.18</v>
      </c>
    </row>
    <row r="10" spans="1:15">
      <c r="A10" s="22" t="s">
        <v>9</v>
      </c>
      <c r="B10" s="22" t="s">
        <v>332</v>
      </c>
      <c r="C10" s="22">
        <v>0.34449999999999997</v>
      </c>
      <c r="D10" s="22">
        <v>0.03</v>
      </c>
      <c r="E10" s="23" t="s">
        <v>333</v>
      </c>
      <c r="F10" s="23" t="s">
        <v>334</v>
      </c>
      <c r="G10" s="22">
        <v>94910000000</v>
      </c>
      <c r="H10">
        <f>Sheet1[[#This Row],[Volume (24h)]]/Sheet1[[#This Row],[Circulating Supply]]</f>
        <v>5.4520071646823303E-3</v>
      </c>
      <c r="I10" t="e">
        <f>RANK(Sheet1[[#This Row],[Market Cap]],Sheet1[Market Cap],0)</f>
        <v>#N/A</v>
      </c>
      <c r="J10" t="str">
        <f t="shared" si="0"/>
        <v>0-0.5</v>
      </c>
      <c r="K10" t="str">
        <f t="shared" si="1"/>
        <v>$0-$50</v>
      </c>
      <c r="L10">
        <f t="shared" si="2"/>
        <v>0.34439668099570125</v>
      </c>
      <c r="M10" t="str">
        <f t="shared" si="3"/>
        <v>Up to $10</v>
      </c>
      <c r="N10" s="22">
        <v>7.0000000000000007E-2</v>
      </c>
      <c r="O10" s="22">
        <v>3.74</v>
      </c>
    </row>
    <row r="11" spans="1:15">
      <c r="A11" s="22" t="s">
        <v>10</v>
      </c>
      <c r="B11" s="22" t="s">
        <v>335</v>
      </c>
      <c r="C11" s="22">
        <v>80.900000000000006</v>
      </c>
      <c r="D11" s="22">
        <v>0.26</v>
      </c>
      <c r="E11" s="22">
        <v>20380000000</v>
      </c>
      <c r="F11" s="22">
        <v>966160000</v>
      </c>
      <c r="G11" s="22">
        <v>251970000</v>
      </c>
      <c r="H11">
        <f>Sheet1[[#This Row],[Volume (24h)]]/Sheet1[[#This Row],[Circulating Supply]]</f>
        <v>3.8344247331031474</v>
      </c>
      <c r="I11">
        <f>RANK(Sheet1[[#This Row],[Market Cap]],Sheet1[Market Cap],0)</f>
        <v>5</v>
      </c>
      <c r="J11" t="str">
        <f t="shared" si="0"/>
        <v>0-0.5</v>
      </c>
      <c r="K11" t="str">
        <f t="shared" si="1"/>
        <v>Above $50</v>
      </c>
      <c r="L11">
        <f t="shared" si="2"/>
        <v>80.690205465788964</v>
      </c>
      <c r="M11" t="str">
        <f t="shared" si="3"/>
        <v>&gt;= $10</v>
      </c>
      <c r="N11" s="22">
        <v>1.93</v>
      </c>
      <c r="O11" s="22">
        <v>34.770000000000003</v>
      </c>
    </row>
    <row r="12" spans="1:15">
      <c r="A12" s="22" t="s">
        <v>264</v>
      </c>
      <c r="B12" s="22" t="s">
        <v>336</v>
      </c>
      <c r="C12" s="22">
        <v>9.2090000000000005E-2</v>
      </c>
      <c r="D12" s="22">
        <v>0.72</v>
      </c>
      <c r="E12" s="22">
        <v>14330000000</v>
      </c>
      <c r="F12" s="22">
        <v>1400000000</v>
      </c>
      <c r="G12" s="23" t="s">
        <v>337</v>
      </c>
      <c r="H12">
        <f>Sheet1[[#This Row],[Volume (24h)]]/Sheet1[[#This Row],[Circulating Supply]]</f>
        <v>8.9956949174323717E-3</v>
      </c>
      <c r="I12">
        <f>RANK(Sheet1[[#This Row],[Market Cap]],Sheet1[Market Cap],0)</f>
        <v>6</v>
      </c>
      <c r="J12" t="str">
        <f t="shared" si="0"/>
        <v>0-0.5</v>
      </c>
      <c r="K12" t="str">
        <f t="shared" si="1"/>
        <v>$0-$50</v>
      </c>
      <c r="L12">
        <f t="shared" si="2"/>
        <v>9.1431691818903885E-2</v>
      </c>
      <c r="M12" t="str">
        <f t="shared" si="3"/>
        <v>&gt;= $10</v>
      </c>
      <c r="N12" s="22">
        <v>0.76</v>
      </c>
      <c r="O12" s="22">
        <v>31.61</v>
      </c>
    </row>
    <row r="13" spans="1:15">
      <c r="A13" s="22" t="s">
        <v>12</v>
      </c>
      <c r="B13" s="22" t="s">
        <v>338</v>
      </c>
      <c r="C13" s="22">
        <v>848.04</v>
      </c>
      <c r="D13" s="22">
        <v>0.64</v>
      </c>
      <c r="E13" s="22">
        <v>14270000000</v>
      </c>
      <c r="F13" s="22">
        <v>1450000000</v>
      </c>
      <c r="G13" s="22">
        <v>16830000</v>
      </c>
      <c r="H13">
        <f>Sheet1[[#This Row],[Volume (24h)]]/Sheet1[[#This Row],[Circulating Supply]]</f>
        <v>86.155674390968514</v>
      </c>
      <c r="I13">
        <f>RANK(Sheet1[[#This Row],[Market Cap]],Sheet1[Market Cap],0)</f>
        <v>7</v>
      </c>
      <c r="J13" t="str">
        <f t="shared" si="0"/>
        <v>0-0.5</v>
      </c>
      <c r="K13" t="str">
        <f t="shared" si="1"/>
        <v>$0-$50</v>
      </c>
      <c r="L13">
        <f t="shared" si="2"/>
        <v>842.64705882352939</v>
      </c>
      <c r="M13" t="str">
        <f t="shared" si="3"/>
        <v>Up to $10</v>
      </c>
      <c r="N13" s="22">
        <v>1.26</v>
      </c>
      <c r="O13" s="22">
        <v>65.95</v>
      </c>
    </row>
    <row r="14" spans="1:15">
      <c r="A14" s="22" t="s">
        <v>339</v>
      </c>
      <c r="B14" s="22" t="s">
        <v>340</v>
      </c>
      <c r="C14" s="22">
        <v>11.76</v>
      </c>
      <c r="D14" s="22">
        <v>0.17</v>
      </c>
      <c r="E14" s="22">
        <v>8800000000</v>
      </c>
      <c r="F14" s="22">
        <v>542780000</v>
      </c>
      <c r="G14" s="22">
        <v>748090000</v>
      </c>
      <c r="H14">
        <f>Sheet1[[#This Row],[Volume (24h)]]/Sheet1[[#This Row],[Circulating Supply]]</f>
        <v>0.72555441190231118</v>
      </c>
      <c r="I14">
        <f>RANK(Sheet1[[#This Row],[Market Cap]],Sheet1[Market Cap],0)</f>
        <v>9</v>
      </c>
      <c r="J14" t="str">
        <f t="shared" si="0"/>
        <v>10000+</v>
      </c>
      <c r="K14" t="str">
        <f t="shared" si="1"/>
        <v>Above $50</v>
      </c>
      <c r="L14">
        <f t="shared" si="2"/>
        <v>11.740041928721173</v>
      </c>
      <c r="M14" t="str">
        <f t="shared" si="3"/>
        <v>&gt;= $10</v>
      </c>
      <c r="N14" s="22">
        <v>2.39</v>
      </c>
      <c r="O14" s="22">
        <v>23.96</v>
      </c>
    </row>
    <row r="15" spans="1:15">
      <c r="A15" s="22" t="s">
        <v>300</v>
      </c>
      <c r="B15" s="22" t="s">
        <v>341</v>
      </c>
      <c r="C15" s="22">
        <v>9.35</v>
      </c>
      <c r="D15" s="22">
        <v>0.06</v>
      </c>
      <c r="E15" s="22">
        <v>8600000000</v>
      </c>
      <c r="F15" s="22">
        <v>245000</v>
      </c>
      <c r="G15" s="22">
        <v>919900000</v>
      </c>
      <c r="H15">
        <f>Sheet1[[#This Row],[Volume (24h)]]/Sheet1[[#This Row],[Circulating Supply]]</f>
        <v>2.663332970975106E-4</v>
      </c>
      <c r="I15">
        <f>RANK(Sheet1[[#This Row],[Market Cap]],Sheet1[Market Cap],0)</f>
        <v>10</v>
      </c>
      <c r="J15" t="str">
        <f t="shared" si="0"/>
        <v>0-0.5</v>
      </c>
      <c r="K15" t="str">
        <f t="shared" si="1"/>
        <v>Above $50</v>
      </c>
      <c r="L15">
        <f t="shared" si="2"/>
        <v>9.3443933639816112</v>
      </c>
      <c r="M15" t="str">
        <f t="shared" si="3"/>
        <v>&gt;= $10</v>
      </c>
      <c r="N15" s="22">
        <v>0.48</v>
      </c>
      <c r="O15" s="22">
        <v>0.75</v>
      </c>
    </row>
    <row r="16" spans="1:15">
      <c r="A16" s="22" t="s">
        <v>13</v>
      </c>
      <c r="B16" s="22" t="s">
        <v>342</v>
      </c>
      <c r="C16" s="22">
        <v>445.16</v>
      </c>
      <c r="D16" s="22">
        <v>1.21</v>
      </c>
      <c r="E16" s="23" t="s">
        <v>343</v>
      </c>
      <c r="F16" s="22">
        <v>132440000</v>
      </c>
      <c r="G16" s="22">
        <v>18790000</v>
      </c>
      <c r="H16">
        <f>Sheet1[[#This Row],[Volume (24h)]]/Sheet1[[#This Row],[Circulating Supply]]</f>
        <v>7.0484300159659394</v>
      </c>
      <c r="I16" t="e">
        <f>RANK(Sheet1[[#This Row],[Market Cap]],Sheet1[Market Cap],0)</f>
        <v>#N/A</v>
      </c>
      <c r="J16" t="str">
        <f t="shared" si="0"/>
        <v>0-0.5</v>
      </c>
      <c r="K16" t="str">
        <f t="shared" si="1"/>
        <v>$0-$50</v>
      </c>
      <c r="L16">
        <f t="shared" si="2"/>
        <v>439.83796067582256</v>
      </c>
      <c r="M16" t="str">
        <f t="shared" si="3"/>
        <v>Up to $10</v>
      </c>
      <c r="N16" s="22">
        <v>6.81</v>
      </c>
      <c r="O16" s="22">
        <v>5.89</v>
      </c>
    </row>
    <row r="17" spans="1:15">
      <c r="A17" s="22" t="s">
        <v>344</v>
      </c>
      <c r="B17" s="22" t="s">
        <v>345</v>
      </c>
      <c r="C17" s="22">
        <v>124.1</v>
      </c>
      <c r="D17" s="22">
        <v>0.45</v>
      </c>
      <c r="E17" s="22">
        <v>327560000</v>
      </c>
      <c r="F17" s="22">
        <v>1450000</v>
      </c>
      <c r="G17" s="22">
        <v>2630000</v>
      </c>
      <c r="H17">
        <f>Sheet1[[#This Row],[Volume (24h)]]/Sheet1[[#This Row],[Circulating Supply]]</f>
        <v>0.5513307984790875</v>
      </c>
      <c r="I17">
        <f>RANK(Sheet1[[#This Row],[Market Cap]],Sheet1[Market Cap],0)</f>
        <v>24</v>
      </c>
      <c r="J17" t="str">
        <f t="shared" si="0"/>
        <v>0-0.5</v>
      </c>
      <c r="K17" t="str">
        <f t="shared" si="1"/>
        <v>$0-$50</v>
      </c>
      <c r="L17">
        <f t="shared" si="2"/>
        <v>123.54405176704829</v>
      </c>
      <c r="M17" t="str">
        <f t="shared" si="3"/>
        <v>Up to $10</v>
      </c>
      <c r="N17" s="22">
        <v>0.61</v>
      </c>
      <c r="O17" s="22">
        <v>19.47</v>
      </c>
    </row>
    <row r="18" spans="1:15">
      <c r="A18" s="22" t="s">
        <v>346</v>
      </c>
      <c r="B18" s="22" t="s">
        <v>347</v>
      </c>
      <c r="C18" s="22">
        <v>0.37619999999999998</v>
      </c>
      <c r="D18" s="22">
        <v>1.66</v>
      </c>
      <c r="E18" s="22">
        <v>314630000</v>
      </c>
      <c r="F18" s="22">
        <v>51460000</v>
      </c>
      <c r="G18" s="22">
        <v>836290000</v>
      </c>
      <c r="H18">
        <f>Sheet1[[#This Row],[Volume (24h)]]/Sheet1[[#This Row],[Circulating Supply]]</f>
        <v>6.1533678508651303E-2</v>
      </c>
      <c r="I18">
        <f>RANK(Sheet1[[#This Row],[Market Cap]],Sheet1[Market Cap],0)</f>
        <v>26</v>
      </c>
      <c r="J18" t="str">
        <f t="shared" si="0"/>
        <v>10-100</v>
      </c>
      <c r="K18" t="str">
        <f t="shared" si="1"/>
        <v>Above $50</v>
      </c>
      <c r="L18">
        <f t="shared" si="2"/>
        <v>0.37005705292150304</v>
      </c>
      <c r="M18" t="str">
        <f t="shared" si="3"/>
        <v>&gt;= $10</v>
      </c>
      <c r="N18" s="22">
        <v>2.27</v>
      </c>
      <c r="O18" s="22">
        <v>24.21</v>
      </c>
    </row>
    <row r="19" spans="1:15">
      <c r="A19" s="22" t="s">
        <v>23</v>
      </c>
      <c r="B19" s="22" t="s">
        <v>348</v>
      </c>
      <c r="C19" s="22">
        <v>1.79</v>
      </c>
      <c r="D19" s="22">
        <v>1.63</v>
      </c>
      <c r="E19" s="22">
        <v>308700000</v>
      </c>
      <c r="F19" s="22">
        <v>60330000</v>
      </c>
      <c r="G19" s="22">
        <v>172200000</v>
      </c>
      <c r="H19">
        <f>Sheet1[[#This Row],[Volume (24h)]]/Sheet1[[#This Row],[Circulating Supply]]</f>
        <v>0.35034843205574911</v>
      </c>
      <c r="I19">
        <f>RANK(Sheet1[[#This Row],[Market Cap]],Sheet1[Market Cap],0)</f>
        <v>27</v>
      </c>
      <c r="J19" t="str">
        <f t="shared" si="0"/>
        <v>0-0.5</v>
      </c>
      <c r="K19" t="str">
        <f t="shared" si="1"/>
        <v>$0-$50</v>
      </c>
      <c r="L19">
        <f t="shared" si="2"/>
        <v>1.7612909573944702</v>
      </c>
      <c r="M19" t="str">
        <f t="shared" si="3"/>
        <v>Up to $10</v>
      </c>
      <c r="N19" s="22">
        <v>0.94</v>
      </c>
      <c r="O19" s="22">
        <v>32.85</v>
      </c>
    </row>
    <row r="20" spans="1:15">
      <c r="A20" s="22" t="s">
        <v>349</v>
      </c>
      <c r="B20" s="22" t="s">
        <v>350</v>
      </c>
      <c r="C20" s="23" t="s">
        <v>351</v>
      </c>
      <c r="D20" s="22">
        <v>1.37</v>
      </c>
      <c r="E20" s="22">
        <v>304020000</v>
      </c>
      <c r="F20" s="22">
        <v>19190000</v>
      </c>
      <c r="G20" s="23" t="s">
        <v>352</v>
      </c>
      <c r="H20">
        <f>Sheet1[[#This Row],[Volume (24h)]]/Sheet1[[#This Row],[Circulating Supply]]</f>
        <v>3.4827586206896552E-6</v>
      </c>
      <c r="I20">
        <f>RANK(Sheet1[[#This Row],[Market Cap]],Sheet1[Market Cap],0)</f>
        <v>28</v>
      </c>
      <c r="J20" t="str">
        <f t="shared" si="0"/>
        <v>0-0.5</v>
      </c>
      <c r="K20" t="str">
        <f t="shared" si="1"/>
        <v>$0-$50</v>
      </c>
      <c r="L20">
        <f t="shared" si="2"/>
        <v>5.433560224918615E-5</v>
      </c>
      <c r="M20" t="str">
        <f t="shared" si="3"/>
        <v>Up to $10</v>
      </c>
      <c r="N20" s="22">
        <v>1.8</v>
      </c>
      <c r="O20" s="22">
        <v>17.899999999999999</v>
      </c>
    </row>
    <row r="21" spans="1:15">
      <c r="A21" s="22" t="s">
        <v>353</v>
      </c>
      <c r="B21" s="22" t="s">
        <v>354</v>
      </c>
      <c r="C21" s="22">
        <v>1.02</v>
      </c>
      <c r="D21" s="22">
        <v>0.26</v>
      </c>
      <c r="E21" s="22">
        <v>298360000</v>
      </c>
      <c r="F21" s="22">
        <v>30030000</v>
      </c>
      <c r="G21" s="22">
        <v>290350000</v>
      </c>
      <c r="H21">
        <f>Sheet1[[#This Row],[Volume (24h)]]/Sheet1[[#This Row],[Circulating Supply]]</f>
        <v>0.10342689857069054</v>
      </c>
      <c r="I21">
        <f>RANK(Sheet1[[#This Row],[Market Cap]],Sheet1[Market Cap],0)</f>
        <v>29</v>
      </c>
      <c r="J21" t="str">
        <f t="shared" si="0"/>
        <v>0-0.5</v>
      </c>
      <c r="K21" t="str">
        <f t="shared" si="1"/>
        <v>$0-$50</v>
      </c>
      <c r="L21">
        <f t="shared" si="2"/>
        <v>1.0173548773189707</v>
      </c>
      <c r="M21" t="str">
        <f t="shared" si="3"/>
        <v>Up to $10</v>
      </c>
      <c r="N21" s="22">
        <v>7.39</v>
      </c>
      <c r="O21" s="22">
        <v>11.36</v>
      </c>
    </row>
    <row r="22" spans="1:15">
      <c r="A22" s="22" t="s">
        <v>21</v>
      </c>
      <c r="B22" s="22" t="s">
        <v>355</v>
      </c>
      <c r="C22" s="22">
        <v>0.57689999999999997</v>
      </c>
      <c r="D22" s="22">
        <v>1.85</v>
      </c>
      <c r="E22" s="22">
        <v>296480000</v>
      </c>
      <c r="F22" s="22">
        <v>60470000</v>
      </c>
      <c r="G22" s="22">
        <v>513870000</v>
      </c>
      <c r="H22">
        <f>Sheet1[[#This Row],[Volume (24h)]]/Sheet1[[#This Row],[Circulating Supply]]</f>
        <v>0.11767567672757702</v>
      </c>
      <c r="I22">
        <f>RANK(Sheet1[[#This Row],[Market Cap]],Sheet1[Market Cap],0)</f>
        <v>30</v>
      </c>
      <c r="J22" t="str">
        <f t="shared" si="0"/>
        <v>10-100</v>
      </c>
      <c r="K22" t="str">
        <f t="shared" si="1"/>
        <v>$0-$50</v>
      </c>
      <c r="L22">
        <f t="shared" si="2"/>
        <v>0.56642120765832105</v>
      </c>
      <c r="M22" t="str">
        <f t="shared" si="3"/>
        <v>Up to $10</v>
      </c>
      <c r="N22" s="22">
        <v>0.57999999999999996</v>
      </c>
      <c r="O22" s="22">
        <v>0.8</v>
      </c>
    </row>
    <row r="23" spans="1:15">
      <c r="A23" s="22" t="s">
        <v>60</v>
      </c>
      <c r="B23" s="22" t="s">
        <v>356</v>
      </c>
      <c r="C23" s="22">
        <v>6.2956999999999999E-2</v>
      </c>
      <c r="D23" s="22">
        <v>0.08</v>
      </c>
      <c r="E23" s="22">
        <v>291870000</v>
      </c>
      <c r="F23" s="22">
        <v>6340000</v>
      </c>
      <c r="G23" s="23" t="s">
        <v>357</v>
      </c>
      <c r="H23">
        <f>Sheet1[[#This Row],[Volume (24h)]]/Sheet1[[#This Row],[Circulating Supply]]</f>
        <v>6.423310335045541E-9</v>
      </c>
      <c r="I23">
        <f>RANK(Sheet1[[#This Row],[Market Cap]],Sheet1[Market Cap],0)</f>
        <v>31</v>
      </c>
      <c r="J23" t="str">
        <f t="shared" si="0"/>
        <v>100-10000</v>
      </c>
      <c r="K23" t="str">
        <f t="shared" si="1"/>
        <v>$0-$50</v>
      </c>
      <c r="L23">
        <f t="shared" si="2"/>
        <v>6.2906674660271791E-2</v>
      </c>
      <c r="M23" t="str">
        <f t="shared" si="3"/>
        <v>Up to $10</v>
      </c>
      <c r="N23" s="22">
        <v>0.2</v>
      </c>
      <c r="O23" s="22">
        <v>13.97</v>
      </c>
    </row>
    <row r="24" spans="1:15">
      <c r="A24" s="22" t="s">
        <v>18</v>
      </c>
      <c r="B24" s="22" t="s">
        <v>358</v>
      </c>
      <c r="C24" s="22">
        <v>5.3266000000000001E-2</v>
      </c>
      <c r="D24" s="22">
        <v>1.98</v>
      </c>
      <c r="E24" s="22">
        <v>287410000</v>
      </c>
      <c r="F24" s="22">
        <v>83170000</v>
      </c>
      <c r="G24" s="23" t="s">
        <v>359</v>
      </c>
      <c r="H24">
        <f>Sheet1[[#This Row],[Volume (24h)]]/Sheet1[[#This Row],[Circulating Supply]]</f>
        <v>9.4522104784634619E-7</v>
      </c>
      <c r="I24">
        <f>RANK(Sheet1[[#This Row],[Market Cap]],Sheet1[Market Cap],0)</f>
        <v>32</v>
      </c>
      <c r="J24" t="str">
        <f t="shared" si="0"/>
        <v>0-0.5</v>
      </c>
      <c r="K24" t="str">
        <f t="shared" si="1"/>
        <v>$0-$50</v>
      </c>
      <c r="L24">
        <f t="shared" si="2"/>
        <v>5.2231810158854676E-2</v>
      </c>
      <c r="M24" t="str">
        <f t="shared" si="3"/>
        <v>Up to $10</v>
      </c>
      <c r="N24" s="22">
        <v>3.18</v>
      </c>
      <c r="O24" s="22">
        <v>42.35</v>
      </c>
    </row>
    <row r="25" spans="1:15">
      <c r="A25" s="22" t="s">
        <v>360</v>
      </c>
      <c r="B25" s="22" t="s">
        <v>361</v>
      </c>
      <c r="C25" s="22">
        <v>9.0190000000000006E-2</v>
      </c>
      <c r="D25" s="22">
        <v>1.69</v>
      </c>
      <c r="E25" s="22">
        <v>276450000</v>
      </c>
      <c r="F25" s="22">
        <v>21030000</v>
      </c>
      <c r="G25" s="22">
        <v>3060000000</v>
      </c>
      <c r="H25">
        <f>Sheet1[[#This Row],[Volume (24h)]]/Sheet1[[#This Row],[Circulating Supply]]</f>
        <v>6.8725490196078435E-3</v>
      </c>
      <c r="I25">
        <f>RANK(Sheet1[[#This Row],[Market Cap]],Sheet1[Market Cap],0)</f>
        <v>33</v>
      </c>
      <c r="J25" t="str">
        <f t="shared" si="0"/>
        <v>0-0.5</v>
      </c>
      <c r="K25" t="str">
        <f t="shared" si="1"/>
        <v>$0-$50</v>
      </c>
      <c r="L25">
        <f t="shared" si="2"/>
        <v>8.8691120070803431E-2</v>
      </c>
      <c r="M25" t="str">
        <f t="shared" si="3"/>
        <v>Up to $10</v>
      </c>
      <c r="N25" s="22">
        <v>0.56000000000000005</v>
      </c>
      <c r="O25" s="22">
        <v>39.86</v>
      </c>
    </row>
    <row r="26" spans="1:15">
      <c r="A26" s="22" t="s">
        <v>48</v>
      </c>
      <c r="B26" s="22" t="s">
        <v>362</v>
      </c>
      <c r="C26" s="22">
        <v>6.2762999999999999E-2</v>
      </c>
      <c r="D26" s="22">
        <v>0.23</v>
      </c>
      <c r="E26" s="22">
        <v>273640000</v>
      </c>
      <c r="F26" s="22">
        <v>5840000</v>
      </c>
      <c r="G26" s="23" t="s">
        <v>363</v>
      </c>
      <c r="H26">
        <f>Sheet1[[#This Row],[Volume (24h)]]/Sheet1[[#This Row],[Circulating Supply]]</f>
        <v>5.8983941016058984E-9</v>
      </c>
      <c r="I26">
        <f>RANK(Sheet1[[#This Row],[Market Cap]],Sheet1[Market Cap],0)</f>
        <v>34</v>
      </c>
      <c r="J26" t="str">
        <f t="shared" si="0"/>
        <v>0-0.5</v>
      </c>
      <c r="K26" t="str">
        <f t="shared" si="1"/>
        <v>$0-$50</v>
      </c>
      <c r="L26">
        <f t="shared" si="2"/>
        <v>6.2618976354384917E-2</v>
      </c>
      <c r="M26" t="str">
        <f t="shared" si="3"/>
        <v>Up to $10</v>
      </c>
      <c r="N26" s="22">
        <v>1.23</v>
      </c>
      <c r="O26" s="22">
        <v>1.1000000000000001</v>
      </c>
    </row>
    <row r="27" spans="1:15">
      <c r="A27" s="22" t="s">
        <v>364</v>
      </c>
      <c r="B27" s="22" t="s">
        <v>365</v>
      </c>
      <c r="C27" s="22">
        <v>9.8059999999999994E-2</v>
      </c>
      <c r="D27" s="22">
        <v>0.91</v>
      </c>
      <c r="E27" s="22">
        <v>272410000</v>
      </c>
      <c r="F27" s="22">
        <v>115290000</v>
      </c>
      <c r="G27" s="22">
        <v>2770000000</v>
      </c>
      <c r="H27">
        <f>Sheet1[[#This Row],[Volume (24h)]]/Sheet1[[#This Row],[Circulating Supply]]</f>
        <v>4.1620938628158848E-2</v>
      </c>
      <c r="I27">
        <f>RANK(Sheet1[[#This Row],[Market Cap]],Sheet1[Market Cap],0)</f>
        <v>35</v>
      </c>
      <c r="J27" t="str">
        <f t="shared" si="0"/>
        <v>0-0.5</v>
      </c>
      <c r="K27" t="str">
        <f t="shared" si="1"/>
        <v>$0-$50</v>
      </c>
      <c r="L27">
        <f t="shared" si="2"/>
        <v>9.7175701119809721E-2</v>
      </c>
      <c r="M27" t="str">
        <f t="shared" si="3"/>
        <v>Up to $10</v>
      </c>
      <c r="N27" s="22">
        <v>1.63</v>
      </c>
      <c r="O27" s="22">
        <v>28.9</v>
      </c>
    </row>
    <row r="28" spans="1:15">
      <c r="A28" s="22" t="s">
        <v>32</v>
      </c>
      <c r="B28" s="22" t="s">
        <v>366</v>
      </c>
      <c r="C28" s="22">
        <v>0.1331</v>
      </c>
      <c r="D28" s="22">
        <v>1.1299999999999999</v>
      </c>
      <c r="E28" s="22">
        <v>266390000</v>
      </c>
      <c r="F28" s="22">
        <v>11630000</v>
      </c>
      <c r="G28" s="22">
        <v>2000000000</v>
      </c>
      <c r="H28">
        <f>Sheet1[[#This Row],[Volume (24h)]]/Sheet1[[#This Row],[Circulating Supply]]</f>
        <v>5.8149999999999999E-3</v>
      </c>
      <c r="I28">
        <f>RANK(Sheet1[[#This Row],[Market Cap]],Sheet1[Market Cap],0)</f>
        <v>36</v>
      </c>
      <c r="J28" t="str">
        <f t="shared" si="0"/>
        <v>0-0.5</v>
      </c>
      <c r="K28" t="str">
        <f t="shared" si="1"/>
        <v>Above $50</v>
      </c>
      <c r="L28">
        <f t="shared" si="2"/>
        <v>0.13161277563532087</v>
      </c>
      <c r="M28" t="str">
        <f t="shared" si="3"/>
        <v>&gt;= $10</v>
      </c>
      <c r="N28" s="22">
        <v>5.04</v>
      </c>
      <c r="O28" s="22">
        <v>31.4</v>
      </c>
    </row>
    <row r="29" spans="1:15">
      <c r="A29" s="22" t="s">
        <v>14</v>
      </c>
      <c r="B29" s="22" t="s">
        <v>367</v>
      </c>
      <c r="C29" s="22">
        <v>5.0340000000000003E-2</v>
      </c>
      <c r="D29" s="22">
        <v>0.04</v>
      </c>
      <c r="E29" s="22">
        <v>263510000</v>
      </c>
      <c r="F29" s="22">
        <v>12430000</v>
      </c>
      <c r="G29" s="22">
        <v>5230000000</v>
      </c>
      <c r="H29">
        <f>Sheet1[[#This Row],[Volume (24h)]]/Sheet1[[#This Row],[Circulating Supply]]</f>
        <v>2.3766730401529636E-3</v>
      </c>
      <c r="I29">
        <f>RANK(Sheet1[[#This Row],[Market Cap]],Sheet1[Market Cap],0)</f>
        <v>37</v>
      </c>
      <c r="J29" t="str">
        <f t="shared" si="0"/>
        <v>0-0.5</v>
      </c>
      <c r="K29" t="str">
        <f t="shared" si="1"/>
        <v>$0-$50</v>
      </c>
      <c r="L29">
        <f t="shared" si="2"/>
        <v>5.0319872051179534E-2</v>
      </c>
      <c r="M29" t="str">
        <f t="shared" si="3"/>
        <v>Up to $10</v>
      </c>
      <c r="N29" s="22">
        <v>4.6100000000000003</v>
      </c>
      <c r="O29" s="22">
        <v>20.5</v>
      </c>
    </row>
    <row r="30" spans="1:15">
      <c r="A30" s="22" t="s">
        <v>368</v>
      </c>
      <c r="B30" s="22" t="s">
        <v>368</v>
      </c>
      <c r="C30" s="23" t="s">
        <v>369</v>
      </c>
      <c r="D30" s="22">
        <v>1.36</v>
      </c>
      <c r="E30" s="22">
        <v>262690000</v>
      </c>
      <c r="F30" s="22">
        <v>43180000</v>
      </c>
      <c r="G30" s="23" t="s">
        <v>370</v>
      </c>
      <c r="H30">
        <f>Sheet1[[#This Row],[Volume (24h)]]/Sheet1[[#This Row],[Circulating Supply]]</f>
        <v>4.5357142857142856E-6</v>
      </c>
      <c r="I30">
        <f>RANK(Sheet1[[#This Row],[Market Cap]],Sheet1[Market Cap],0)</f>
        <v>38</v>
      </c>
      <c r="J30" t="str">
        <f t="shared" si="0"/>
        <v>0-0.5</v>
      </c>
      <c r="K30" t="str">
        <f t="shared" si="1"/>
        <v>$0-$50</v>
      </c>
      <c r="L30">
        <f t="shared" si="2"/>
        <v>2.7209944751381215E-5</v>
      </c>
      <c r="M30" t="str">
        <f t="shared" si="3"/>
        <v>Up to $10</v>
      </c>
      <c r="N30" s="22">
        <v>2.85</v>
      </c>
      <c r="O30" s="22">
        <v>37.950000000000003</v>
      </c>
    </row>
    <row r="31" spans="1:15">
      <c r="A31" s="22" t="s">
        <v>57</v>
      </c>
      <c r="B31" s="22" t="s">
        <v>371</v>
      </c>
      <c r="C31" s="22">
        <v>0.23350000000000001</v>
      </c>
      <c r="D31" s="22">
        <v>0.75</v>
      </c>
      <c r="E31" s="22">
        <v>255540000</v>
      </c>
      <c r="F31" s="22">
        <v>6860000</v>
      </c>
      <c r="G31" s="22">
        <v>1090000000</v>
      </c>
      <c r="H31">
        <f>Sheet1[[#This Row],[Volume (24h)]]/Sheet1[[#This Row],[Circulating Supply]]</f>
        <v>6.2935779816513764E-3</v>
      </c>
      <c r="I31">
        <f>RANK(Sheet1[[#This Row],[Market Cap]],Sheet1[Market Cap],0)</f>
        <v>39</v>
      </c>
      <c r="J31" t="str">
        <f t="shared" si="0"/>
        <v>0-0.5</v>
      </c>
      <c r="K31" t="str">
        <f t="shared" si="1"/>
        <v>$0-$50</v>
      </c>
      <c r="L31">
        <f t="shared" si="2"/>
        <v>0.23176178660049629</v>
      </c>
      <c r="M31" t="str">
        <f t="shared" si="3"/>
        <v>Up to $10</v>
      </c>
      <c r="N31" s="22">
        <v>2.0499999999999998</v>
      </c>
      <c r="O31" s="22">
        <v>14.42</v>
      </c>
    </row>
    <row r="32" spans="1:15">
      <c r="A32" s="22" t="s">
        <v>20</v>
      </c>
      <c r="B32" s="22" t="s">
        <v>372</v>
      </c>
      <c r="C32" s="22">
        <v>1.468E-2</v>
      </c>
      <c r="D32" s="22">
        <v>0.2</v>
      </c>
      <c r="E32" s="22">
        <v>10520000000</v>
      </c>
      <c r="F32" s="22">
        <v>53610000</v>
      </c>
      <c r="G32" s="23" t="s">
        <v>373</v>
      </c>
      <c r="H32">
        <f>Sheet1[[#This Row],[Volume (24h)]]/Sheet1[[#This Row],[Circulating Supply]]</f>
        <v>7.4812654376979864E-5</v>
      </c>
      <c r="I32">
        <f>RANK(Sheet1[[#This Row],[Market Cap]],Sheet1[Market Cap],0)</f>
        <v>8</v>
      </c>
      <c r="J32" t="str">
        <f t="shared" si="0"/>
        <v>0-0.5</v>
      </c>
      <c r="K32" t="str">
        <f t="shared" si="1"/>
        <v>$0-$50</v>
      </c>
      <c r="L32">
        <f t="shared" si="2"/>
        <v>1.4650698602794412E-2</v>
      </c>
      <c r="M32" t="str">
        <f t="shared" si="3"/>
        <v>Up to $10</v>
      </c>
      <c r="N32" s="22">
        <v>5.33</v>
      </c>
      <c r="O32" s="22">
        <v>12.27</v>
      </c>
    </row>
    <row r="33" spans="1:15">
      <c r="A33" s="22" t="s">
        <v>165</v>
      </c>
      <c r="B33" s="22" t="s">
        <v>374</v>
      </c>
      <c r="C33" s="22">
        <v>0.59330000000000005</v>
      </c>
      <c r="D33" s="22">
        <v>0.12</v>
      </c>
      <c r="E33" s="22">
        <v>6590000000</v>
      </c>
      <c r="F33" s="22">
        <v>269320</v>
      </c>
      <c r="G33" s="22">
        <v>11120000000</v>
      </c>
      <c r="H33">
        <f>Sheet1[[#This Row],[Volume (24h)]]/Sheet1[[#This Row],[Circulating Supply]]</f>
        <v>2.4219424460431653E-5</v>
      </c>
      <c r="I33">
        <f>RANK(Sheet1[[#This Row],[Market Cap]],Sheet1[Market Cap],0)</f>
        <v>11</v>
      </c>
      <c r="J33" t="str">
        <f t="shared" si="0"/>
        <v>0-0.5</v>
      </c>
      <c r="K33" t="str">
        <f t="shared" si="1"/>
        <v>$0-$50</v>
      </c>
      <c r="L33">
        <f t="shared" si="2"/>
        <v>0.59258889332800635</v>
      </c>
      <c r="M33" t="str">
        <f t="shared" si="3"/>
        <v>Up to $10</v>
      </c>
      <c r="N33" s="22">
        <v>0.38</v>
      </c>
      <c r="O33" s="22">
        <v>1.9</v>
      </c>
    </row>
    <row r="34" spans="1:15">
      <c r="A34" s="22" t="s">
        <v>140</v>
      </c>
      <c r="B34" s="22" t="s">
        <v>375</v>
      </c>
      <c r="C34" s="22">
        <v>1.1399999999999999</v>
      </c>
      <c r="D34" s="22">
        <v>0.02</v>
      </c>
      <c r="E34" s="22">
        <v>2150000000</v>
      </c>
      <c r="F34" s="22">
        <v>887740</v>
      </c>
      <c r="G34" s="22">
        <v>1880000000</v>
      </c>
      <c r="H34">
        <f>Sheet1[[#This Row],[Volume (24h)]]/Sheet1[[#This Row],[Circulating Supply]]</f>
        <v>4.7220212765957444E-4</v>
      </c>
      <c r="I34">
        <f>RANK(Sheet1[[#This Row],[Market Cap]],Sheet1[Market Cap],0)</f>
        <v>12</v>
      </c>
      <c r="J34" t="str">
        <f t="shared" si="0"/>
        <v>10-100</v>
      </c>
      <c r="K34" t="str">
        <f t="shared" si="1"/>
        <v>$0-$50</v>
      </c>
      <c r="L34">
        <f t="shared" si="2"/>
        <v>1.1397720455908817</v>
      </c>
      <c r="M34" t="str">
        <f t="shared" si="3"/>
        <v>Up to $10</v>
      </c>
      <c r="N34" s="22">
        <v>0.03</v>
      </c>
      <c r="O34" s="22">
        <v>0.19</v>
      </c>
    </row>
    <row r="35" spans="1:15">
      <c r="A35" s="22" t="s">
        <v>17</v>
      </c>
      <c r="B35" s="22" t="s">
        <v>17</v>
      </c>
      <c r="C35" s="22">
        <v>5.1766E-2</v>
      </c>
      <c r="D35" s="22">
        <v>0.03</v>
      </c>
      <c r="E35" s="22">
        <v>1580000000</v>
      </c>
      <c r="F35" s="22">
        <v>60830000</v>
      </c>
      <c r="G35" s="23" t="s">
        <v>376</v>
      </c>
      <c r="H35">
        <f>Sheet1[[#This Row],[Volume (24h)]]/Sheet1[[#This Row],[Circulating Supply]]</f>
        <v>6.7722075637642919E-8</v>
      </c>
      <c r="I35">
        <f>RANK(Sheet1[[#This Row],[Market Cap]],Sheet1[Market Cap],0)</f>
        <v>13</v>
      </c>
      <c r="J35" t="str">
        <f t="shared" si="0"/>
        <v>0-0.5</v>
      </c>
      <c r="K35" t="str">
        <f t="shared" si="1"/>
        <v>$0-$50</v>
      </c>
      <c r="L35">
        <f t="shared" si="2"/>
        <v>5.1750474857542736E-2</v>
      </c>
      <c r="M35" t="str">
        <f t="shared" si="3"/>
        <v>Up to $10</v>
      </c>
      <c r="N35" s="22">
        <v>0.61</v>
      </c>
      <c r="O35" s="22">
        <v>0.28000000000000003</v>
      </c>
    </row>
    <row r="36" spans="1:15">
      <c r="A36" s="22" t="s">
        <v>377</v>
      </c>
      <c r="B36" s="22" t="s">
        <v>378</v>
      </c>
      <c r="C36" s="22">
        <v>0.45639999999999997</v>
      </c>
      <c r="D36" s="22">
        <v>0.32</v>
      </c>
      <c r="E36" s="22">
        <v>1230000000</v>
      </c>
      <c r="F36" s="22">
        <v>22380000</v>
      </c>
      <c r="G36" s="22">
        <v>2700000000</v>
      </c>
      <c r="H36">
        <f>Sheet1[[#This Row],[Volume (24h)]]/Sheet1[[#This Row],[Circulating Supply]]</f>
        <v>8.288888888888889E-3</v>
      </c>
      <c r="I36">
        <f>RANK(Sheet1[[#This Row],[Market Cap]],Sheet1[Market Cap],0)</f>
        <v>14</v>
      </c>
      <c r="J36" t="str">
        <f t="shared" si="0"/>
        <v>0-0.5</v>
      </c>
      <c r="K36" t="str">
        <f t="shared" si="1"/>
        <v>$0-$50</v>
      </c>
      <c r="L36">
        <f t="shared" si="2"/>
        <v>0.4549441786283891</v>
      </c>
      <c r="M36" t="str">
        <f t="shared" si="3"/>
        <v>Up to $10</v>
      </c>
      <c r="N36" s="22">
        <v>7.03</v>
      </c>
      <c r="O36" s="22">
        <v>28.73</v>
      </c>
    </row>
    <row r="37" spans="1:15">
      <c r="A37" s="22" t="s">
        <v>30</v>
      </c>
      <c r="B37" s="22" t="s">
        <v>30</v>
      </c>
      <c r="C37" s="22">
        <v>1</v>
      </c>
      <c r="D37" s="22">
        <v>0</v>
      </c>
      <c r="E37" s="22">
        <v>1190000000</v>
      </c>
      <c r="F37" s="22">
        <v>15950000</v>
      </c>
      <c r="G37" s="22">
        <v>1190000000</v>
      </c>
      <c r="H37">
        <f>Sheet1[[#This Row],[Volume (24h)]]/Sheet1[[#This Row],[Circulating Supply]]</f>
        <v>1.3403361344537816E-2</v>
      </c>
      <c r="I37">
        <f>RANK(Sheet1[[#This Row],[Market Cap]],Sheet1[Market Cap],0)</f>
        <v>15</v>
      </c>
      <c r="J37" t="str">
        <f t="shared" si="0"/>
        <v>0-0.5</v>
      </c>
      <c r="K37" t="str">
        <f t="shared" si="1"/>
        <v>$0-$50</v>
      </c>
      <c r="L37">
        <f t="shared" si="2"/>
        <v>1</v>
      </c>
      <c r="M37" t="str">
        <f t="shared" si="3"/>
        <v>Up to $10</v>
      </c>
      <c r="N37" s="22">
        <v>0.02</v>
      </c>
      <c r="O37" s="22">
        <v>0</v>
      </c>
    </row>
    <row r="38" spans="1:15">
      <c r="A38" s="22" t="s">
        <v>137</v>
      </c>
      <c r="B38" s="22" t="s">
        <v>379</v>
      </c>
      <c r="C38" s="22">
        <v>0.99529999999999996</v>
      </c>
      <c r="D38" s="22">
        <v>0.08</v>
      </c>
      <c r="E38" s="22">
        <v>1170000000</v>
      </c>
      <c r="F38" s="22">
        <v>962330</v>
      </c>
      <c r="G38" s="22">
        <v>1170000000</v>
      </c>
      <c r="H38">
        <f>Sheet1[[#This Row],[Volume (24h)]]/Sheet1[[#This Row],[Circulating Supply]]</f>
        <v>8.2250427350427353E-4</v>
      </c>
      <c r="I38">
        <f>RANK(Sheet1[[#This Row],[Market Cap]],Sheet1[Market Cap],0)</f>
        <v>16</v>
      </c>
      <c r="J38" t="str">
        <f t="shared" si="0"/>
        <v>0-0.5</v>
      </c>
      <c r="K38" t="str">
        <f t="shared" si="1"/>
        <v>$0-$50</v>
      </c>
      <c r="L38">
        <f t="shared" si="2"/>
        <v>0.99450439648281375</v>
      </c>
      <c r="M38" t="str">
        <f t="shared" si="3"/>
        <v>Up to $10</v>
      </c>
      <c r="N38" s="22">
        <v>0.05</v>
      </c>
      <c r="O38" s="22">
        <v>0.04</v>
      </c>
    </row>
    <row r="39" spans="1:15">
      <c r="A39" s="22" t="s">
        <v>27</v>
      </c>
      <c r="B39" s="22" t="s">
        <v>380</v>
      </c>
      <c r="C39" s="22">
        <v>0.22070000000000001</v>
      </c>
      <c r="D39" s="22">
        <v>0.62</v>
      </c>
      <c r="E39" s="22">
        <v>984260000</v>
      </c>
      <c r="F39" s="22">
        <v>17360000</v>
      </c>
      <c r="G39" s="22">
        <v>4450000000</v>
      </c>
      <c r="H39">
        <f>Sheet1[[#This Row],[Volume (24h)]]/Sheet1[[#This Row],[Circulating Supply]]</f>
        <v>3.9011235955056182E-3</v>
      </c>
      <c r="I39">
        <f>RANK(Sheet1[[#This Row],[Market Cap]],Sheet1[Market Cap],0)</f>
        <v>17</v>
      </c>
      <c r="J39" t="str">
        <f t="shared" si="0"/>
        <v>0-0.5</v>
      </c>
      <c r="K39" t="str">
        <f t="shared" si="1"/>
        <v>$0-$50</v>
      </c>
      <c r="L39">
        <f t="shared" si="2"/>
        <v>0.2193400914331147</v>
      </c>
      <c r="M39" t="str">
        <f t="shared" si="3"/>
        <v>Up to $10</v>
      </c>
      <c r="N39" s="22">
        <v>2.0699999999999998</v>
      </c>
      <c r="O39" s="22">
        <v>11.45</v>
      </c>
    </row>
    <row r="40" spans="1:15">
      <c r="A40" s="22" t="s">
        <v>91</v>
      </c>
      <c r="B40" s="22" t="s">
        <v>381</v>
      </c>
      <c r="C40" s="22">
        <v>4.41</v>
      </c>
      <c r="D40" s="22">
        <v>0.31</v>
      </c>
      <c r="E40" s="22">
        <v>870030000</v>
      </c>
      <c r="F40" s="22">
        <v>14320000</v>
      </c>
      <c r="G40" s="22">
        <v>197140000</v>
      </c>
      <c r="H40">
        <f>Sheet1[[#This Row],[Volume (24h)]]/Sheet1[[#This Row],[Circulating Supply]]</f>
        <v>7.2638733894694121E-2</v>
      </c>
      <c r="I40">
        <f>RANK(Sheet1[[#This Row],[Market Cap]],Sheet1[Market Cap],0)</f>
        <v>18</v>
      </c>
      <c r="J40" t="str">
        <f t="shared" si="0"/>
        <v>0-0.5</v>
      </c>
      <c r="K40" t="str">
        <f t="shared" si="1"/>
        <v>$0-$50</v>
      </c>
      <c r="L40">
        <f t="shared" si="2"/>
        <v>4.3963712491277036</v>
      </c>
      <c r="M40" t="str">
        <f t="shared" si="3"/>
        <v>Up to $10</v>
      </c>
      <c r="N40" s="22">
        <v>4.22</v>
      </c>
      <c r="O40" s="22">
        <v>20.96</v>
      </c>
    </row>
    <row r="41" spans="1:15">
      <c r="A41" s="22" t="s">
        <v>111</v>
      </c>
      <c r="B41" s="22" t="s">
        <v>111</v>
      </c>
      <c r="C41" s="22">
        <v>0.99860000000000004</v>
      </c>
      <c r="D41" s="22">
        <v>0.02</v>
      </c>
      <c r="E41" s="22">
        <v>698050000</v>
      </c>
      <c r="F41" s="22">
        <v>525060</v>
      </c>
      <c r="G41" s="22">
        <v>699000000</v>
      </c>
      <c r="H41">
        <f>Sheet1[[#This Row],[Volume (24h)]]/Sheet1[[#This Row],[Circulating Supply]]</f>
        <v>7.5115879828326179E-4</v>
      </c>
      <c r="I41">
        <f>RANK(Sheet1[[#This Row],[Market Cap]],Sheet1[Market Cap],0)</f>
        <v>19</v>
      </c>
      <c r="J41" t="str">
        <f t="shared" si="0"/>
        <v>10000+</v>
      </c>
      <c r="K41" t="str">
        <f t="shared" si="1"/>
        <v>$0-$50</v>
      </c>
      <c r="L41">
        <f t="shared" si="2"/>
        <v>0.99840031993601286</v>
      </c>
      <c r="M41" t="str">
        <f t="shared" si="3"/>
        <v>Up to $10</v>
      </c>
      <c r="N41" s="22">
        <v>0.04</v>
      </c>
      <c r="O41" s="22">
        <v>0.01</v>
      </c>
    </row>
    <row r="42" spans="1:15">
      <c r="A42" s="22" t="s">
        <v>31</v>
      </c>
      <c r="B42" s="22" t="s">
        <v>382</v>
      </c>
      <c r="C42" s="22">
        <v>8.3150000000000002E-2</v>
      </c>
      <c r="D42" s="22">
        <v>0.09</v>
      </c>
      <c r="E42" s="22">
        <v>654430000</v>
      </c>
      <c r="F42" s="22">
        <v>9910000</v>
      </c>
      <c r="G42" s="22">
        <v>7870000000</v>
      </c>
      <c r="H42">
        <f>Sheet1[[#This Row],[Volume (24h)]]/Sheet1[[#This Row],[Circulating Supply]]</f>
        <v>1.2592121982210928E-3</v>
      </c>
      <c r="I42">
        <f>RANK(Sheet1[[#This Row],[Market Cap]],Sheet1[Market Cap],0)</f>
        <v>20</v>
      </c>
      <c r="J42" t="str">
        <f t="shared" si="0"/>
        <v>0-0.5</v>
      </c>
      <c r="K42" t="str">
        <f t="shared" si="1"/>
        <v>$0-$50</v>
      </c>
      <c r="L42">
        <f t="shared" si="2"/>
        <v>8.3075232290938161E-2</v>
      </c>
      <c r="M42" t="str">
        <f t="shared" si="3"/>
        <v>Up to $10</v>
      </c>
      <c r="N42" s="22">
        <v>0.7</v>
      </c>
      <c r="O42" s="22">
        <v>0.18</v>
      </c>
    </row>
    <row r="43" spans="1:15">
      <c r="A43" s="22" t="s">
        <v>204</v>
      </c>
      <c r="B43" s="22" t="s">
        <v>383</v>
      </c>
      <c r="C43" s="22">
        <v>0.99870000000000003</v>
      </c>
      <c r="D43" s="22">
        <v>0.01</v>
      </c>
      <c r="E43" s="22">
        <v>553320000</v>
      </c>
      <c r="F43" s="22">
        <v>119760</v>
      </c>
      <c r="G43" s="22">
        <v>553990000</v>
      </c>
      <c r="H43">
        <f>Sheet1[[#This Row],[Volume (24h)]]/Sheet1[[#This Row],[Circulating Supply]]</f>
        <v>2.1617718731385043E-4</v>
      </c>
      <c r="I43">
        <f>RANK(Sheet1[[#This Row],[Market Cap]],Sheet1[Market Cap],0)</f>
        <v>21</v>
      </c>
      <c r="J43" t="str">
        <f t="shared" si="0"/>
        <v>10-100</v>
      </c>
      <c r="K43" t="str">
        <f t="shared" si="1"/>
        <v>$0-$50</v>
      </c>
      <c r="L43">
        <f t="shared" si="2"/>
        <v>0.99860013998600139</v>
      </c>
      <c r="M43" t="str">
        <f t="shared" si="3"/>
        <v>Up to $10</v>
      </c>
      <c r="N43" s="22">
        <v>0.01</v>
      </c>
      <c r="O43" s="22">
        <v>0</v>
      </c>
    </row>
    <row r="44" spans="1:15">
      <c r="A44" s="22" t="s">
        <v>225</v>
      </c>
      <c r="B44" s="22" t="s">
        <v>384</v>
      </c>
      <c r="C44" s="22">
        <v>0.99990000000000001</v>
      </c>
      <c r="D44" s="22">
        <v>0.01</v>
      </c>
      <c r="E44" s="22">
        <v>501320000</v>
      </c>
      <c r="F44" s="22">
        <v>3240000</v>
      </c>
      <c r="G44" s="22">
        <v>501350000</v>
      </c>
      <c r="H44">
        <f>Sheet1[[#This Row],[Volume (24h)]]/Sheet1[[#This Row],[Circulating Supply]]</f>
        <v>6.462551111997606E-3</v>
      </c>
      <c r="I44">
        <f>RANK(Sheet1[[#This Row],[Market Cap]],Sheet1[Market Cap],0)</f>
        <v>22</v>
      </c>
      <c r="J44" t="str">
        <f t="shared" si="0"/>
        <v>10-100</v>
      </c>
      <c r="K44" t="str">
        <f t="shared" si="1"/>
        <v>$0-$50</v>
      </c>
      <c r="L44">
        <f t="shared" si="2"/>
        <v>0.99980001999800017</v>
      </c>
      <c r="M44" t="str">
        <f t="shared" si="3"/>
        <v>Up to $10</v>
      </c>
      <c r="N44" s="22">
        <v>0.01</v>
      </c>
      <c r="O44" s="22">
        <v>0.01</v>
      </c>
    </row>
    <row r="45" spans="1:15">
      <c r="A45" s="22" t="s">
        <v>24</v>
      </c>
      <c r="B45" s="22" t="s">
        <v>385</v>
      </c>
      <c r="C45" s="22">
        <v>1</v>
      </c>
      <c r="D45" s="22">
        <v>0.01</v>
      </c>
      <c r="E45" s="22">
        <v>404340000</v>
      </c>
      <c r="F45" s="22">
        <v>18730000</v>
      </c>
      <c r="G45" s="22">
        <v>403150000</v>
      </c>
      <c r="H45">
        <f>Sheet1[[#This Row],[Volume (24h)]]/Sheet1[[#This Row],[Circulating Supply]]</f>
        <v>4.6459134317251641E-2</v>
      </c>
      <c r="I45">
        <f>RANK(Sheet1[[#This Row],[Market Cap]],Sheet1[Market Cap],0)</f>
        <v>23</v>
      </c>
      <c r="J45" t="str">
        <f t="shared" si="0"/>
        <v>0-0.5</v>
      </c>
      <c r="K45" t="str">
        <f t="shared" si="1"/>
        <v>$0-$50</v>
      </c>
      <c r="L45">
        <f t="shared" si="2"/>
        <v>0.99990000999900008</v>
      </c>
      <c r="M45" t="str">
        <f t="shared" si="3"/>
        <v>Up to $10</v>
      </c>
      <c r="N45" s="22">
        <v>0.01</v>
      </c>
      <c r="O45" s="22">
        <v>0.06</v>
      </c>
    </row>
    <row r="46" spans="1:15">
      <c r="A46" s="22" t="s">
        <v>28</v>
      </c>
      <c r="B46" s="22" t="s">
        <v>386</v>
      </c>
      <c r="C46" s="22">
        <v>0.12909999999999999</v>
      </c>
      <c r="D46" s="22">
        <v>2.34</v>
      </c>
      <c r="E46" s="22">
        <v>322960000</v>
      </c>
      <c r="F46" s="22">
        <v>6520000</v>
      </c>
      <c r="G46" s="22">
        <v>2500000000</v>
      </c>
      <c r="H46">
        <f>Sheet1[[#This Row],[Volume (24h)]]/Sheet1[[#This Row],[Circulating Supply]]</f>
        <v>2.6080000000000001E-3</v>
      </c>
      <c r="I46">
        <f>RANK(Sheet1[[#This Row],[Market Cap]],Sheet1[Market Cap],0)</f>
        <v>25</v>
      </c>
      <c r="J46" t="str">
        <f t="shared" si="0"/>
        <v>10-100</v>
      </c>
      <c r="K46" t="str">
        <f t="shared" si="1"/>
        <v>Above $50</v>
      </c>
      <c r="L46">
        <f t="shared" si="2"/>
        <v>0.12614813367207348</v>
      </c>
      <c r="M46" t="str">
        <f t="shared" si="3"/>
        <v>&gt;= $10</v>
      </c>
      <c r="N46" s="22">
        <v>9.14</v>
      </c>
      <c r="O46" s="22">
        <v>14.11</v>
      </c>
    </row>
    <row r="47" spans="1:15">
      <c r="A47" s="22" t="s">
        <v>387</v>
      </c>
      <c r="B47" s="22" t="s">
        <v>388</v>
      </c>
      <c r="C47" s="22">
        <v>8.9980000000000004E-2</v>
      </c>
      <c r="D47" s="22">
        <v>5.64</v>
      </c>
      <c r="E47" s="22">
        <v>64300000</v>
      </c>
      <c r="F47" s="22">
        <v>22180000</v>
      </c>
      <c r="G47" s="22">
        <v>714570000</v>
      </c>
      <c r="H47">
        <f>Sheet1[[#This Row],[Volume (24h)]]/Sheet1[[#This Row],[Circulating Supply]]</f>
        <v>3.1039646220804119E-2</v>
      </c>
      <c r="I47">
        <f>RANK(Sheet1[[#This Row],[Market Cap]],Sheet1[Market Cap],0)</f>
        <v>40</v>
      </c>
      <c r="J47" t="str">
        <f t="shared" si="0"/>
        <v>0-0.5</v>
      </c>
      <c r="K47" t="str">
        <f t="shared" si="1"/>
        <v>$0-$50</v>
      </c>
      <c r="L47">
        <f t="shared" si="2"/>
        <v>8.5176069670579335E-2</v>
      </c>
      <c r="M47" t="str">
        <f t="shared" si="3"/>
        <v>Up to $10</v>
      </c>
      <c r="N47" s="22">
        <v>29.03</v>
      </c>
      <c r="O47" s="22">
        <v>213.73</v>
      </c>
    </row>
    <row r="48" spans="1:15">
      <c r="A48" s="22" t="s">
        <v>389</v>
      </c>
      <c r="B48" s="22" t="s">
        <v>390</v>
      </c>
      <c r="C48" s="22">
        <v>1638.11</v>
      </c>
      <c r="D48" s="22">
        <v>0.48</v>
      </c>
      <c r="E48" s="22">
        <v>62930000</v>
      </c>
      <c r="F48" s="22">
        <v>936920</v>
      </c>
      <c r="G48" s="22">
        <v>38410</v>
      </c>
      <c r="H48">
        <f>Sheet1[[#This Row],[Volume (24h)]]/Sheet1[[#This Row],[Circulating Supply]]</f>
        <v>24.392606092163501</v>
      </c>
      <c r="I48">
        <f>RANK(Sheet1[[#This Row],[Market Cap]],Sheet1[Market Cap],0)</f>
        <v>41</v>
      </c>
      <c r="J48" t="str">
        <f t="shared" si="0"/>
        <v>100-10000</v>
      </c>
      <c r="K48" t="str">
        <f t="shared" si="1"/>
        <v>$0-$50</v>
      </c>
      <c r="L48">
        <f t="shared" si="2"/>
        <v>1630.2846337579617</v>
      </c>
      <c r="M48" t="str">
        <f t="shared" si="3"/>
        <v>Up to $10</v>
      </c>
      <c r="N48" s="22">
        <v>1.02</v>
      </c>
      <c r="O48" s="22">
        <v>6.35</v>
      </c>
    </row>
    <row r="49" spans="1:15">
      <c r="A49" s="22" t="s">
        <v>391</v>
      </c>
      <c r="B49" s="22" t="s">
        <v>392</v>
      </c>
      <c r="C49" s="22">
        <v>2.2159999999999999E-4</v>
      </c>
      <c r="D49" s="22">
        <v>2.36</v>
      </c>
      <c r="E49" s="22">
        <v>62620000</v>
      </c>
      <c r="F49" s="22">
        <v>839940</v>
      </c>
      <c r="G49" s="23" t="s">
        <v>393</v>
      </c>
      <c r="H49">
        <f>Sheet1[[#This Row],[Volume (24h)]]/Sheet1[[#This Row],[Circulating Supply]]</f>
        <v>2.9726075877689694E-6</v>
      </c>
      <c r="I49">
        <f>RANK(Sheet1[[#This Row],[Market Cap]],Sheet1[Market Cap],0)</f>
        <v>42</v>
      </c>
      <c r="J49" t="str">
        <f t="shared" si="0"/>
        <v>0-0.5</v>
      </c>
      <c r="K49" t="str">
        <f t="shared" si="1"/>
        <v>$0-$50</v>
      </c>
      <c r="L49">
        <f t="shared" si="2"/>
        <v>2.1649081672528331E-4</v>
      </c>
      <c r="M49" t="str">
        <f t="shared" si="3"/>
        <v>Up to $10</v>
      </c>
      <c r="N49" s="22">
        <v>6.3</v>
      </c>
      <c r="O49" s="22">
        <v>15.51</v>
      </c>
    </row>
    <row r="50" spans="1:15">
      <c r="A50" s="22" t="s">
        <v>394</v>
      </c>
      <c r="B50" s="22" t="s">
        <v>395</v>
      </c>
      <c r="C50" s="22">
        <v>0.99950000000000006</v>
      </c>
      <c r="D50" s="22">
        <v>0</v>
      </c>
      <c r="E50" s="22">
        <v>62570000</v>
      </c>
      <c r="F50" s="22">
        <v>147220000</v>
      </c>
      <c r="G50" s="22">
        <v>62600000</v>
      </c>
      <c r="H50">
        <f>Sheet1[[#This Row],[Volume (24h)]]/Sheet1[[#This Row],[Circulating Supply]]</f>
        <v>2.3517571884984028</v>
      </c>
      <c r="I50">
        <f>RANK(Sheet1[[#This Row],[Market Cap]],Sheet1[Market Cap],0)</f>
        <v>43</v>
      </c>
      <c r="J50" t="str">
        <f t="shared" si="0"/>
        <v>0-0.5</v>
      </c>
      <c r="K50" t="str">
        <f t="shared" si="1"/>
        <v>$0-$50</v>
      </c>
      <c r="L50">
        <f t="shared" si="2"/>
        <v>0.99950000000000006</v>
      </c>
      <c r="M50" t="str">
        <f t="shared" si="3"/>
        <v>Up to $10</v>
      </c>
      <c r="N50" s="22">
        <v>0.01</v>
      </c>
      <c r="O50" s="22">
        <v>0.03</v>
      </c>
    </row>
    <row r="51" spans="1:15">
      <c r="A51" s="22" t="s">
        <v>396</v>
      </c>
      <c r="B51" s="22" t="s">
        <v>397</v>
      </c>
      <c r="C51" s="22">
        <v>9.7219999999999997E-3</v>
      </c>
      <c r="D51" s="22">
        <v>0.69</v>
      </c>
      <c r="E51" s="22">
        <v>62010000</v>
      </c>
      <c r="F51" s="22">
        <v>99670000</v>
      </c>
      <c r="G51" s="22">
        <v>6370000000</v>
      </c>
      <c r="H51">
        <f>Sheet1[[#This Row],[Volume (24h)]]/Sheet1[[#This Row],[Circulating Supply]]</f>
        <v>1.5646781789638933E-2</v>
      </c>
      <c r="I51">
        <f>RANK(Sheet1[[#This Row],[Market Cap]],Sheet1[Market Cap],0)</f>
        <v>44</v>
      </c>
      <c r="J51" t="str">
        <f t="shared" si="0"/>
        <v>0-0.5</v>
      </c>
      <c r="K51" t="str">
        <f t="shared" si="1"/>
        <v>$0-$50</v>
      </c>
      <c r="L51">
        <f t="shared" si="2"/>
        <v>9.6553778925414641E-3</v>
      </c>
      <c r="M51" t="str">
        <f t="shared" si="3"/>
        <v>Up to $10</v>
      </c>
      <c r="N51" s="22">
        <v>2.72</v>
      </c>
      <c r="O51" s="22">
        <v>19.010000000000002</v>
      </c>
    </row>
    <row r="52" spans="1:15">
      <c r="A52" s="22" t="s">
        <v>398</v>
      </c>
      <c r="B52" s="22" t="s">
        <v>399</v>
      </c>
      <c r="C52" s="22">
        <v>0.20619999999999999</v>
      </c>
      <c r="D52" s="22">
        <v>0.47</v>
      </c>
      <c r="E52" s="22">
        <v>61970000</v>
      </c>
      <c r="F52" s="22">
        <v>7390000</v>
      </c>
      <c r="G52" s="22">
        <v>300480000</v>
      </c>
      <c r="H52">
        <f>Sheet1[[#This Row],[Volume (24h)]]/Sheet1[[#This Row],[Circulating Supply]]</f>
        <v>2.4593982960596381E-2</v>
      </c>
      <c r="I52">
        <f>RANK(Sheet1[[#This Row],[Market Cap]],Sheet1[Market Cap],0)</f>
        <v>45</v>
      </c>
      <c r="J52" t="str">
        <f t="shared" si="0"/>
        <v>0-0.5</v>
      </c>
      <c r="K52" t="str">
        <f t="shared" si="1"/>
        <v>$0-$50</v>
      </c>
      <c r="L52">
        <f t="shared" si="2"/>
        <v>0.20523539364984572</v>
      </c>
      <c r="M52" t="str">
        <f t="shared" si="3"/>
        <v>Up to $10</v>
      </c>
      <c r="N52" s="22">
        <v>0.3</v>
      </c>
      <c r="O52" s="22">
        <v>0.9</v>
      </c>
    </row>
    <row r="53" spans="1:15">
      <c r="A53" s="22" t="s">
        <v>400</v>
      </c>
      <c r="B53" s="22" t="s">
        <v>401</v>
      </c>
      <c r="C53" s="22">
        <v>2.4729999999999999E-2</v>
      </c>
      <c r="D53" s="22">
        <v>0.78</v>
      </c>
      <c r="E53" s="22">
        <v>61840000</v>
      </c>
      <c r="F53" s="22">
        <v>1970000</v>
      </c>
      <c r="G53" s="22">
        <v>2500000000</v>
      </c>
      <c r="H53">
        <f>Sheet1[[#This Row],[Volume (24h)]]/Sheet1[[#This Row],[Circulating Supply]]</f>
        <v>7.8799999999999996E-4</v>
      </c>
      <c r="I53">
        <f>RANK(Sheet1[[#This Row],[Market Cap]],Sheet1[Market Cap],0)</f>
        <v>46</v>
      </c>
      <c r="J53" t="str">
        <f t="shared" si="0"/>
        <v>100-10000</v>
      </c>
      <c r="K53" t="str">
        <f t="shared" si="1"/>
        <v>$0-$50</v>
      </c>
      <c r="L53">
        <f t="shared" si="2"/>
        <v>2.4538598928358798E-2</v>
      </c>
      <c r="M53" t="str">
        <f t="shared" si="3"/>
        <v>Up to $10</v>
      </c>
      <c r="N53" s="22">
        <v>4.4400000000000004</v>
      </c>
      <c r="O53" s="22">
        <v>3.96</v>
      </c>
    </row>
    <row r="54" spans="1:15">
      <c r="A54" s="22" t="s">
        <v>402</v>
      </c>
      <c r="B54" s="22" t="s">
        <v>403</v>
      </c>
      <c r="C54" s="22">
        <v>6.2579999999999997E-2</v>
      </c>
      <c r="D54" s="22">
        <v>1.2</v>
      </c>
      <c r="E54" s="22">
        <v>61330000</v>
      </c>
      <c r="F54" s="22">
        <v>12770000</v>
      </c>
      <c r="G54" s="22">
        <v>979930000</v>
      </c>
      <c r="H54">
        <f>Sheet1[[#This Row],[Volume (24h)]]/Sheet1[[#This Row],[Circulating Supply]]</f>
        <v>1.3031543069402917E-2</v>
      </c>
      <c r="I54">
        <f>RANK(Sheet1[[#This Row],[Market Cap]],Sheet1[Market Cap],0)</f>
        <v>48</v>
      </c>
      <c r="J54" t="str">
        <f t="shared" si="0"/>
        <v>0-0.5</v>
      </c>
      <c r="K54" t="str">
        <f t="shared" si="1"/>
        <v>$0-$50</v>
      </c>
      <c r="L54">
        <f t="shared" si="2"/>
        <v>6.1837944664031613E-2</v>
      </c>
      <c r="M54" t="str">
        <f t="shared" si="3"/>
        <v>Up to $10</v>
      </c>
      <c r="N54" s="22">
        <v>11.24</v>
      </c>
      <c r="O54" s="22">
        <v>51.31</v>
      </c>
    </row>
    <row r="55" spans="1:15">
      <c r="A55" s="22" t="s">
        <v>404</v>
      </c>
      <c r="B55" s="22" t="s">
        <v>405</v>
      </c>
      <c r="C55" s="22">
        <v>6.1429999999999998E-2</v>
      </c>
      <c r="D55" s="22">
        <v>0.36</v>
      </c>
      <c r="E55" s="22">
        <v>61400000</v>
      </c>
      <c r="F55" s="22">
        <v>57090</v>
      </c>
      <c r="G55" s="22">
        <v>999450000</v>
      </c>
      <c r="H55">
        <f>Sheet1[[#This Row],[Volume (24h)]]/Sheet1[[#This Row],[Circulating Supply]]</f>
        <v>5.7121416779228579E-5</v>
      </c>
      <c r="I55">
        <f>RANK(Sheet1[[#This Row],[Market Cap]],Sheet1[Market Cap],0)</f>
        <v>47</v>
      </c>
      <c r="J55" t="str">
        <f t="shared" si="0"/>
        <v>0-0.5</v>
      </c>
      <c r="K55" t="str">
        <f t="shared" si="1"/>
        <v>$0-$50</v>
      </c>
      <c r="L55">
        <f t="shared" si="2"/>
        <v>6.1209645277002789E-2</v>
      </c>
      <c r="M55" t="str">
        <f t="shared" si="3"/>
        <v>&gt;= $10</v>
      </c>
      <c r="N55" s="22">
        <v>1.38</v>
      </c>
      <c r="O55" s="22">
        <v>9.56</v>
      </c>
    </row>
    <row r="56" spans="1:15">
      <c r="A56" s="22" t="s">
        <v>406</v>
      </c>
      <c r="B56" s="22" t="s">
        <v>407</v>
      </c>
      <c r="C56" s="22">
        <v>0.2203</v>
      </c>
      <c r="D56" s="22">
        <v>5.35</v>
      </c>
      <c r="E56" s="22">
        <v>61210000</v>
      </c>
      <c r="F56" s="22">
        <v>5170000</v>
      </c>
      <c r="G56" s="22">
        <v>277810000</v>
      </c>
      <c r="H56">
        <f>Sheet1[[#This Row],[Volume (24h)]]/Sheet1[[#This Row],[Circulating Supply]]</f>
        <v>1.8609841258414025E-2</v>
      </c>
      <c r="I56">
        <f>RANK(Sheet1[[#This Row],[Market Cap]],Sheet1[Market Cap],0)</f>
        <v>49</v>
      </c>
      <c r="J56" t="str">
        <f t="shared" si="0"/>
        <v>0-0.5</v>
      </c>
      <c r="K56" t="str">
        <f t="shared" si="1"/>
        <v>$0-$50</v>
      </c>
      <c r="L56">
        <f t="shared" si="2"/>
        <v>0.20911248220218318</v>
      </c>
      <c r="M56" t="str">
        <f t="shared" si="3"/>
        <v>Up to $10</v>
      </c>
      <c r="N56" s="22">
        <v>8.18</v>
      </c>
      <c r="O56" s="22">
        <v>15.15</v>
      </c>
    </row>
    <row r="57" spans="1:15">
      <c r="A57" s="22" t="s">
        <v>408</v>
      </c>
      <c r="B57" s="22" t="s">
        <v>409</v>
      </c>
      <c r="C57" s="22">
        <v>13.79</v>
      </c>
      <c r="D57" s="22">
        <v>0.63</v>
      </c>
      <c r="E57" s="22">
        <v>60900000</v>
      </c>
      <c r="F57" s="22">
        <v>884820</v>
      </c>
      <c r="G57" s="22">
        <v>4410000</v>
      </c>
      <c r="H57">
        <f>Sheet1[[#This Row],[Volume (24h)]]/Sheet1[[#This Row],[Circulating Supply]]</f>
        <v>0.20063945578231293</v>
      </c>
      <c r="I57">
        <f>RANK(Sheet1[[#This Row],[Market Cap]],Sheet1[Market Cap],0)</f>
        <v>50</v>
      </c>
      <c r="J57" t="str">
        <f t="shared" si="0"/>
        <v>0-0.5</v>
      </c>
      <c r="K57" t="str">
        <f t="shared" si="1"/>
        <v>$0-$50</v>
      </c>
      <c r="L57">
        <f t="shared" si="2"/>
        <v>13.703666898539202</v>
      </c>
      <c r="M57" t="str">
        <f t="shared" si="3"/>
        <v>Up to $10</v>
      </c>
      <c r="N57" s="22">
        <v>1.34</v>
      </c>
      <c r="O57" s="22">
        <v>28.86</v>
      </c>
    </row>
    <row r="58" spans="1:15">
      <c r="A58" s="22" t="s">
        <v>410</v>
      </c>
      <c r="B58" s="22" t="s">
        <v>411</v>
      </c>
      <c r="C58" s="22">
        <v>3.54</v>
      </c>
      <c r="D58" s="22">
        <v>0.14000000000000001</v>
      </c>
      <c r="E58" s="22">
        <v>60590000</v>
      </c>
      <c r="F58" s="22">
        <v>247990</v>
      </c>
      <c r="G58" s="22">
        <v>17070000</v>
      </c>
      <c r="H58">
        <f>Sheet1[[#This Row],[Volume (24h)]]/Sheet1[[#This Row],[Circulating Supply]]</f>
        <v>1.4527826596367897E-2</v>
      </c>
      <c r="I58">
        <f>RANK(Sheet1[[#This Row],[Market Cap]],Sheet1[Market Cap],0)</f>
        <v>51</v>
      </c>
      <c r="J58" t="str">
        <f t="shared" si="0"/>
        <v>0-0.5</v>
      </c>
      <c r="K58" t="str">
        <f t="shared" si="1"/>
        <v>$0-$50</v>
      </c>
      <c r="L58">
        <f t="shared" si="2"/>
        <v>3.5350509286998202</v>
      </c>
      <c r="M58" t="str">
        <f t="shared" si="3"/>
        <v>Up to $10</v>
      </c>
      <c r="N58" s="22">
        <v>1.31</v>
      </c>
      <c r="O58" s="22">
        <v>1.64</v>
      </c>
    </row>
    <row r="59" spans="1:15">
      <c r="A59" s="22" t="s">
        <v>412</v>
      </c>
      <c r="B59" s="22" t="s">
        <v>413</v>
      </c>
      <c r="C59" s="22">
        <v>0.999</v>
      </c>
      <c r="D59" s="22">
        <v>0.01</v>
      </c>
      <c r="E59" s="22">
        <v>60500000</v>
      </c>
      <c r="F59" s="22">
        <v>685770</v>
      </c>
      <c r="G59" s="22">
        <v>60550000</v>
      </c>
      <c r="H59">
        <f>Sheet1[[#This Row],[Volume (24h)]]/Sheet1[[#This Row],[Circulating Supply]]</f>
        <v>1.1325681255161023E-2</v>
      </c>
      <c r="I59">
        <f>RANK(Sheet1[[#This Row],[Market Cap]],Sheet1[Market Cap],0)</f>
        <v>52</v>
      </c>
      <c r="J59" t="str">
        <f t="shared" si="0"/>
        <v>0-0.5</v>
      </c>
      <c r="K59" t="str">
        <f t="shared" si="1"/>
        <v>$0-$50</v>
      </c>
      <c r="L59">
        <f t="shared" si="2"/>
        <v>0.99890010998900114</v>
      </c>
      <c r="M59" t="str">
        <f t="shared" si="3"/>
        <v>Up to $10</v>
      </c>
      <c r="N59" s="22">
        <v>0.01</v>
      </c>
      <c r="O59" s="22">
        <v>0.09</v>
      </c>
    </row>
    <row r="60" spans="1:15">
      <c r="A60" s="22" t="s">
        <v>414</v>
      </c>
      <c r="B60" s="22" t="s">
        <v>415</v>
      </c>
      <c r="C60" s="22">
        <v>2.2349999999999998E-2</v>
      </c>
      <c r="D60" s="22">
        <v>0.03</v>
      </c>
      <c r="E60" s="22">
        <v>60230000</v>
      </c>
      <c r="F60" s="22"/>
      <c r="G60" s="22">
        <v>2690000000</v>
      </c>
      <c r="H60">
        <f>Sheet1[[#This Row],[Volume (24h)]]/Sheet1[[#This Row],[Circulating Supply]]</f>
        <v>0</v>
      </c>
      <c r="I60">
        <f>RANK(Sheet1[[#This Row],[Market Cap]],Sheet1[Market Cap],0)</f>
        <v>53</v>
      </c>
      <c r="J60" t="str">
        <f t="shared" si="0"/>
        <v>0-0.5</v>
      </c>
      <c r="K60" t="str">
        <f t="shared" si="1"/>
        <v>$0-$50</v>
      </c>
      <c r="L60">
        <f t="shared" si="2"/>
        <v>2.234329701089673E-2</v>
      </c>
      <c r="M60" t="str">
        <f t="shared" si="3"/>
        <v>Up to $10</v>
      </c>
      <c r="N60" s="22">
        <v>0.01</v>
      </c>
      <c r="O60" s="22">
        <v>0.23</v>
      </c>
    </row>
    <row r="61" spans="1:15">
      <c r="A61" s="22" t="s">
        <v>416</v>
      </c>
      <c r="B61" s="22" t="s">
        <v>417</v>
      </c>
      <c r="C61" s="22">
        <v>6.4241000000000006E-2</v>
      </c>
      <c r="D61" s="22">
        <v>0.38</v>
      </c>
      <c r="E61" s="22">
        <v>60030000</v>
      </c>
      <c r="F61" s="22">
        <v>998460</v>
      </c>
      <c r="G61" s="23" t="s">
        <v>418</v>
      </c>
      <c r="H61">
        <f>Sheet1[[#This Row],[Volume (24h)]]/Sheet1[[#This Row],[Circulating Supply]]</f>
        <v>7.0537619215824798E-9</v>
      </c>
      <c r="I61">
        <f>RANK(Sheet1[[#This Row],[Market Cap]],Sheet1[Market Cap],0)</f>
        <v>54</v>
      </c>
      <c r="J61" t="str">
        <f t="shared" si="0"/>
        <v>100-10000</v>
      </c>
      <c r="K61" t="str">
        <f t="shared" si="1"/>
        <v>$0-$50</v>
      </c>
      <c r="L61">
        <f t="shared" si="2"/>
        <v>6.3997808328352265E-2</v>
      </c>
      <c r="M61" t="str">
        <f t="shared" si="3"/>
        <v>Up to $10</v>
      </c>
      <c r="N61" s="22">
        <v>0.6</v>
      </c>
      <c r="O61" s="22">
        <v>2.99</v>
      </c>
    </row>
    <row r="62" spans="1:15">
      <c r="A62" s="22" t="s">
        <v>419</v>
      </c>
      <c r="B62" s="22" t="s">
        <v>420</v>
      </c>
      <c r="C62" s="22">
        <v>0.43259999999999998</v>
      </c>
      <c r="D62" s="22">
        <v>0.21</v>
      </c>
      <c r="E62" s="22">
        <v>43260000</v>
      </c>
      <c r="F62" s="22">
        <v>5400000</v>
      </c>
      <c r="G62" s="22">
        <v>100000000</v>
      </c>
      <c r="H62">
        <f>Sheet1[[#This Row],[Volume (24h)]]/Sheet1[[#This Row],[Circulating Supply]]</f>
        <v>5.3999999999999999E-2</v>
      </c>
      <c r="I62">
        <f>RANK(Sheet1[[#This Row],[Market Cap]],Sheet1[Market Cap],0)</f>
        <v>55</v>
      </c>
      <c r="J62" t="str">
        <f t="shared" si="0"/>
        <v>0-0.5</v>
      </c>
      <c r="K62" t="str">
        <f t="shared" si="1"/>
        <v>$0-$50</v>
      </c>
      <c r="L62">
        <f t="shared" si="2"/>
        <v>0.43169344376808699</v>
      </c>
      <c r="M62" t="str">
        <f t="shared" si="3"/>
        <v>Up to $10</v>
      </c>
      <c r="N62" s="22">
        <v>3</v>
      </c>
      <c r="O62" s="22">
        <v>24.32</v>
      </c>
    </row>
    <row r="63" spans="1:15">
      <c r="A63" s="22" t="s">
        <v>421</v>
      </c>
      <c r="B63" s="22" t="s">
        <v>422</v>
      </c>
      <c r="C63" s="22">
        <v>3.9129999999999998E-3</v>
      </c>
      <c r="D63" s="22">
        <v>0.5</v>
      </c>
      <c r="E63" s="22">
        <v>43130000</v>
      </c>
      <c r="F63" s="22">
        <v>4510000</v>
      </c>
      <c r="G63" s="22">
        <v>11020000000</v>
      </c>
      <c r="H63">
        <f>Sheet1[[#This Row],[Volume (24h)]]/Sheet1[[#This Row],[Circulating Supply]]</f>
        <v>4.0925589836660617E-4</v>
      </c>
      <c r="I63">
        <f>RANK(Sheet1[[#This Row],[Market Cap]],Sheet1[Market Cap],0)</f>
        <v>56</v>
      </c>
      <c r="J63" t="str">
        <f t="shared" si="0"/>
        <v>0-0.5</v>
      </c>
      <c r="K63" t="str">
        <f t="shared" si="1"/>
        <v>$0-$50</v>
      </c>
      <c r="L63">
        <f t="shared" si="2"/>
        <v>3.893532338308458E-3</v>
      </c>
      <c r="M63" t="str">
        <f t="shared" si="3"/>
        <v>Up to $10</v>
      </c>
      <c r="N63" s="22">
        <v>2.09</v>
      </c>
      <c r="O63" s="22">
        <v>0.64</v>
      </c>
    </row>
    <row r="64" spans="1:15">
      <c r="A64" s="22" t="s">
        <v>423</v>
      </c>
      <c r="B64" s="22" t="s">
        <v>424</v>
      </c>
      <c r="C64" s="22">
        <v>2.19</v>
      </c>
      <c r="D64" s="22">
        <v>0.36</v>
      </c>
      <c r="E64" s="22">
        <v>43050000</v>
      </c>
      <c r="F64" s="22">
        <v>3960000</v>
      </c>
      <c r="G64" s="22">
        <v>19600000</v>
      </c>
      <c r="H64">
        <f>Sheet1[[#This Row],[Volume (24h)]]/Sheet1[[#This Row],[Circulating Supply]]</f>
        <v>0.20204081632653062</v>
      </c>
      <c r="I64">
        <f>RANK(Sheet1[[#This Row],[Market Cap]],Sheet1[Market Cap],0)</f>
        <v>57</v>
      </c>
      <c r="J64" t="str">
        <f t="shared" si="0"/>
        <v>0-0.5</v>
      </c>
      <c r="K64" t="str">
        <f t="shared" si="1"/>
        <v>$0-$50</v>
      </c>
      <c r="L64">
        <f t="shared" si="2"/>
        <v>2.1821442805898763</v>
      </c>
      <c r="M64" t="str">
        <f t="shared" si="3"/>
        <v>Up to $10</v>
      </c>
      <c r="N64" s="22">
        <v>3.51</v>
      </c>
      <c r="O64" s="22">
        <v>15.38</v>
      </c>
    </row>
    <row r="65" spans="1:15">
      <c r="A65" s="22" t="s">
        <v>425</v>
      </c>
      <c r="B65" s="22" t="s">
        <v>426</v>
      </c>
      <c r="C65" s="22">
        <v>0.12989999999999999</v>
      </c>
      <c r="D65" s="22">
        <v>1.88</v>
      </c>
      <c r="E65" s="22">
        <v>42940000</v>
      </c>
      <c r="F65" s="22">
        <v>25280000</v>
      </c>
      <c r="G65" s="22">
        <v>330510000</v>
      </c>
      <c r="H65">
        <f>Sheet1[[#This Row],[Volume (24h)]]/Sheet1[[#This Row],[Circulating Supply]]</f>
        <v>7.648785210734925E-2</v>
      </c>
      <c r="I65">
        <f>RANK(Sheet1[[#This Row],[Market Cap]],Sheet1[Market Cap],0)</f>
        <v>60</v>
      </c>
      <c r="J65" t="str">
        <f t="shared" si="0"/>
        <v>1-2</v>
      </c>
      <c r="K65" t="str">
        <f t="shared" si="1"/>
        <v>$0-$50</v>
      </c>
      <c r="L65">
        <f t="shared" si="2"/>
        <v>0.12750294464075382</v>
      </c>
      <c r="M65" t="str">
        <f t="shared" si="3"/>
        <v>Up to $10</v>
      </c>
      <c r="N65" s="22">
        <v>2.2799999999999998</v>
      </c>
      <c r="O65" s="22">
        <v>50.32</v>
      </c>
    </row>
    <row r="66" spans="1:15">
      <c r="A66" s="22" t="s">
        <v>119</v>
      </c>
      <c r="B66" s="22" t="s">
        <v>427</v>
      </c>
      <c r="C66" s="22">
        <v>0.22650000000000001</v>
      </c>
      <c r="D66" s="22">
        <v>0.91</v>
      </c>
      <c r="E66" s="22">
        <v>43040000</v>
      </c>
      <c r="F66" s="22">
        <v>1140000</v>
      </c>
      <c r="G66" s="22">
        <v>190000000</v>
      </c>
      <c r="H66">
        <f>Sheet1[[#This Row],[Volume (24h)]]/Sheet1[[#This Row],[Circulating Supply]]</f>
        <v>6.0000000000000001E-3</v>
      </c>
      <c r="I66">
        <f>RANK(Sheet1[[#This Row],[Market Cap]],Sheet1[Market Cap],0)</f>
        <v>58</v>
      </c>
      <c r="J66" t="str">
        <f t="shared" ref="J66:J129" si="4">IF(C276&lt;=0.5,"0-0.5",IF(C276&lt;=1,"0.5-1",IF(C276&lt;=2,"1-2",IF(C276&lt;=10,"2-10",IF(C276&lt;=100,"10-100",IF(C276&lt;=10000,"100-10000","10000+"))))))</f>
        <v>100-10000</v>
      </c>
      <c r="K66" t="str">
        <f t="shared" ref="K66:K129" si="5">IF(C68&lt;=50,"$0-$50","Above $50")</f>
        <v>$0-$50</v>
      </c>
      <c r="L66">
        <f t="shared" ref="L66:L129" si="6">C66/(1+D66/100)</f>
        <v>0.22445743732038448</v>
      </c>
      <c r="M66" t="str">
        <f t="shared" ref="M66:M129" si="7">IF(C68&lt;=10,"Up to $10","&gt;= $10")</f>
        <v>Up to $10</v>
      </c>
      <c r="N66" s="22">
        <v>1.75</v>
      </c>
      <c r="O66" s="22">
        <v>40.950000000000003</v>
      </c>
    </row>
    <row r="67" spans="1:15">
      <c r="A67" s="22" t="s">
        <v>428</v>
      </c>
      <c r="B67" s="22" t="s">
        <v>429</v>
      </c>
      <c r="C67" s="22">
        <v>7.718E-3</v>
      </c>
      <c r="D67" s="22">
        <v>0.75</v>
      </c>
      <c r="E67" s="22">
        <v>42990000</v>
      </c>
      <c r="F67" s="22">
        <v>108500</v>
      </c>
      <c r="G67" s="22">
        <v>5570000000</v>
      </c>
      <c r="H67">
        <f>Sheet1[[#This Row],[Volume (24h)]]/Sheet1[[#This Row],[Circulating Supply]]</f>
        <v>1.947935368043088E-5</v>
      </c>
      <c r="I67">
        <f>RANK(Sheet1[[#This Row],[Market Cap]],Sheet1[Market Cap],0)</f>
        <v>59</v>
      </c>
      <c r="J67" t="str">
        <f t="shared" si="4"/>
        <v>100-10000</v>
      </c>
      <c r="K67" t="str">
        <f t="shared" si="5"/>
        <v>$0-$50</v>
      </c>
      <c r="L67">
        <f t="shared" si="6"/>
        <v>7.6605459057071954E-3</v>
      </c>
      <c r="M67" t="str">
        <f t="shared" si="7"/>
        <v>Up to $10</v>
      </c>
      <c r="N67" s="22">
        <v>3.48</v>
      </c>
      <c r="O67" s="22">
        <v>54.87</v>
      </c>
    </row>
    <row r="68" spans="1:15">
      <c r="A68" s="22" t="s">
        <v>430</v>
      </c>
      <c r="B68" s="22" t="s">
        <v>431</v>
      </c>
      <c r="C68" s="22">
        <v>1.489E-2</v>
      </c>
      <c r="D68" s="22">
        <v>7.0000000000000007E-2</v>
      </c>
      <c r="E68" s="22">
        <v>42890000</v>
      </c>
      <c r="F68" s="22">
        <v>6380000</v>
      </c>
      <c r="G68" s="22">
        <v>2870000000</v>
      </c>
      <c r="H68">
        <f>Sheet1[[#This Row],[Volume (24h)]]/Sheet1[[#This Row],[Circulating Supply]]</f>
        <v>2.2229965156794424E-3</v>
      </c>
      <c r="I68">
        <f>RANK(Sheet1[[#This Row],[Market Cap]],Sheet1[Market Cap],0)</f>
        <v>61</v>
      </c>
      <c r="J68" t="str">
        <f t="shared" si="4"/>
        <v>0-0.5</v>
      </c>
      <c r="K68" t="str">
        <f t="shared" si="5"/>
        <v>$0-$50</v>
      </c>
      <c r="L68">
        <f t="shared" si="6"/>
        <v>1.4879584290996305E-2</v>
      </c>
      <c r="M68" t="str">
        <f t="shared" si="7"/>
        <v>Up to $10</v>
      </c>
      <c r="N68" s="22">
        <v>6.67</v>
      </c>
      <c r="O68" s="22">
        <v>28.37</v>
      </c>
    </row>
    <row r="69" spans="1:15">
      <c r="A69" s="22" t="s">
        <v>432</v>
      </c>
      <c r="B69" s="22" t="s">
        <v>433</v>
      </c>
      <c r="C69" s="22">
        <v>2.594E-3</v>
      </c>
      <c r="D69" s="22">
        <v>0.84</v>
      </c>
      <c r="E69" s="22">
        <v>42860000</v>
      </c>
      <c r="F69" s="22">
        <v>1330000</v>
      </c>
      <c r="G69" s="22">
        <v>16520000000</v>
      </c>
      <c r="H69">
        <f>Sheet1[[#This Row],[Volume (24h)]]/Sheet1[[#This Row],[Circulating Supply]]</f>
        <v>8.050847457627118E-5</v>
      </c>
      <c r="I69">
        <f>RANK(Sheet1[[#This Row],[Market Cap]],Sheet1[Market Cap],0)</f>
        <v>62</v>
      </c>
      <c r="J69" t="str">
        <f t="shared" si="4"/>
        <v>100-10000</v>
      </c>
      <c r="K69" t="str">
        <f t="shared" si="5"/>
        <v>$0-$50</v>
      </c>
      <c r="L69">
        <f t="shared" si="6"/>
        <v>2.5723919079730265E-3</v>
      </c>
      <c r="M69" t="str">
        <f t="shared" si="7"/>
        <v>Up to $10</v>
      </c>
      <c r="N69" s="22">
        <v>1.58</v>
      </c>
      <c r="O69" s="22">
        <v>31.06</v>
      </c>
    </row>
    <row r="70" spans="1:15">
      <c r="A70" s="22" t="s">
        <v>434</v>
      </c>
      <c r="B70" s="22" t="s">
        <v>435</v>
      </c>
      <c r="C70" s="22">
        <v>7.2410000000000002E-2</v>
      </c>
      <c r="D70" s="22">
        <v>0.34</v>
      </c>
      <c r="E70" s="22">
        <v>42830000</v>
      </c>
      <c r="F70" s="22">
        <v>1550000</v>
      </c>
      <c r="G70" s="22">
        <v>591560000</v>
      </c>
      <c r="H70">
        <f>Sheet1[[#This Row],[Volume (24h)]]/Sheet1[[#This Row],[Circulating Supply]]</f>
        <v>2.6201906822638449E-3</v>
      </c>
      <c r="I70">
        <f>RANK(Sheet1[[#This Row],[Market Cap]],Sheet1[Market Cap],0)</f>
        <v>63</v>
      </c>
      <c r="J70" t="str">
        <f t="shared" si="4"/>
        <v>0-0.5</v>
      </c>
      <c r="K70" t="str">
        <f t="shared" si="5"/>
        <v>$0-$50</v>
      </c>
      <c r="L70">
        <f t="shared" si="6"/>
        <v>7.2164640223240983E-2</v>
      </c>
      <c r="M70" t="str">
        <f t="shared" si="7"/>
        <v>Up to $10</v>
      </c>
      <c r="N70" s="22">
        <v>6.77</v>
      </c>
      <c r="O70" s="22">
        <v>21.99</v>
      </c>
    </row>
    <row r="71" spans="1:15">
      <c r="A71" s="22" t="s">
        <v>436</v>
      </c>
      <c r="B71" s="22" t="s">
        <v>437</v>
      </c>
      <c r="C71" s="22">
        <v>2.68</v>
      </c>
      <c r="D71" s="22">
        <v>1.33</v>
      </c>
      <c r="E71" s="22">
        <v>42800000</v>
      </c>
      <c r="F71" s="22">
        <v>7120000</v>
      </c>
      <c r="G71" s="22">
        <v>15920000</v>
      </c>
      <c r="H71">
        <f>Sheet1[[#This Row],[Volume (24h)]]/Sheet1[[#This Row],[Circulating Supply]]</f>
        <v>0.44723618090452261</v>
      </c>
      <c r="I71">
        <f>RANK(Sheet1[[#This Row],[Market Cap]],Sheet1[Market Cap],0)</f>
        <v>64</v>
      </c>
      <c r="J71" t="str">
        <f t="shared" si="4"/>
        <v>0-0.5</v>
      </c>
      <c r="K71" t="str">
        <f t="shared" si="5"/>
        <v>$0-$50</v>
      </c>
      <c r="L71">
        <f t="shared" si="6"/>
        <v>2.6448238428895685</v>
      </c>
      <c r="M71" t="str">
        <f t="shared" si="7"/>
        <v>Up to $10</v>
      </c>
      <c r="N71" s="22">
        <v>3.59</v>
      </c>
      <c r="O71" s="22">
        <v>23.97</v>
      </c>
    </row>
    <row r="72" spans="1:15">
      <c r="A72" s="22" t="s">
        <v>438</v>
      </c>
      <c r="B72" s="22" t="s">
        <v>439</v>
      </c>
      <c r="C72" s="22">
        <v>0.1208</v>
      </c>
      <c r="D72" s="22">
        <v>1.19</v>
      </c>
      <c r="E72" s="22">
        <v>42710000</v>
      </c>
      <c r="F72" s="22">
        <v>5100000</v>
      </c>
      <c r="G72" s="22">
        <v>353430000</v>
      </c>
      <c r="H72">
        <f>Sheet1[[#This Row],[Volume (24h)]]/Sheet1[[#This Row],[Circulating Supply]]</f>
        <v>1.443001443001443E-2</v>
      </c>
      <c r="I72">
        <f>RANK(Sheet1[[#This Row],[Market Cap]],Sheet1[Market Cap],0)</f>
        <v>65</v>
      </c>
      <c r="J72" t="str">
        <f t="shared" si="4"/>
        <v>0-0.5</v>
      </c>
      <c r="K72" t="str">
        <f t="shared" si="5"/>
        <v>$0-$50</v>
      </c>
      <c r="L72">
        <f t="shared" si="6"/>
        <v>0.11937938531475442</v>
      </c>
      <c r="M72" t="str">
        <f t="shared" si="7"/>
        <v>Up to $10</v>
      </c>
      <c r="N72" s="22">
        <v>1.82</v>
      </c>
      <c r="O72" s="22">
        <v>17.420000000000002</v>
      </c>
    </row>
    <row r="73" spans="1:15">
      <c r="A73" s="22" t="s">
        <v>440</v>
      </c>
      <c r="B73" s="22" t="s">
        <v>441</v>
      </c>
      <c r="C73" s="22">
        <v>1.24</v>
      </c>
      <c r="D73" s="22">
        <v>0.02</v>
      </c>
      <c r="E73" s="22">
        <v>42490000</v>
      </c>
      <c r="F73" s="22">
        <v>303340</v>
      </c>
      <c r="G73" s="22">
        <v>34130000</v>
      </c>
      <c r="H73">
        <f>Sheet1[[#This Row],[Volume (24h)]]/Sheet1[[#This Row],[Circulating Supply]]</f>
        <v>8.8877820099619101E-3</v>
      </c>
      <c r="I73">
        <f>RANK(Sheet1[[#This Row],[Market Cap]],Sheet1[Market Cap],0)</f>
        <v>66</v>
      </c>
      <c r="J73" t="str">
        <f t="shared" si="4"/>
        <v>0-0.5</v>
      </c>
      <c r="K73" t="str">
        <f t="shared" si="5"/>
        <v>$0-$50</v>
      </c>
      <c r="L73">
        <f t="shared" si="6"/>
        <v>1.239752049590082</v>
      </c>
      <c r="M73" t="str">
        <f t="shared" si="7"/>
        <v>Up to $10</v>
      </c>
      <c r="N73" s="22">
        <v>0.23</v>
      </c>
      <c r="O73" s="22">
        <v>0.87</v>
      </c>
    </row>
    <row r="74" spans="1:15">
      <c r="A74" s="22" t="s">
        <v>442</v>
      </c>
      <c r="B74" s="22" t="s">
        <v>443</v>
      </c>
      <c r="C74" s="22">
        <v>0.28749999999999998</v>
      </c>
      <c r="D74" s="22">
        <v>1.3</v>
      </c>
      <c r="E74" s="22">
        <v>42050000</v>
      </c>
      <c r="F74" s="22">
        <v>3820000</v>
      </c>
      <c r="G74" s="22">
        <v>146220000</v>
      </c>
      <c r="H74">
        <f>Sheet1[[#This Row],[Volume (24h)]]/Sheet1[[#This Row],[Circulating Supply]]</f>
        <v>2.6125017097524277E-2</v>
      </c>
      <c r="I74">
        <f>RANK(Sheet1[[#This Row],[Market Cap]],Sheet1[Market Cap],0)</f>
        <v>67</v>
      </c>
      <c r="J74" t="str">
        <f t="shared" si="4"/>
        <v>0-0.5</v>
      </c>
      <c r="K74" t="str">
        <f t="shared" si="5"/>
        <v>$0-$50</v>
      </c>
      <c r="L74">
        <f t="shared" si="6"/>
        <v>0.28381046396841064</v>
      </c>
      <c r="M74" t="str">
        <f t="shared" si="7"/>
        <v>Up to $10</v>
      </c>
      <c r="N74" s="22">
        <v>3.25</v>
      </c>
      <c r="O74" s="22">
        <v>54.56</v>
      </c>
    </row>
    <row r="75" spans="1:15">
      <c r="A75" s="22" t="s">
        <v>35</v>
      </c>
      <c r="B75" s="22" t="s">
        <v>444</v>
      </c>
      <c r="C75" s="22">
        <v>3.7659999999999998E-3</v>
      </c>
      <c r="D75" s="22">
        <v>0.28000000000000003</v>
      </c>
      <c r="E75" s="22">
        <v>42010000</v>
      </c>
      <c r="F75" s="22">
        <v>2970000</v>
      </c>
      <c r="G75" s="22">
        <v>11150000000</v>
      </c>
      <c r="H75">
        <f>Sheet1[[#This Row],[Volume (24h)]]/Sheet1[[#This Row],[Circulating Supply]]</f>
        <v>2.6636771300448433E-4</v>
      </c>
      <c r="I75">
        <f>RANK(Sheet1[[#This Row],[Market Cap]],Sheet1[Market Cap],0)</f>
        <v>68</v>
      </c>
      <c r="J75" t="str">
        <f t="shared" si="4"/>
        <v>0-0.5</v>
      </c>
      <c r="K75" t="str">
        <f t="shared" si="5"/>
        <v>$0-$50</v>
      </c>
      <c r="L75">
        <f t="shared" si="6"/>
        <v>3.7554846429996014E-3</v>
      </c>
      <c r="M75" t="str">
        <f t="shared" si="7"/>
        <v>Up to $10</v>
      </c>
      <c r="N75" s="22">
        <v>1.35</v>
      </c>
      <c r="O75" s="22">
        <v>17.11</v>
      </c>
    </row>
    <row r="76" spans="1:15">
      <c r="A76" s="22" t="s">
        <v>445</v>
      </c>
      <c r="B76" s="22" t="s">
        <v>446</v>
      </c>
      <c r="C76" s="22">
        <v>4.1990000000000001E-4</v>
      </c>
      <c r="D76" s="22">
        <v>0.51</v>
      </c>
      <c r="E76" s="22">
        <v>41750000</v>
      </c>
      <c r="F76" s="22">
        <v>5220000</v>
      </c>
      <c r="G76" s="22">
        <v>99420000000</v>
      </c>
      <c r="H76">
        <f>Sheet1[[#This Row],[Volume (24h)]]/Sheet1[[#This Row],[Circulating Supply]]</f>
        <v>5.2504526252263125E-5</v>
      </c>
      <c r="I76">
        <f>RANK(Sheet1[[#This Row],[Market Cap]],Sheet1[Market Cap],0)</f>
        <v>69</v>
      </c>
      <c r="J76" t="str">
        <f t="shared" si="4"/>
        <v>0-0.5</v>
      </c>
      <c r="K76" t="str">
        <f t="shared" si="5"/>
        <v>$0-$50</v>
      </c>
      <c r="L76">
        <f t="shared" si="6"/>
        <v>4.1776937618147444E-4</v>
      </c>
      <c r="M76" t="str">
        <f t="shared" si="7"/>
        <v>Up to $10</v>
      </c>
      <c r="N76" s="22">
        <v>0.85</v>
      </c>
      <c r="O76" s="22">
        <v>12.02</v>
      </c>
    </row>
    <row r="77" spans="1:15">
      <c r="A77" s="22" t="s">
        <v>447</v>
      </c>
      <c r="B77" s="22" t="s">
        <v>448</v>
      </c>
      <c r="C77" s="22">
        <v>7.37</v>
      </c>
      <c r="D77" s="22">
        <v>1.5</v>
      </c>
      <c r="E77" s="22">
        <v>31120000</v>
      </c>
      <c r="F77" s="22">
        <v>9670000</v>
      </c>
      <c r="G77" s="22">
        <v>4210000</v>
      </c>
      <c r="H77">
        <f>Sheet1[[#This Row],[Volume (24h)]]/Sheet1[[#This Row],[Circulating Supply]]</f>
        <v>2.2969121140142517</v>
      </c>
      <c r="I77">
        <f>RANK(Sheet1[[#This Row],[Market Cap]],Sheet1[Market Cap],0)</f>
        <v>70</v>
      </c>
      <c r="J77" t="str">
        <f t="shared" si="4"/>
        <v>0-0.5</v>
      </c>
      <c r="K77" t="str">
        <f t="shared" si="5"/>
        <v>$0-$50</v>
      </c>
      <c r="L77">
        <f t="shared" si="6"/>
        <v>7.2610837438423657</v>
      </c>
      <c r="M77" t="str">
        <f t="shared" si="7"/>
        <v>Up to $10</v>
      </c>
      <c r="N77" s="22">
        <v>13.34</v>
      </c>
      <c r="O77" s="22">
        <v>30.68</v>
      </c>
    </row>
    <row r="78" spans="1:15">
      <c r="A78" s="22" t="s">
        <v>449</v>
      </c>
      <c r="B78" s="22" t="s">
        <v>450</v>
      </c>
      <c r="C78" s="22">
        <v>1.02</v>
      </c>
      <c r="D78" s="22">
        <v>0.5</v>
      </c>
      <c r="E78" s="22">
        <v>30940000</v>
      </c>
      <c r="F78" s="22">
        <v>2310000</v>
      </c>
      <c r="G78" s="22">
        <v>30080000</v>
      </c>
      <c r="H78">
        <f>Sheet1[[#This Row],[Volume (24h)]]/Sheet1[[#This Row],[Circulating Supply]]</f>
        <v>7.6795212765957452E-2</v>
      </c>
      <c r="I78">
        <f>RANK(Sheet1[[#This Row],[Market Cap]],Sheet1[Market Cap],0)</f>
        <v>71</v>
      </c>
      <c r="J78" t="str">
        <f t="shared" si="4"/>
        <v>0-0.5</v>
      </c>
      <c r="K78" t="str">
        <f t="shared" si="5"/>
        <v>$0-$50</v>
      </c>
      <c r="L78">
        <f t="shared" si="6"/>
        <v>1.0149253731343284</v>
      </c>
      <c r="M78" t="str">
        <f t="shared" si="7"/>
        <v>Up to $10</v>
      </c>
      <c r="N78" s="22">
        <v>2.92</v>
      </c>
      <c r="O78" s="22">
        <v>21.14</v>
      </c>
    </row>
    <row r="79" spans="1:15">
      <c r="A79" s="22" t="s">
        <v>451</v>
      </c>
      <c r="B79" s="22" t="s">
        <v>451</v>
      </c>
      <c r="C79" s="22">
        <v>0.99960000000000004</v>
      </c>
      <c r="D79" s="22">
        <v>0.01</v>
      </c>
      <c r="E79" s="22">
        <v>30760000</v>
      </c>
      <c r="F79" s="22">
        <v>27880</v>
      </c>
      <c r="G79" s="22">
        <v>30770000</v>
      </c>
      <c r="H79">
        <f>Sheet1[[#This Row],[Volume (24h)]]/Sheet1[[#This Row],[Circulating Supply]]</f>
        <v>9.0607734806629836E-4</v>
      </c>
      <c r="I79">
        <f>RANK(Sheet1[[#This Row],[Market Cap]],Sheet1[Market Cap],0)</f>
        <v>72</v>
      </c>
      <c r="J79" t="str">
        <f t="shared" si="4"/>
        <v>0-0.5</v>
      </c>
      <c r="K79" t="str">
        <f t="shared" si="5"/>
        <v>$0-$50</v>
      </c>
      <c r="L79">
        <f t="shared" si="6"/>
        <v>0.99950004999500053</v>
      </c>
      <c r="M79" t="str">
        <f t="shared" si="7"/>
        <v>Up to $10</v>
      </c>
      <c r="N79" s="22">
        <v>0.02</v>
      </c>
      <c r="O79" s="22">
        <v>0.06</v>
      </c>
    </row>
    <row r="80" spans="1:15">
      <c r="A80" s="22" t="s">
        <v>452</v>
      </c>
      <c r="B80" s="22" t="s">
        <v>453</v>
      </c>
      <c r="C80" s="22">
        <v>3.5490000000000001E-2</v>
      </c>
      <c r="D80" s="22">
        <v>0.11</v>
      </c>
      <c r="E80" s="22">
        <v>30700000</v>
      </c>
      <c r="F80" s="22">
        <v>1110000</v>
      </c>
      <c r="G80" s="22">
        <v>865110000</v>
      </c>
      <c r="H80">
        <f>Sheet1[[#This Row],[Volume (24h)]]/Sheet1[[#This Row],[Circulating Supply]]</f>
        <v>1.2830738287616605E-3</v>
      </c>
      <c r="I80">
        <f>RANK(Sheet1[[#This Row],[Market Cap]],Sheet1[Market Cap],0)</f>
        <v>73</v>
      </c>
      <c r="J80" t="str">
        <f t="shared" si="4"/>
        <v>10-100</v>
      </c>
      <c r="K80" t="str">
        <f t="shared" si="5"/>
        <v>$0-$50</v>
      </c>
      <c r="L80">
        <f t="shared" si="6"/>
        <v>3.5451003895714712E-2</v>
      </c>
      <c r="M80" t="str">
        <f t="shared" si="7"/>
        <v>Up to $10</v>
      </c>
      <c r="N80" s="22">
        <v>2.4500000000000002</v>
      </c>
      <c r="O80" s="22">
        <v>17.87</v>
      </c>
    </row>
    <row r="81" spans="1:15">
      <c r="A81" s="22" t="s">
        <v>454</v>
      </c>
      <c r="B81" s="22" t="s">
        <v>455</v>
      </c>
      <c r="C81" s="22">
        <v>6.93E-2</v>
      </c>
      <c r="D81" s="22">
        <v>0.8</v>
      </c>
      <c r="E81" s="22">
        <v>30560000</v>
      </c>
      <c r="F81" s="22">
        <v>2890000</v>
      </c>
      <c r="G81" s="22">
        <v>441060000</v>
      </c>
      <c r="H81">
        <f>Sheet1[[#This Row],[Volume (24h)]]/Sheet1[[#This Row],[Circulating Supply]]</f>
        <v>6.552396499342493E-3</v>
      </c>
      <c r="I81">
        <f>RANK(Sheet1[[#This Row],[Market Cap]],Sheet1[Market Cap],0)</f>
        <v>74</v>
      </c>
      <c r="J81" t="str">
        <f t="shared" si="4"/>
        <v>10-100</v>
      </c>
      <c r="K81" t="str">
        <f t="shared" si="5"/>
        <v>$0-$50</v>
      </c>
      <c r="L81">
        <f t="shared" si="6"/>
        <v>6.8750000000000006E-2</v>
      </c>
      <c r="M81" t="str">
        <f t="shared" si="7"/>
        <v>Up to $10</v>
      </c>
      <c r="N81" s="22">
        <v>1.38</v>
      </c>
      <c r="O81" s="22">
        <v>16.78</v>
      </c>
    </row>
    <row r="82" spans="1:15">
      <c r="A82" s="22" t="s">
        <v>456</v>
      </c>
      <c r="B82" s="22" t="s">
        <v>456</v>
      </c>
      <c r="C82" s="22">
        <v>6.8320000000000004E-3</v>
      </c>
      <c r="D82" s="22">
        <v>2.2799999999999998</v>
      </c>
      <c r="E82" s="22">
        <v>30540000</v>
      </c>
      <c r="F82" s="22">
        <v>16820000</v>
      </c>
      <c r="G82" s="22">
        <v>4460000000</v>
      </c>
      <c r="H82">
        <f>Sheet1[[#This Row],[Volume (24h)]]/Sheet1[[#This Row],[Circulating Supply]]</f>
        <v>3.7713004484304933E-3</v>
      </c>
      <c r="I82">
        <f>RANK(Sheet1[[#This Row],[Market Cap]],Sheet1[Market Cap],0)</f>
        <v>75</v>
      </c>
      <c r="J82" t="str">
        <f t="shared" si="4"/>
        <v>0-0.5</v>
      </c>
      <c r="K82" t="str">
        <f t="shared" si="5"/>
        <v>$0-$50</v>
      </c>
      <c r="L82">
        <f t="shared" si="6"/>
        <v>6.679702776691436E-3</v>
      </c>
      <c r="M82" t="str">
        <f t="shared" si="7"/>
        <v>Up to $10</v>
      </c>
      <c r="N82" s="22">
        <v>1.22</v>
      </c>
      <c r="O82" s="22">
        <v>42.3</v>
      </c>
    </row>
    <row r="83" spans="1:15">
      <c r="A83" s="22" t="s">
        <v>457</v>
      </c>
      <c r="B83" s="22" t="s">
        <v>458</v>
      </c>
      <c r="C83" s="22">
        <v>7.61</v>
      </c>
      <c r="D83" s="22">
        <v>0.7</v>
      </c>
      <c r="E83" s="22">
        <v>30500000</v>
      </c>
      <c r="F83" s="22">
        <v>149760</v>
      </c>
      <c r="G83" s="22">
        <v>4000000</v>
      </c>
      <c r="H83">
        <f>Sheet1[[#This Row],[Volume (24h)]]/Sheet1[[#This Row],[Circulating Supply]]</f>
        <v>3.7440000000000001E-2</v>
      </c>
      <c r="I83">
        <f>RANK(Sheet1[[#This Row],[Market Cap]],Sheet1[Market Cap],0)</f>
        <v>76</v>
      </c>
      <c r="J83" t="str">
        <f t="shared" si="4"/>
        <v>10-100</v>
      </c>
      <c r="K83" t="str">
        <f t="shared" si="5"/>
        <v>$0-$50</v>
      </c>
      <c r="L83">
        <f t="shared" si="6"/>
        <v>7.5571002979145989</v>
      </c>
      <c r="M83" t="str">
        <f t="shared" si="7"/>
        <v>Up to $10</v>
      </c>
      <c r="N83" s="22">
        <v>2.98</v>
      </c>
      <c r="O83" s="22">
        <v>20.56</v>
      </c>
    </row>
    <row r="84" spans="1:15">
      <c r="A84" s="22" t="s">
        <v>459</v>
      </c>
      <c r="B84" s="22" t="s">
        <v>460</v>
      </c>
      <c r="C84" s="22">
        <v>5.4539999999999996E-3</v>
      </c>
      <c r="D84" s="22">
        <v>1.22</v>
      </c>
      <c r="E84" s="22">
        <v>30390000</v>
      </c>
      <c r="F84" s="22">
        <v>7170000</v>
      </c>
      <c r="G84" s="22">
        <v>5570000000</v>
      </c>
      <c r="H84">
        <f>Sheet1[[#This Row],[Volume (24h)]]/Sheet1[[#This Row],[Circulating Supply]]</f>
        <v>1.2872531418312387E-3</v>
      </c>
      <c r="I84">
        <f>RANK(Sheet1[[#This Row],[Market Cap]],Sheet1[Market Cap],0)</f>
        <v>77</v>
      </c>
      <c r="J84" t="str">
        <f t="shared" si="4"/>
        <v>100-10000</v>
      </c>
      <c r="K84" t="str">
        <f t="shared" si="5"/>
        <v>$0-$50</v>
      </c>
      <c r="L84">
        <f t="shared" si="6"/>
        <v>5.388263189093064E-3</v>
      </c>
      <c r="M84" t="str">
        <f t="shared" si="7"/>
        <v>Up to $10</v>
      </c>
      <c r="N84" s="22">
        <v>2.86</v>
      </c>
      <c r="O84" s="22">
        <v>15.22</v>
      </c>
    </row>
    <row r="85" spans="1:15">
      <c r="A85" s="22" t="s">
        <v>461</v>
      </c>
      <c r="B85" s="22" t="s">
        <v>462</v>
      </c>
      <c r="C85" s="22">
        <v>0.27939999999999998</v>
      </c>
      <c r="D85" s="22">
        <v>0.37</v>
      </c>
      <c r="E85" s="22">
        <v>30120000</v>
      </c>
      <c r="F85" s="22">
        <v>1820000</v>
      </c>
      <c r="G85" s="22">
        <v>107810000</v>
      </c>
      <c r="H85">
        <f>Sheet1[[#This Row],[Volume (24h)]]/Sheet1[[#This Row],[Circulating Supply]]</f>
        <v>1.6881550876542063E-2</v>
      </c>
      <c r="I85">
        <f>RANK(Sheet1[[#This Row],[Market Cap]],Sheet1[Market Cap],0)</f>
        <v>78</v>
      </c>
      <c r="J85" t="str">
        <f t="shared" si="4"/>
        <v>100-10000</v>
      </c>
      <c r="K85" t="str">
        <f t="shared" si="5"/>
        <v>$0-$50</v>
      </c>
      <c r="L85">
        <f t="shared" si="6"/>
        <v>0.27837003088572282</v>
      </c>
      <c r="M85" t="str">
        <f t="shared" si="7"/>
        <v>Up to $10</v>
      </c>
      <c r="N85" s="22">
        <v>2.2400000000000002</v>
      </c>
      <c r="O85" s="22">
        <v>17.78</v>
      </c>
    </row>
    <row r="86" spans="1:15">
      <c r="A86" s="22" t="s">
        <v>463</v>
      </c>
      <c r="B86" s="22" t="s">
        <v>464</v>
      </c>
      <c r="C86" s="22">
        <v>0.2215</v>
      </c>
      <c r="D86" s="22">
        <v>7.0000000000000007E-2</v>
      </c>
      <c r="E86" s="22">
        <v>30100000</v>
      </c>
      <c r="F86" s="22">
        <v>4230000</v>
      </c>
      <c r="G86" s="22">
        <v>135920000</v>
      </c>
      <c r="H86">
        <f>Sheet1[[#This Row],[Volume (24h)]]/Sheet1[[#This Row],[Circulating Supply]]</f>
        <v>3.1121247792819304E-2</v>
      </c>
      <c r="I86">
        <f>RANK(Sheet1[[#This Row],[Market Cap]],Sheet1[Market Cap],0)</f>
        <v>79</v>
      </c>
      <c r="J86" t="str">
        <f t="shared" si="4"/>
        <v>0-0.5</v>
      </c>
      <c r="K86" t="str">
        <f t="shared" si="5"/>
        <v>$0-$50</v>
      </c>
      <c r="L86">
        <f t="shared" si="6"/>
        <v>0.22134505845907868</v>
      </c>
      <c r="M86" t="str">
        <f t="shared" si="7"/>
        <v>Up to $10</v>
      </c>
      <c r="N86" s="22">
        <v>0.89</v>
      </c>
      <c r="O86" s="22">
        <v>19.059999999999999</v>
      </c>
    </row>
    <row r="87" spans="1:15">
      <c r="A87" s="22" t="s">
        <v>465</v>
      </c>
      <c r="B87" s="22" t="s">
        <v>466</v>
      </c>
      <c r="C87" s="22">
        <v>1.3480000000000001E-2</v>
      </c>
      <c r="D87" s="22">
        <v>1.3</v>
      </c>
      <c r="E87" s="22">
        <v>30080000</v>
      </c>
      <c r="F87" s="22">
        <v>10730000</v>
      </c>
      <c r="G87" s="22">
        <v>2230000000</v>
      </c>
      <c r="H87">
        <f>Sheet1[[#This Row],[Volume (24h)]]/Sheet1[[#This Row],[Circulating Supply]]</f>
        <v>4.811659192825112E-3</v>
      </c>
      <c r="I87">
        <f>RANK(Sheet1[[#This Row],[Market Cap]],Sheet1[Market Cap],0)</f>
        <v>80</v>
      </c>
      <c r="J87" t="str">
        <f t="shared" si="4"/>
        <v>0-0.5</v>
      </c>
      <c r="K87" t="str">
        <f t="shared" si="5"/>
        <v>$0-$50</v>
      </c>
      <c r="L87">
        <f t="shared" si="6"/>
        <v>1.3307008884501483E-2</v>
      </c>
      <c r="M87" t="str">
        <f t="shared" si="7"/>
        <v>Up to $10</v>
      </c>
      <c r="N87" s="22">
        <v>0.72</v>
      </c>
      <c r="O87" s="22">
        <v>1.05</v>
      </c>
    </row>
    <row r="88" spans="1:15">
      <c r="A88" s="22" t="s">
        <v>467</v>
      </c>
      <c r="B88" s="22" t="s">
        <v>468</v>
      </c>
      <c r="C88" s="22">
        <v>8.3149999999999995E-3</v>
      </c>
      <c r="D88" s="22">
        <v>0.8</v>
      </c>
      <c r="E88" s="22">
        <v>29730000</v>
      </c>
      <c r="F88" s="23" t="s">
        <v>469</v>
      </c>
      <c r="G88" s="22">
        <v>3570000000</v>
      </c>
      <c r="H88">
        <f>Sheet1[[#This Row],[Volume (24h)]]/Sheet1[[#This Row],[Circulating Supply]]</f>
        <v>2.3249299719887953E-3</v>
      </c>
      <c r="I88">
        <f>RANK(Sheet1[[#This Row],[Market Cap]],Sheet1[Market Cap],0)</f>
        <v>81</v>
      </c>
      <c r="J88" t="str">
        <f t="shared" si="4"/>
        <v>0-0.5</v>
      </c>
      <c r="K88" t="str">
        <f t="shared" si="5"/>
        <v>$0-$50</v>
      </c>
      <c r="L88">
        <f t="shared" si="6"/>
        <v>8.2490079365079363E-3</v>
      </c>
      <c r="M88" t="str">
        <f t="shared" si="7"/>
        <v>Up to $10</v>
      </c>
      <c r="N88" s="22">
        <v>1.34</v>
      </c>
      <c r="O88" s="22">
        <v>14.74</v>
      </c>
    </row>
    <row r="89" spans="1:15">
      <c r="A89" s="22" t="s">
        <v>104</v>
      </c>
      <c r="B89" s="22" t="s">
        <v>470</v>
      </c>
      <c r="C89" s="22">
        <v>1.184E-2</v>
      </c>
      <c r="D89" s="22">
        <v>1.46</v>
      </c>
      <c r="E89" s="22">
        <v>29600000</v>
      </c>
      <c r="F89" s="22">
        <v>2300000</v>
      </c>
      <c r="G89" s="22">
        <v>2500000000</v>
      </c>
      <c r="H89">
        <f>Sheet1[[#This Row],[Volume (24h)]]/Sheet1[[#This Row],[Circulating Supply]]</f>
        <v>9.2000000000000003E-4</v>
      </c>
      <c r="I89">
        <f>RANK(Sheet1[[#This Row],[Market Cap]],Sheet1[Market Cap],0)</f>
        <v>83</v>
      </c>
      <c r="J89" t="str">
        <f t="shared" si="4"/>
        <v>0-0.5</v>
      </c>
      <c r="K89" t="str">
        <f t="shared" si="5"/>
        <v>$0-$50</v>
      </c>
      <c r="L89">
        <f t="shared" si="6"/>
        <v>1.1669623496944609E-2</v>
      </c>
      <c r="M89" t="str">
        <f t="shared" si="7"/>
        <v>Up to $10</v>
      </c>
      <c r="N89" s="22">
        <v>4.1900000000000004</v>
      </c>
      <c r="O89" s="22">
        <v>12.25</v>
      </c>
    </row>
    <row r="90" spans="1:15">
      <c r="A90" s="22" t="s">
        <v>471</v>
      </c>
      <c r="B90" s="22" t="s">
        <v>472</v>
      </c>
      <c r="C90" s="22">
        <v>6.1570000000000001E-3</v>
      </c>
      <c r="D90" s="22">
        <v>0.38</v>
      </c>
      <c r="E90" s="22">
        <v>29630000</v>
      </c>
      <c r="F90" s="22">
        <v>1380000</v>
      </c>
      <c r="G90" s="22">
        <v>4810000000</v>
      </c>
      <c r="H90">
        <f>Sheet1[[#This Row],[Volume (24h)]]/Sheet1[[#This Row],[Circulating Supply]]</f>
        <v>2.8690228690228688E-4</v>
      </c>
      <c r="I90">
        <f>RANK(Sheet1[[#This Row],[Market Cap]],Sheet1[Market Cap],0)</f>
        <v>82</v>
      </c>
      <c r="J90" t="str">
        <f t="shared" si="4"/>
        <v>0-0.5</v>
      </c>
      <c r="K90" t="str">
        <f t="shared" si="5"/>
        <v>$0-$50</v>
      </c>
      <c r="L90">
        <f t="shared" si="6"/>
        <v>6.1336919705120545E-3</v>
      </c>
      <c r="M90" t="str">
        <f t="shared" si="7"/>
        <v>Up to $10</v>
      </c>
      <c r="N90" s="22">
        <v>1.77</v>
      </c>
      <c r="O90" s="22">
        <v>23.03</v>
      </c>
    </row>
    <row r="91" spans="1:15">
      <c r="A91" s="22" t="s">
        <v>473</v>
      </c>
      <c r="B91" s="22" t="s">
        <v>474</v>
      </c>
      <c r="C91" s="22">
        <v>9.8820000000000006E-4</v>
      </c>
      <c r="D91" s="22">
        <v>0</v>
      </c>
      <c r="E91" s="22">
        <v>29500000</v>
      </c>
      <c r="F91" s="22">
        <v>146320</v>
      </c>
      <c r="G91" s="22">
        <v>29850000000</v>
      </c>
      <c r="H91">
        <f>Sheet1[[#This Row],[Volume (24h)]]/Sheet1[[#This Row],[Circulating Supply]]</f>
        <v>4.9018425460636513E-6</v>
      </c>
      <c r="I91">
        <f>RANK(Sheet1[[#This Row],[Market Cap]],Sheet1[Market Cap],0)</f>
        <v>84</v>
      </c>
      <c r="J91" t="str">
        <f t="shared" si="4"/>
        <v>0-0.5</v>
      </c>
      <c r="K91" t="str">
        <f t="shared" si="5"/>
        <v>$0-$50</v>
      </c>
      <c r="L91">
        <f t="shared" si="6"/>
        <v>9.8820000000000006E-4</v>
      </c>
      <c r="M91" t="str">
        <f t="shared" si="7"/>
        <v>Up to $10</v>
      </c>
      <c r="N91" s="22">
        <v>0.96</v>
      </c>
      <c r="O91" s="22">
        <v>0.22</v>
      </c>
    </row>
    <row r="92" spans="1:15">
      <c r="A92" s="22" t="s">
        <v>475</v>
      </c>
      <c r="B92" s="22" t="s">
        <v>476</v>
      </c>
      <c r="C92" s="22">
        <v>4.9919999999999999E-4</v>
      </c>
      <c r="D92" s="22">
        <v>1.2</v>
      </c>
      <c r="E92" s="22">
        <v>23180000</v>
      </c>
      <c r="F92" s="22">
        <v>6900000</v>
      </c>
      <c r="G92" s="22">
        <v>46430000000</v>
      </c>
      <c r="H92">
        <f>Sheet1[[#This Row],[Volume (24h)]]/Sheet1[[#This Row],[Circulating Supply]]</f>
        <v>1.4861081197501614E-4</v>
      </c>
      <c r="I92">
        <f>RANK(Sheet1[[#This Row],[Market Cap]],Sheet1[Market Cap],0)</f>
        <v>85</v>
      </c>
      <c r="J92" t="str">
        <f t="shared" si="4"/>
        <v>0-0.5</v>
      </c>
      <c r="K92" t="str">
        <f t="shared" si="5"/>
        <v>$0-$50</v>
      </c>
      <c r="L92">
        <f t="shared" si="6"/>
        <v>4.9328063241106722E-4</v>
      </c>
      <c r="M92" t="str">
        <f t="shared" si="7"/>
        <v>Up to $10</v>
      </c>
      <c r="N92" s="22">
        <v>3.25</v>
      </c>
      <c r="O92" s="22">
        <v>19.47</v>
      </c>
    </row>
    <row r="93" spans="1:15">
      <c r="A93" s="22" t="s">
        <v>36</v>
      </c>
      <c r="B93" s="22" t="s">
        <v>36</v>
      </c>
      <c r="C93" s="22">
        <v>7.4009999999999996E-3</v>
      </c>
      <c r="D93" s="22">
        <v>1.07</v>
      </c>
      <c r="E93" s="22">
        <v>23020000</v>
      </c>
      <c r="F93" s="22">
        <v>5140000</v>
      </c>
      <c r="G93" s="22">
        <v>3110000000</v>
      </c>
      <c r="H93">
        <f>Sheet1[[#This Row],[Volume (24h)]]/Sheet1[[#This Row],[Circulating Supply]]</f>
        <v>1.6527331189710611E-3</v>
      </c>
      <c r="I93">
        <f>RANK(Sheet1[[#This Row],[Market Cap]],Sheet1[Market Cap],0)</f>
        <v>86</v>
      </c>
      <c r="J93" t="str">
        <f t="shared" si="4"/>
        <v>0-0.5</v>
      </c>
      <c r="K93" t="str">
        <f t="shared" si="5"/>
        <v>$0-$50</v>
      </c>
      <c r="L93">
        <f t="shared" si="6"/>
        <v>7.3226476699317306E-3</v>
      </c>
      <c r="M93" t="str">
        <f t="shared" si="7"/>
        <v>Up to $10</v>
      </c>
      <c r="N93" s="22">
        <v>1.69</v>
      </c>
      <c r="O93" s="22">
        <v>24.98</v>
      </c>
    </row>
    <row r="94" spans="1:15">
      <c r="A94" s="22" t="s">
        <v>477</v>
      </c>
      <c r="B94" s="22" t="s">
        <v>478</v>
      </c>
      <c r="C94" s="22">
        <v>5.092E-2</v>
      </c>
      <c r="D94" s="22">
        <v>0.1</v>
      </c>
      <c r="E94" s="22">
        <v>22970000</v>
      </c>
      <c r="F94" s="22">
        <v>3040000</v>
      </c>
      <c r="G94" s="22">
        <v>451130000</v>
      </c>
      <c r="H94">
        <f>Sheet1[[#This Row],[Volume (24h)]]/Sheet1[[#This Row],[Circulating Supply]]</f>
        <v>6.7386340966018666E-3</v>
      </c>
      <c r="I94">
        <f>RANK(Sheet1[[#This Row],[Market Cap]],Sheet1[Market Cap],0)</f>
        <v>87</v>
      </c>
      <c r="J94" t="str">
        <f t="shared" si="4"/>
        <v>0-0.5</v>
      </c>
      <c r="K94" t="str">
        <f t="shared" si="5"/>
        <v>$0-$50</v>
      </c>
      <c r="L94">
        <f t="shared" si="6"/>
        <v>5.0869130869130877E-2</v>
      </c>
      <c r="M94" t="str">
        <f t="shared" si="7"/>
        <v>Up to $10</v>
      </c>
      <c r="N94" s="22">
        <v>2.2000000000000002</v>
      </c>
      <c r="O94" s="22">
        <v>5.97</v>
      </c>
    </row>
    <row r="95" spans="1:15">
      <c r="A95" s="22" t="s">
        <v>8</v>
      </c>
      <c r="B95" s="22" t="s">
        <v>479</v>
      </c>
      <c r="C95" s="22">
        <v>9.6890000000000004E-2</v>
      </c>
      <c r="D95" s="22">
        <v>0.93</v>
      </c>
      <c r="E95" s="22">
        <v>22890000</v>
      </c>
      <c r="F95" s="22">
        <v>13660000</v>
      </c>
      <c r="G95" s="22">
        <v>236300000</v>
      </c>
      <c r="H95">
        <f>Sheet1[[#This Row],[Volume (24h)]]/Sheet1[[#This Row],[Circulating Supply]]</f>
        <v>5.7807871349978841E-2</v>
      </c>
      <c r="I95">
        <f>RANK(Sheet1[[#This Row],[Market Cap]],Sheet1[Market Cap],0)</f>
        <v>88</v>
      </c>
      <c r="J95" t="str">
        <f t="shared" si="4"/>
        <v>0-0.5</v>
      </c>
      <c r="K95" t="str">
        <f t="shared" si="5"/>
        <v>$0-$50</v>
      </c>
      <c r="L95">
        <f t="shared" si="6"/>
        <v>9.5997225800059441E-2</v>
      </c>
      <c r="M95" t="str">
        <f t="shared" si="7"/>
        <v>Up to $10</v>
      </c>
      <c r="N95" s="22">
        <v>2.5499999999999998</v>
      </c>
      <c r="O95" s="22">
        <v>17.71</v>
      </c>
    </row>
    <row r="96" spans="1:15">
      <c r="A96" s="22" t="s">
        <v>480</v>
      </c>
      <c r="B96" s="22" t="s">
        <v>481</v>
      </c>
      <c r="C96" s="22">
        <v>0.22869999999999999</v>
      </c>
      <c r="D96" s="22">
        <v>0.05</v>
      </c>
      <c r="E96" s="22">
        <v>22870000</v>
      </c>
      <c r="F96" s="22">
        <v>417870</v>
      </c>
      <c r="G96" s="22">
        <v>100000000</v>
      </c>
      <c r="H96">
        <f>Sheet1[[#This Row],[Volume (24h)]]/Sheet1[[#This Row],[Circulating Supply]]</f>
        <v>4.1786999999999996E-3</v>
      </c>
      <c r="I96">
        <f>RANK(Sheet1[[#This Row],[Market Cap]],Sheet1[Market Cap],0)</f>
        <v>89</v>
      </c>
      <c r="J96" t="str">
        <f t="shared" si="4"/>
        <v>0-0.5</v>
      </c>
      <c r="K96" t="str">
        <f t="shared" si="5"/>
        <v>$0-$50</v>
      </c>
      <c r="L96">
        <f t="shared" si="6"/>
        <v>0.22858570714642679</v>
      </c>
      <c r="M96" t="str">
        <f t="shared" si="7"/>
        <v>Up to $10</v>
      </c>
      <c r="N96" s="22">
        <v>0.09</v>
      </c>
      <c r="O96" s="22">
        <v>0.06</v>
      </c>
    </row>
    <row r="97" spans="1:15">
      <c r="A97" s="22" t="s">
        <v>482</v>
      </c>
      <c r="B97" s="22" t="s">
        <v>483</v>
      </c>
      <c r="C97" s="22">
        <v>1.196E-2</v>
      </c>
      <c r="D97" s="22">
        <v>1.44</v>
      </c>
      <c r="E97" s="22">
        <v>22860000</v>
      </c>
      <c r="F97" s="22">
        <v>28210000</v>
      </c>
      <c r="G97" s="22">
        <v>1910000000</v>
      </c>
      <c r="H97">
        <f>Sheet1[[#This Row],[Volume (24h)]]/Sheet1[[#This Row],[Circulating Supply]]</f>
        <v>1.4769633507853402E-2</v>
      </c>
      <c r="I97">
        <f>RANK(Sheet1[[#This Row],[Market Cap]],Sheet1[Market Cap],0)</f>
        <v>90</v>
      </c>
      <c r="J97" t="str">
        <f t="shared" si="4"/>
        <v>0-0.5</v>
      </c>
      <c r="K97" t="str">
        <f t="shared" si="5"/>
        <v>$0-$50</v>
      </c>
      <c r="L97">
        <f t="shared" si="6"/>
        <v>1.1790220820189275E-2</v>
      </c>
      <c r="M97" t="str">
        <f t="shared" si="7"/>
        <v>Up to $10</v>
      </c>
      <c r="N97" s="22">
        <v>1.96</v>
      </c>
      <c r="O97" s="22">
        <v>37.79</v>
      </c>
    </row>
    <row r="98" spans="1:15">
      <c r="A98" s="22" t="s">
        <v>484</v>
      </c>
      <c r="B98" s="22" t="s">
        <v>485</v>
      </c>
      <c r="C98" s="22">
        <v>8.8480000000000003E-2</v>
      </c>
      <c r="D98" s="22">
        <v>0.35</v>
      </c>
      <c r="E98" s="22">
        <v>22860000</v>
      </c>
      <c r="F98" s="22">
        <v>1290000</v>
      </c>
      <c r="G98" s="22">
        <v>258380000</v>
      </c>
      <c r="H98">
        <f>Sheet1[[#This Row],[Volume (24h)]]/Sheet1[[#This Row],[Circulating Supply]]</f>
        <v>4.9926464896663829E-3</v>
      </c>
      <c r="I98">
        <f>RANK(Sheet1[[#This Row],[Market Cap]],Sheet1[Market Cap],0)</f>
        <v>90</v>
      </c>
      <c r="J98" t="str">
        <f t="shared" si="4"/>
        <v>0-0.5</v>
      </c>
      <c r="K98" t="str">
        <f t="shared" si="5"/>
        <v>$0-$50</v>
      </c>
      <c r="L98">
        <f t="shared" si="6"/>
        <v>8.8171400099651215E-2</v>
      </c>
      <c r="M98" t="str">
        <f t="shared" si="7"/>
        <v>Up to $10</v>
      </c>
      <c r="N98" s="22">
        <v>2.39</v>
      </c>
      <c r="O98" s="22">
        <v>21.71</v>
      </c>
    </row>
    <row r="99" spans="1:15">
      <c r="A99" s="22" t="s">
        <v>486</v>
      </c>
      <c r="B99" s="22" t="s">
        <v>487</v>
      </c>
      <c r="C99" s="22">
        <v>0.1595</v>
      </c>
      <c r="D99" s="22">
        <v>0.37</v>
      </c>
      <c r="E99" s="22">
        <v>22490000</v>
      </c>
      <c r="F99" s="22">
        <v>9490000</v>
      </c>
      <c r="G99" s="22">
        <v>140960000</v>
      </c>
      <c r="H99">
        <f>Sheet1[[#This Row],[Volume (24h)]]/Sheet1[[#This Row],[Circulating Supply]]</f>
        <v>6.7324063564131675E-2</v>
      </c>
      <c r="I99">
        <f>RANK(Sheet1[[#This Row],[Market Cap]],Sheet1[Market Cap],0)</f>
        <v>92</v>
      </c>
      <c r="J99" t="str">
        <f t="shared" si="4"/>
        <v>0-0.5</v>
      </c>
      <c r="K99" t="str">
        <f t="shared" si="5"/>
        <v>Above $50</v>
      </c>
      <c r="L99">
        <f t="shared" si="6"/>
        <v>0.15891202550562916</v>
      </c>
      <c r="M99" t="str">
        <f t="shared" si="7"/>
        <v>&gt;= $10</v>
      </c>
      <c r="N99" s="22">
        <v>1.21</v>
      </c>
      <c r="O99" s="22">
        <v>12.9</v>
      </c>
    </row>
    <row r="100" spans="1:15">
      <c r="A100" s="22" t="s">
        <v>488</v>
      </c>
      <c r="B100" s="22" t="s">
        <v>489</v>
      </c>
      <c r="C100" s="22">
        <v>3.24</v>
      </c>
      <c r="D100" s="22">
        <v>0.61</v>
      </c>
      <c r="E100" s="22">
        <v>22430000</v>
      </c>
      <c r="F100" s="22">
        <v>6610000</v>
      </c>
      <c r="G100" s="22">
        <v>6920000</v>
      </c>
      <c r="H100">
        <f>Sheet1[[#This Row],[Volume (24h)]]/Sheet1[[#This Row],[Circulating Supply]]</f>
        <v>0.9552023121387283</v>
      </c>
      <c r="I100">
        <f>RANK(Sheet1[[#This Row],[Market Cap]],Sheet1[Market Cap],0)</f>
        <v>93</v>
      </c>
      <c r="J100" t="str">
        <f t="shared" si="4"/>
        <v>0-0.5</v>
      </c>
      <c r="K100" t="str">
        <f t="shared" si="5"/>
        <v>Above $50</v>
      </c>
      <c r="L100">
        <f t="shared" si="6"/>
        <v>3.2203558294404138</v>
      </c>
      <c r="M100" t="str">
        <f t="shared" si="7"/>
        <v>&gt;= $10</v>
      </c>
      <c r="N100" s="22">
        <v>2.35</v>
      </c>
      <c r="O100" s="22">
        <v>18.47</v>
      </c>
    </row>
    <row r="101" spans="1:15">
      <c r="A101" s="22" t="s">
        <v>490</v>
      </c>
      <c r="B101" s="22" t="s">
        <v>491</v>
      </c>
      <c r="C101" s="22">
        <v>223.04</v>
      </c>
      <c r="D101" s="22">
        <v>0.13</v>
      </c>
      <c r="E101" s="22">
        <v>22290000</v>
      </c>
      <c r="F101" s="22">
        <v>43080</v>
      </c>
      <c r="G101" s="22">
        <v>99960</v>
      </c>
      <c r="H101">
        <f>Sheet1[[#This Row],[Volume (24h)]]/Sheet1[[#This Row],[Circulating Supply]]</f>
        <v>0.43097238895558221</v>
      </c>
      <c r="I101">
        <f>RANK(Sheet1[[#This Row],[Market Cap]],Sheet1[Market Cap],0)</f>
        <v>94</v>
      </c>
      <c r="J101" t="str">
        <f t="shared" si="4"/>
        <v>0-0.5</v>
      </c>
      <c r="K101" t="str">
        <f t="shared" si="5"/>
        <v>$0-$50</v>
      </c>
      <c r="L101">
        <f t="shared" si="6"/>
        <v>222.7504244482173</v>
      </c>
      <c r="M101" t="str">
        <f t="shared" si="7"/>
        <v>Up to $10</v>
      </c>
      <c r="N101" s="22">
        <v>17.260000000000002</v>
      </c>
      <c r="O101" s="22">
        <v>8.2200000000000006</v>
      </c>
    </row>
    <row r="102" spans="1:15">
      <c r="A102" s="22" t="s">
        <v>492</v>
      </c>
      <c r="B102" s="22" t="s">
        <v>493</v>
      </c>
      <c r="C102" s="22">
        <v>764.74</v>
      </c>
      <c r="D102" s="22">
        <v>0.06</v>
      </c>
      <c r="E102" s="22">
        <v>22290000</v>
      </c>
      <c r="F102" s="22">
        <v>10970000</v>
      </c>
      <c r="G102" s="22">
        <v>29150</v>
      </c>
      <c r="H102">
        <f>Sheet1[[#This Row],[Volume (24h)]]/Sheet1[[#This Row],[Circulating Supply]]</f>
        <v>376.32933104631218</v>
      </c>
      <c r="I102">
        <f>RANK(Sheet1[[#This Row],[Market Cap]],Sheet1[Market Cap],0)</f>
        <v>94</v>
      </c>
      <c r="J102" t="str">
        <f t="shared" si="4"/>
        <v>0-0.5</v>
      </c>
      <c r="K102" t="str">
        <f t="shared" si="5"/>
        <v>$0-$50</v>
      </c>
      <c r="L102">
        <f t="shared" si="6"/>
        <v>764.28143114131524</v>
      </c>
      <c r="M102" t="str">
        <f t="shared" si="7"/>
        <v>Up to $10</v>
      </c>
      <c r="N102" s="22">
        <v>7.0000000000000007E-2</v>
      </c>
      <c r="O102" s="22">
        <v>0.61</v>
      </c>
    </row>
    <row r="103" spans="1:15">
      <c r="A103" s="22" t="s">
        <v>494</v>
      </c>
      <c r="B103" s="22" t="s">
        <v>495</v>
      </c>
      <c r="C103" s="22">
        <v>2.84</v>
      </c>
      <c r="D103" s="22">
        <v>0.34</v>
      </c>
      <c r="E103" s="22">
        <v>22250000</v>
      </c>
      <c r="F103" s="22">
        <v>2390000</v>
      </c>
      <c r="G103" s="22">
        <v>7810000</v>
      </c>
      <c r="H103">
        <f>Sheet1[[#This Row],[Volume (24h)]]/Sheet1[[#This Row],[Circulating Supply]]</f>
        <v>0.3060179257362356</v>
      </c>
      <c r="I103">
        <f>RANK(Sheet1[[#This Row],[Market Cap]],Sheet1[Market Cap],0)</f>
        <v>96</v>
      </c>
      <c r="J103" t="str">
        <f t="shared" si="4"/>
        <v>0-0.5</v>
      </c>
      <c r="K103" t="str">
        <f t="shared" si="5"/>
        <v>$0-$50</v>
      </c>
      <c r="L103">
        <f t="shared" si="6"/>
        <v>2.8303767191548732</v>
      </c>
      <c r="M103" t="str">
        <f t="shared" si="7"/>
        <v>Up to $10</v>
      </c>
      <c r="N103" s="22">
        <v>4.0199999999999996</v>
      </c>
      <c r="O103" s="22">
        <v>23.48</v>
      </c>
    </row>
    <row r="104" spans="1:15">
      <c r="A104" s="22" t="s">
        <v>496</v>
      </c>
      <c r="B104" s="22" t="s">
        <v>496</v>
      </c>
      <c r="C104" s="22">
        <v>1.174E-2</v>
      </c>
      <c r="D104" s="22">
        <v>0.7</v>
      </c>
      <c r="E104" s="22">
        <v>22180000</v>
      </c>
      <c r="F104" s="22">
        <v>1620000</v>
      </c>
      <c r="G104" s="22">
        <v>1880000000</v>
      </c>
      <c r="H104">
        <f>Sheet1[[#This Row],[Volume (24h)]]/Sheet1[[#This Row],[Circulating Supply]]</f>
        <v>8.6170212765957442E-4</v>
      </c>
      <c r="I104">
        <f>RANK(Sheet1[[#This Row],[Market Cap]],Sheet1[Market Cap],0)</f>
        <v>97</v>
      </c>
      <c r="J104" t="str">
        <f t="shared" si="4"/>
        <v>0-0.5</v>
      </c>
      <c r="K104" t="str">
        <f t="shared" si="5"/>
        <v>$0-$50</v>
      </c>
      <c r="L104">
        <f t="shared" si="6"/>
        <v>1.1658391261171798E-2</v>
      </c>
      <c r="M104" t="str">
        <f t="shared" si="7"/>
        <v>Up to $10</v>
      </c>
      <c r="N104" s="22">
        <v>0.06</v>
      </c>
      <c r="O104" s="22">
        <v>13.29</v>
      </c>
    </row>
    <row r="105" spans="1:15">
      <c r="A105" s="22" t="s">
        <v>497</v>
      </c>
      <c r="B105" s="22" t="s">
        <v>497</v>
      </c>
      <c r="C105" s="22">
        <v>2.99</v>
      </c>
      <c r="D105" s="22">
        <v>0.39</v>
      </c>
      <c r="E105" s="22">
        <v>22070000</v>
      </c>
      <c r="F105" s="22">
        <v>203450</v>
      </c>
      <c r="G105" s="22">
        <v>7360000</v>
      </c>
      <c r="H105">
        <f>Sheet1[[#This Row],[Volume (24h)]]/Sheet1[[#This Row],[Circulating Supply]]</f>
        <v>2.7642663043478261E-2</v>
      </c>
      <c r="I105">
        <f>RANK(Sheet1[[#This Row],[Market Cap]],Sheet1[Market Cap],0)</f>
        <v>98</v>
      </c>
      <c r="J105" t="str">
        <f t="shared" si="4"/>
        <v>0-0.5</v>
      </c>
      <c r="K105" t="str">
        <f t="shared" si="5"/>
        <v>$0-$50</v>
      </c>
      <c r="L105">
        <f t="shared" si="6"/>
        <v>2.9783843012252218</v>
      </c>
      <c r="M105" t="str">
        <f t="shared" si="7"/>
        <v>Up to $10</v>
      </c>
      <c r="N105" s="22">
        <v>18.940000000000001</v>
      </c>
      <c r="O105" s="22">
        <v>57.24</v>
      </c>
    </row>
    <row r="106" spans="1:15">
      <c r="A106" s="22" t="s">
        <v>498</v>
      </c>
      <c r="B106" s="22" t="s">
        <v>499</v>
      </c>
      <c r="C106" s="22">
        <v>0.26469999999999999</v>
      </c>
      <c r="D106" s="22">
        <v>0.77</v>
      </c>
      <c r="E106" s="22">
        <v>22070000</v>
      </c>
      <c r="F106" s="22">
        <v>151230</v>
      </c>
      <c r="G106" s="22">
        <v>83370000</v>
      </c>
      <c r="H106">
        <f>Sheet1[[#This Row],[Volume (24h)]]/Sheet1[[#This Row],[Circulating Supply]]</f>
        <v>1.8139618567830154E-3</v>
      </c>
      <c r="I106">
        <f>RANK(Sheet1[[#This Row],[Market Cap]],Sheet1[Market Cap],0)</f>
        <v>98</v>
      </c>
      <c r="J106" t="str">
        <f t="shared" si="4"/>
        <v>0-0.5</v>
      </c>
      <c r="K106" t="str">
        <f t="shared" si="5"/>
        <v>$0-$50</v>
      </c>
      <c r="L106">
        <f t="shared" si="6"/>
        <v>0.26267738414210579</v>
      </c>
      <c r="M106" t="str">
        <f t="shared" si="7"/>
        <v>Up to $10</v>
      </c>
      <c r="N106" s="22">
        <v>1.6</v>
      </c>
      <c r="O106" s="22">
        <v>30.89</v>
      </c>
    </row>
    <row r="107" spans="1:15">
      <c r="A107" s="22" t="s">
        <v>500</v>
      </c>
      <c r="B107" s="22" t="s">
        <v>501</v>
      </c>
      <c r="C107" s="22">
        <v>0.26550000000000001</v>
      </c>
      <c r="D107" s="22">
        <v>0.02</v>
      </c>
      <c r="E107" s="22">
        <v>17610000</v>
      </c>
      <c r="F107" s="22">
        <v>204590</v>
      </c>
      <c r="G107" s="22">
        <v>66330000</v>
      </c>
      <c r="H107">
        <f>Sheet1[[#This Row],[Volume (24h)]]/Sheet1[[#This Row],[Circulating Supply]]</f>
        <v>3.0844263530830696E-3</v>
      </c>
      <c r="I107">
        <f>RANK(Sheet1[[#This Row],[Market Cap]],Sheet1[Market Cap],0)</f>
        <v>100</v>
      </c>
      <c r="J107" t="str">
        <f t="shared" si="4"/>
        <v>0-0.5</v>
      </c>
      <c r="K107" t="str">
        <f t="shared" si="5"/>
        <v>$0-$50</v>
      </c>
      <c r="L107">
        <f t="shared" si="6"/>
        <v>0.26544691061787645</v>
      </c>
      <c r="M107" t="str">
        <f t="shared" si="7"/>
        <v>Up to $10</v>
      </c>
      <c r="N107" s="22">
        <v>2.69</v>
      </c>
      <c r="O107" s="22">
        <v>4.9000000000000004</v>
      </c>
    </row>
    <row r="108" spans="1:15">
      <c r="A108" s="22" t="s">
        <v>502</v>
      </c>
      <c r="B108" s="22" t="s">
        <v>503</v>
      </c>
      <c r="C108" s="22">
        <v>0.64970000000000006</v>
      </c>
      <c r="D108" s="22">
        <v>0</v>
      </c>
      <c r="E108" s="22">
        <v>17540000</v>
      </c>
      <c r="F108" s="22">
        <v>15840</v>
      </c>
      <c r="G108" s="22">
        <v>27000000</v>
      </c>
      <c r="H108">
        <f>Sheet1[[#This Row],[Volume (24h)]]/Sheet1[[#This Row],[Circulating Supply]]</f>
        <v>5.8666666666666665E-4</v>
      </c>
      <c r="I108">
        <f>RANK(Sheet1[[#This Row],[Market Cap]],Sheet1[Market Cap],0)</f>
        <v>101</v>
      </c>
      <c r="J108" t="str">
        <f t="shared" si="4"/>
        <v>0-0.5</v>
      </c>
      <c r="K108" t="str">
        <f t="shared" si="5"/>
        <v>$0-$50</v>
      </c>
      <c r="L108">
        <f t="shared" si="6"/>
        <v>0.64970000000000006</v>
      </c>
      <c r="M108" t="str">
        <f t="shared" si="7"/>
        <v>Up to $10</v>
      </c>
      <c r="N108" s="22">
        <v>0.05</v>
      </c>
      <c r="O108" s="22">
        <v>3.28</v>
      </c>
    </row>
    <row r="109" spans="1:15">
      <c r="A109" s="22" t="s">
        <v>103</v>
      </c>
      <c r="B109" s="22" t="s">
        <v>103</v>
      </c>
      <c r="C109" s="22">
        <v>2.503E-2</v>
      </c>
      <c r="D109" s="22">
        <v>1.18</v>
      </c>
      <c r="E109" s="22">
        <v>17520000</v>
      </c>
      <c r="F109" s="22">
        <v>2320000</v>
      </c>
      <c r="G109" s="22">
        <v>700000000</v>
      </c>
      <c r="H109">
        <f>Sheet1[[#This Row],[Volume (24h)]]/Sheet1[[#This Row],[Circulating Supply]]</f>
        <v>3.3142857142857145E-3</v>
      </c>
      <c r="I109">
        <f>RANK(Sheet1[[#This Row],[Market Cap]],Sheet1[Market Cap],0)</f>
        <v>102</v>
      </c>
      <c r="J109" t="str">
        <f t="shared" si="4"/>
        <v>0-0.5</v>
      </c>
      <c r="K109" t="str">
        <f t="shared" si="5"/>
        <v>Above $50</v>
      </c>
      <c r="L109">
        <f t="shared" si="6"/>
        <v>2.4738090531725637E-2</v>
      </c>
      <c r="M109" t="str">
        <f t="shared" si="7"/>
        <v>&gt;= $10</v>
      </c>
      <c r="N109" s="22">
        <v>3.38</v>
      </c>
      <c r="O109" s="22">
        <v>1.89</v>
      </c>
    </row>
    <row r="110" spans="1:15">
      <c r="A110" s="22" t="s">
        <v>504</v>
      </c>
      <c r="B110" s="22" t="s">
        <v>505</v>
      </c>
      <c r="C110" s="22">
        <v>5.4050000000000001E-2</v>
      </c>
      <c r="D110" s="22">
        <v>0.19</v>
      </c>
      <c r="E110" s="22">
        <v>17520000</v>
      </c>
      <c r="F110" s="22">
        <v>907370</v>
      </c>
      <c r="G110" s="22">
        <v>324280000</v>
      </c>
      <c r="H110">
        <f>Sheet1[[#This Row],[Volume (24h)]]/Sheet1[[#This Row],[Circulating Supply]]</f>
        <v>2.7981065745651904E-3</v>
      </c>
      <c r="I110">
        <f>RANK(Sheet1[[#This Row],[Market Cap]],Sheet1[Market Cap],0)</f>
        <v>102</v>
      </c>
      <c r="J110" t="str">
        <f t="shared" si="4"/>
        <v>0-0.5</v>
      </c>
      <c r="K110" t="str">
        <f t="shared" si="5"/>
        <v>$0-$50</v>
      </c>
      <c r="L110">
        <f t="shared" si="6"/>
        <v>5.3947499750474102E-2</v>
      </c>
      <c r="M110" t="str">
        <f t="shared" si="7"/>
        <v>Up to $10</v>
      </c>
      <c r="N110" s="22">
        <v>4.78</v>
      </c>
      <c r="O110" s="22">
        <v>11.81</v>
      </c>
    </row>
    <row r="111" spans="1:15">
      <c r="A111" s="22" t="s">
        <v>506</v>
      </c>
      <c r="B111" s="22" t="s">
        <v>507</v>
      </c>
      <c r="C111" s="22">
        <v>148.4</v>
      </c>
      <c r="D111" s="22">
        <v>0</v>
      </c>
      <c r="E111" s="22">
        <v>17460000</v>
      </c>
      <c r="F111" s="22"/>
      <c r="G111" s="22">
        <v>117660</v>
      </c>
      <c r="H111">
        <f>Sheet1[[#This Row],[Volume (24h)]]/Sheet1[[#This Row],[Circulating Supply]]</f>
        <v>0</v>
      </c>
      <c r="I111">
        <f>RANK(Sheet1[[#This Row],[Market Cap]],Sheet1[Market Cap],0)</f>
        <v>104</v>
      </c>
      <c r="J111" t="str">
        <f t="shared" si="4"/>
        <v>0-0.5</v>
      </c>
      <c r="K111" t="str">
        <f t="shared" si="5"/>
        <v>$0-$50</v>
      </c>
      <c r="L111">
        <f t="shared" si="6"/>
        <v>148.4</v>
      </c>
      <c r="M111" t="str">
        <f t="shared" si="7"/>
        <v>Up to $10</v>
      </c>
      <c r="N111" s="22">
        <v>0.22</v>
      </c>
      <c r="O111" s="22">
        <v>5.6</v>
      </c>
    </row>
    <row r="112" spans="1:15">
      <c r="A112" s="22" t="s">
        <v>45</v>
      </c>
      <c r="B112" s="22" t="s">
        <v>508</v>
      </c>
      <c r="C112" s="22">
        <v>1.7440000000000001E-2</v>
      </c>
      <c r="D112" s="22">
        <v>30.91</v>
      </c>
      <c r="E112" s="22">
        <v>17440000</v>
      </c>
      <c r="F112" s="22">
        <v>6480000</v>
      </c>
      <c r="G112" s="22">
        <v>999930000</v>
      </c>
      <c r="H112">
        <f>Sheet1[[#This Row],[Volume (24h)]]/Sheet1[[#This Row],[Circulating Supply]]</f>
        <v>6.4804536317542225E-3</v>
      </c>
      <c r="I112">
        <f>RANK(Sheet1[[#This Row],[Market Cap]],Sheet1[Market Cap],0)</f>
        <v>105</v>
      </c>
      <c r="J112" t="str">
        <f t="shared" si="4"/>
        <v>0-0.5</v>
      </c>
      <c r="K112" t="str">
        <f t="shared" si="5"/>
        <v>$0-$50</v>
      </c>
      <c r="L112">
        <f t="shared" si="6"/>
        <v>1.3322129707432588E-2</v>
      </c>
      <c r="M112" t="str">
        <f t="shared" si="7"/>
        <v>Up to $10</v>
      </c>
      <c r="N112" s="22">
        <v>95.95</v>
      </c>
      <c r="O112" s="22">
        <v>168.45</v>
      </c>
    </row>
    <row r="113" spans="1:15">
      <c r="A113" s="22" t="s">
        <v>509</v>
      </c>
      <c r="B113" s="22" t="s">
        <v>510</v>
      </c>
      <c r="C113" s="22">
        <v>0.84640000000000004</v>
      </c>
      <c r="D113" s="22">
        <v>0.93</v>
      </c>
      <c r="E113" s="22">
        <v>17420000</v>
      </c>
      <c r="F113" s="22">
        <v>7290000</v>
      </c>
      <c r="G113" s="22">
        <v>20590000</v>
      </c>
      <c r="H113">
        <f>Sheet1[[#This Row],[Volume (24h)]]/Sheet1[[#This Row],[Circulating Supply]]</f>
        <v>0.35405536668285575</v>
      </c>
      <c r="I113">
        <f>RANK(Sheet1[[#This Row],[Market Cap]],Sheet1[Market Cap],0)</f>
        <v>106</v>
      </c>
      <c r="J113" t="str">
        <f t="shared" si="4"/>
        <v>0-0.5</v>
      </c>
      <c r="K113" t="str">
        <f t="shared" si="5"/>
        <v>$0-$50</v>
      </c>
      <c r="L113">
        <f t="shared" si="6"/>
        <v>0.8386010106014069</v>
      </c>
      <c r="M113" t="str">
        <f t="shared" si="7"/>
        <v>Up to $10</v>
      </c>
      <c r="N113" s="22">
        <v>1.02</v>
      </c>
      <c r="O113" s="22">
        <v>4.9000000000000004</v>
      </c>
    </row>
    <row r="114" spans="1:15">
      <c r="A114" s="22" t="s">
        <v>511</v>
      </c>
      <c r="B114" s="22" t="s">
        <v>512</v>
      </c>
      <c r="C114" s="22">
        <v>0.17349999999999999</v>
      </c>
      <c r="D114" s="22">
        <v>0.05</v>
      </c>
      <c r="E114" s="22">
        <v>17350000</v>
      </c>
      <c r="F114" s="22">
        <v>1370000</v>
      </c>
      <c r="G114" s="22">
        <v>100000000</v>
      </c>
      <c r="H114">
        <f>Sheet1[[#This Row],[Volume (24h)]]/Sheet1[[#This Row],[Circulating Supply]]</f>
        <v>1.37E-2</v>
      </c>
      <c r="I114">
        <f>RANK(Sheet1[[#This Row],[Market Cap]],Sheet1[Market Cap],0)</f>
        <v>107</v>
      </c>
      <c r="J114" t="str">
        <f t="shared" si="4"/>
        <v>0-0.5</v>
      </c>
      <c r="K114" t="str">
        <f t="shared" si="5"/>
        <v>Above $50</v>
      </c>
      <c r="L114">
        <f t="shared" si="6"/>
        <v>0.17341329335332334</v>
      </c>
      <c r="M114" t="str">
        <f t="shared" si="7"/>
        <v>&gt;= $10</v>
      </c>
      <c r="N114" s="22">
        <v>0.24</v>
      </c>
      <c r="O114" s="22">
        <v>11.96</v>
      </c>
    </row>
    <row r="115" spans="1:15">
      <c r="A115" s="22" t="s">
        <v>513</v>
      </c>
      <c r="B115" s="22" t="s">
        <v>514</v>
      </c>
      <c r="C115" s="22">
        <v>6.9309999999999997E-3</v>
      </c>
      <c r="D115" s="22">
        <v>0.97</v>
      </c>
      <c r="E115" s="22">
        <v>17320000</v>
      </c>
      <c r="F115" s="22">
        <v>886810</v>
      </c>
      <c r="G115" s="22">
        <v>2500000000</v>
      </c>
      <c r="H115">
        <f>Sheet1[[#This Row],[Volume (24h)]]/Sheet1[[#This Row],[Circulating Supply]]</f>
        <v>3.54724E-4</v>
      </c>
      <c r="I115">
        <f>RANK(Sheet1[[#This Row],[Market Cap]],Sheet1[Market Cap],0)</f>
        <v>108</v>
      </c>
      <c r="J115" t="str">
        <f t="shared" si="4"/>
        <v>0-0.5</v>
      </c>
      <c r="K115" t="str">
        <f t="shared" si="5"/>
        <v>Above $50</v>
      </c>
      <c r="L115">
        <f t="shared" si="6"/>
        <v>6.86441517282361E-3</v>
      </c>
      <c r="M115" t="str">
        <f t="shared" si="7"/>
        <v>&gt;= $10</v>
      </c>
      <c r="N115" s="22">
        <v>3.1</v>
      </c>
      <c r="O115" s="22">
        <v>3.5</v>
      </c>
    </row>
    <row r="116" spans="1:15">
      <c r="A116" s="22" t="s">
        <v>515</v>
      </c>
      <c r="B116" s="22" t="s">
        <v>516</v>
      </c>
      <c r="C116" s="22">
        <v>4631.91</v>
      </c>
      <c r="D116" s="22">
        <v>0.14000000000000001</v>
      </c>
      <c r="E116" s="22">
        <v>17240000</v>
      </c>
      <c r="F116" s="22">
        <v>526880</v>
      </c>
      <c r="G116" s="22">
        <v>3720</v>
      </c>
      <c r="H116">
        <f>Sheet1[[#This Row],[Volume (24h)]]/Sheet1[[#This Row],[Circulating Supply]]</f>
        <v>141.63440860215053</v>
      </c>
      <c r="I116">
        <f>RANK(Sheet1[[#This Row],[Market Cap]],Sheet1[Market Cap],0)</f>
        <v>109</v>
      </c>
      <c r="J116" t="str">
        <f t="shared" si="4"/>
        <v>0-0.5</v>
      </c>
      <c r="K116" t="str">
        <f t="shared" si="5"/>
        <v>$0-$50</v>
      </c>
      <c r="L116">
        <f t="shared" si="6"/>
        <v>4625.4343918514078</v>
      </c>
      <c r="M116" t="str">
        <f t="shared" si="7"/>
        <v>Up to $10</v>
      </c>
      <c r="N116" s="22">
        <v>0.05</v>
      </c>
      <c r="O116" s="22">
        <v>5.91</v>
      </c>
    </row>
    <row r="117" spans="1:15">
      <c r="A117" s="22" t="s">
        <v>517</v>
      </c>
      <c r="B117" s="22" t="s">
        <v>518</v>
      </c>
      <c r="C117" s="23" t="s">
        <v>519</v>
      </c>
      <c r="D117" s="22">
        <v>0.38</v>
      </c>
      <c r="E117" s="22">
        <v>17200000</v>
      </c>
      <c r="F117" s="22">
        <v>20000000</v>
      </c>
      <c r="G117" s="23" t="s">
        <v>520</v>
      </c>
      <c r="H117">
        <f>Sheet1[[#This Row],[Volume (24h)]]/Sheet1[[#This Row],[Circulating Supply]]</f>
        <v>1.024380249948781E-4</v>
      </c>
      <c r="I117">
        <f>RANK(Sheet1[[#This Row],[Market Cap]],Sheet1[Market Cap],0)</f>
        <v>110</v>
      </c>
      <c r="J117" t="str">
        <f t="shared" si="4"/>
        <v>0-0.5</v>
      </c>
      <c r="K117" t="str">
        <f t="shared" si="5"/>
        <v>$0-$50</v>
      </c>
      <c r="L117">
        <f t="shared" si="6"/>
        <v>8.779637377963738E-5</v>
      </c>
      <c r="M117" t="str">
        <f t="shared" si="7"/>
        <v>Up to $10</v>
      </c>
      <c r="N117" s="22">
        <v>5.46</v>
      </c>
      <c r="O117" s="22">
        <v>15.91</v>
      </c>
    </row>
    <row r="118" spans="1:15">
      <c r="A118" s="22" t="s">
        <v>521</v>
      </c>
      <c r="B118" s="22" t="s">
        <v>522</v>
      </c>
      <c r="C118" s="22">
        <v>1.1599999999999999</v>
      </c>
      <c r="D118" s="22">
        <v>0.21</v>
      </c>
      <c r="E118" s="22">
        <v>17200000</v>
      </c>
      <c r="F118" s="22">
        <v>5010</v>
      </c>
      <c r="G118" s="22">
        <v>14730000</v>
      </c>
      <c r="H118">
        <f>Sheet1[[#This Row],[Volume (24h)]]/Sheet1[[#This Row],[Circulating Supply]]</f>
        <v>3.4012219959266802E-4</v>
      </c>
      <c r="I118">
        <f>RANK(Sheet1[[#This Row],[Market Cap]],Sheet1[Market Cap],0)</f>
        <v>110</v>
      </c>
      <c r="J118" t="str">
        <f t="shared" si="4"/>
        <v>0-0.5</v>
      </c>
      <c r="K118" t="str">
        <f t="shared" si="5"/>
        <v>$0-$50</v>
      </c>
      <c r="L118">
        <f t="shared" si="6"/>
        <v>1.1575691048797525</v>
      </c>
      <c r="M118" t="str">
        <f t="shared" si="7"/>
        <v>Up to $10</v>
      </c>
      <c r="N118" s="22">
        <v>3.82</v>
      </c>
      <c r="O118" s="22">
        <v>23.7</v>
      </c>
    </row>
    <row r="119" spans="1:15">
      <c r="A119" s="22" t="s">
        <v>523</v>
      </c>
      <c r="B119" s="22" t="s">
        <v>524</v>
      </c>
      <c r="C119" s="22">
        <v>7.3509999999999999E-3</v>
      </c>
      <c r="D119" s="22">
        <v>0.17</v>
      </c>
      <c r="E119" s="22">
        <v>17190000</v>
      </c>
      <c r="F119" s="22">
        <v>407350</v>
      </c>
      <c r="G119" s="22">
        <v>2330000000</v>
      </c>
      <c r="H119">
        <f>Sheet1[[#This Row],[Volume (24h)]]/Sheet1[[#This Row],[Circulating Supply]]</f>
        <v>1.748283261802575E-4</v>
      </c>
      <c r="I119">
        <f>RANK(Sheet1[[#This Row],[Market Cap]],Sheet1[Market Cap],0)</f>
        <v>112</v>
      </c>
      <c r="J119" t="str">
        <f t="shared" si="4"/>
        <v>0-0.5</v>
      </c>
      <c r="K119" t="str">
        <f t="shared" si="5"/>
        <v>$0-$50</v>
      </c>
      <c r="L119">
        <f t="shared" si="6"/>
        <v>7.3385245083358291E-3</v>
      </c>
      <c r="M119" t="str">
        <f t="shared" si="7"/>
        <v>Up to $10</v>
      </c>
      <c r="N119" s="22">
        <v>2.0699999999999998</v>
      </c>
      <c r="O119" s="22">
        <v>6.91</v>
      </c>
    </row>
    <row r="120" spans="1:15">
      <c r="A120" s="22" t="s">
        <v>525</v>
      </c>
      <c r="B120" s="22" t="s">
        <v>526</v>
      </c>
      <c r="C120" s="22">
        <v>2.8680000000000001E-2</v>
      </c>
      <c r="D120" s="22">
        <v>0.13</v>
      </c>
      <c r="E120" s="22">
        <v>17180000</v>
      </c>
      <c r="F120" s="22">
        <v>1790000</v>
      </c>
      <c r="G120" s="22">
        <v>599260000</v>
      </c>
      <c r="H120">
        <f>Sheet1[[#This Row],[Volume (24h)]]/Sheet1[[#This Row],[Circulating Supply]]</f>
        <v>2.9870173213630146E-3</v>
      </c>
      <c r="I120">
        <f>RANK(Sheet1[[#This Row],[Market Cap]],Sheet1[Market Cap],0)</f>
        <v>113</v>
      </c>
      <c r="J120" t="str">
        <f t="shared" si="4"/>
        <v>0-0.5</v>
      </c>
      <c r="K120" t="str">
        <f t="shared" si="5"/>
        <v>$0-$50</v>
      </c>
      <c r="L120">
        <f t="shared" si="6"/>
        <v>2.8642764406271844E-2</v>
      </c>
      <c r="M120" t="str">
        <f t="shared" si="7"/>
        <v>Up to $10</v>
      </c>
      <c r="N120" s="22">
        <v>5.22</v>
      </c>
      <c r="O120" s="22">
        <v>5.98</v>
      </c>
    </row>
    <row r="121" spans="1:15">
      <c r="A121" s="22" t="s">
        <v>527</v>
      </c>
      <c r="B121" s="22" t="s">
        <v>528</v>
      </c>
      <c r="C121" s="22">
        <v>1.243E-2</v>
      </c>
      <c r="D121" s="22">
        <v>0.46</v>
      </c>
      <c r="E121" s="22">
        <v>17090000</v>
      </c>
      <c r="F121" s="22">
        <v>465220</v>
      </c>
      <c r="G121" s="22">
        <v>1370000000</v>
      </c>
      <c r="H121">
        <f>Sheet1[[#This Row],[Volume (24h)]]/Sheet1[[#This Row],[Circulating Supply]]</f>
        <v>3.3957664233576641E-4</v>
      </c>
      <c r="I121">
        <f>RANK(Sheet1[[#This Row],[Market Cap]],Sheet1[Market Cap],0)</f>
        <v>114</v>
      </c>
      <c r="J121" t="str">
        <f t="shared" si="4"/>
        <v>0-0.5</v>
      </c>
      <c r="K121" t="str">
        <f t="shared" si="5"/>
        <v>$0-$50</v>
      </c>
      <c r="L121">
        <f t="shared" si="6"/>
        <v>1.2373083814453515E-2</v>
      </c>
      <c r="M121" t="str">
        <f t="shared" si="7"/>
        <v>Up to $10</v>
      </c>
      <c r="N121" s="22">
        <v>1.42</v>
      </c>
      <c r="O121" s="22">
        <v>4.1399999999999997</v>
      </c>
    </row>
    <row r="122" spans="1:15">
      <c r="A122" s="22" t="s">
        <v>529</v>
      </c>
      <c r="B122" s="22" t="s">
        <v>530</v>
      </c>
      <c r="C122" s="22">
        <v>2.5420000000000002E-2</v>
      </c>
      <c r="D122" s="22">
        <v>0.15</v>
      </c>
      <c r="E122" s="22">
        <v>13340000</v>
      </c>
      <c r="F122" s="22">
        <v>2840000</v>
      </c>
      <c r="G122" s="22">
        <v>525000000</v>
      </c>
      <c r="H122">
        <f>Sheet1[[#This Row],[Volume (24h)]]/Sheet1[[#This Row],[Circulating Supply]]</f>
        <v>5.4095238095238094E-3</v>
      </c>
      <c r="I122">
        <f>RANK(Sheet1[[#This Row],[Market Cap]],Sheet1[Market Cap],0)</f>
        <v>115</v>
      </c>
      <c r="J122" t="str">
        <f t="shared" si="4"/>
        <v>0-0.5</v>
      </c>
      <c r="K122" t="str">
        <f t="shared" si="5"/>
        <v>$0-$50</v>
      </c>
      <c r="L122">
        <f t="shared" si="6"/>
        <v>2.5381927109335997E-2</v>
      </c>
      <c r="M122" t="str">
        <f t="shared" si="7"/>
        <v>Up to $10</v>
      </c>
      <c r="N122" s="22">
        <v>0.09</v>
      </c>
      <c r="O122" s="22">
        <v>0.12</v>
      </c>
    </row>
    <row r="123" spans="1:15">
      <c r="A123" s="22" t="s">
        <v>531</v>
      </c>
      <c r="B123" s="22" t="s">
        <v>532</v>
      </c>
      <c r="C123" s="22">
        <v>4.6640000000000001E-2</v>
      </c>
      <c r="D123" s="22">
        <v>0.05</v>
      </c>
      <c r="E123" s="22">
        <v>13260000</v>
      </c>
      <c r="F123" s="22">
        <v>563750</v>
      </c>
      <c r="G123" s="22">
        <v>284300000</v>
      </c>
      <c r="H123">
        <f>Sheet1[[#This Row],[Volume (24h)]]/Sheet1[[#This Row],[Circulating Supply]]</f>
        <v>1.9829405557509673E-3</v>
      </c>
      <c r="I123">
        <f>RANK(Sheet1[[#This Row],[Market Cap]],Sheet1[Market Cap],0)</f>
        <v>116</v>
      </c>
      <c r="J123" t="str">
        <f t="shared" si="4"/>
        <v>0-0.5</v>
      </c>
      <c r="K123" t="str">
        <f t="shared" si="5"/>
        <v>$0-$50</v>
      </c>
      <c r="L123">
        <f t="shared" si="6"/>
        <v>4.6616691654172919E-2</v>
      </c>
      <c r="M123" t="str">
        <f t="shared" si="7"/>
        <v>Up to $10</v>
      </c>
      <c r="N123" s="22">
        <v>0.76</v>
      </c>
      <c r="O123" s="22">
        <v>3.98</v>
      </c>
    </row>
    <row r="124" spans="1:15">
      <c r="A124" s="22" t="s">
        <v>213</v>
      </c>
      <c r="B124" s="22" t="s">
        <v>533</v>
      </c>
      <c r="C124" s="22">
        <v>1.2879999999999999E-4</v>
      </c>
      <c r="D124" s="22">
        <v>0.05</v>
      </c>
      <c r="E124" s="22">
        <v>13260000</v>
      </c>
      <c r="F124" s="22">
        <v>39560</v>
      </c>
      <c r="G124" s="23" t="s">
        <v>534</v>
      </c>
      <c r="H124">
        <f>Sheet1[[#This Row],[Volume (24h)]]/Sheet1[[#This Row],[Circulating Supply]]</f>
        <v>3.843762145355616E-7</v>
      </c>
      <c r="I124">
        <f>RANK(Sheet1[[#This Row],[Market Cap]],Sheet1[Market Cap],0)</f>
        <v>116</v>
      </c>
      <c r="J124" t="str">
        <f t="shared" si="4"/>
        <v>0-0.5</v>
      </c>
      <c r="K124" t="str">
        <f t="shared" si="5"/>
        <v>Above $50</v>
      </c>
      <c r="L124">
        <f t="shared" si="6"/>
        <v>1.2873563218390805E-4</v>
      </c>
      <c r="M124" t="str">
        <f t="shared" si="7"/>
        <v>&gt;= $10</v>
      </c>
      <c r="N124" s="22">
        <v>2.04</v>
      </c>
      <c r="O124" s="22">
        <v>49.23</v>
      </c>
    </row>
    <row r="125" spans="1:15">
      <c r="A125" s="22" t="s">
        <v>535</v>
      </c>
      <c r="B125" s="22" t="s">
        <v>535</v>
      </c>
      <c r="C125" s="22">
        <v>5.6610000000000001E-2</v>
      </c>
      <c r="D125" s="22">
        <v>0.31</v>
      </c>
      <c r="E125" s="22">
        <v>13220000</v>
      </c>
      <c r="F125" s="22">
        <v>20310000</v>
      </c>
      <c r="G125" s="22">
        <v>233600000</v>
      </c>
      <c r="H125">
        <f>Sheet1[[#This Row],[Volume (24h)]]/Sheet1[[#This Row],[Circulating Supply]]</f>
        <v>8.6943493150684933E-2</v>
      </c>
      <c r="I125">
        <f>RANK(Sheet1[[#This Row],[Market Cap]],Sheet1[Market Cap],0)</f>
        <v>118</v>
      </c>
      <c r="J125" t="str">
        <f t="shared" si="4"/>
        <v>0-0.5</v>
      </c>
      <c r="K125" t="str">
        <f t="shared" si="5"/>
        <v>$0-$50</v>
      </c>
      <c r="L125">
        <f t="shared" si="6"/>
        <v>5.6435051340843381E-2</v>
      </c>
      <c r="M125" t="str">
        <f t="shared" si="7"/>
        <v>Up to $10</v>
      </c>
      <c r="N125" s="22">
        <v>6.19</v>
      </c>
      <c r="O125" s="22">
        <v>37.61</v>
      </c>
    </row>
    <row r="126" spans="1:15">
      <c r="A126" s="22" t="s">
        <v>536</v>
      </c>
      <c r="B126" s="22" t="s">
        <v>537</v>
      </c>
      <c r="C126" s="22">
        <v>89.53</v>
      </c>
      <c r="D126" s="22">
        <v>0.75</v>
      </c>
      <c r="E126" s="22">
        <v>13210000</v>
      </c>
      <c r="F126" s="22">
        <v>384300</v>
      </c>
      <c r="G126" s="22">
        <v>147530</v>
      </c>
      <c r="H126">
        <f>Sheet1[[#This Row],[Volume (24h)]]/Sheet1[[#This Row],[Circulating Supply]]</f>
        <v>2.6048939198807024</v>
      </c>
      <c r="I126">
        <f>RANK(Sheet1[[#This Row],[Market Cap]],Sheet1[Market Cap],0)</f>
        <v>119</v>
      </c>
      <c r="J126" t="str">
        <f t="shared" si="4"/>
        <v>0-0.5</v>
      </c>
      <c r="K126" t="str">
        <f t="shared" si="5"/>
        <v>$0-$50</v>
      </c>
      <c r="L126">
        <f t="shared" si="6"/>
        <v>88.863523573200993</v>
      </c>
      <c r="M126" t="str">
        <f t="shared" si="7"/>
        <v>Up to $10</v>
      </c>
      <c r="N126" s="22">
        <v>1.64</v>
      </c>
      <c r="O126" s="22">
        <v>11.7</v>
      </c>
    </row>
    <row r="127" spans="1:15">
      <c r="A127" s="22" t="s">
        <v>116</v>
      </c>
      <c r="B127" s="22" t="s">
        <v>538</v>
      </c>
      <c r="C127" s="22">
        <v>6.62E-3</v>
      </c>
      <c r="D127" s="22">
        <v>0.24</v>
      </c>
      <c r="E127" s="22">
        <v>13200000</v>
      </c>
      <c r="F127" s="22">
        <v>1380000</v>
      </c>
      <c r="G127" s="22">
        <v>1990000000</v>
      </c>
      <c r="H127">
        <f>Sheet1[[#This Row],[Volume (24h)]]/Sheet1[[#This Row],[Circulating Supply]]</f>
        <v>6.9346733668341706E-4</v>
      </c>
      <c r="I127">
        <f>RANK(Sheet1[[#This Row],[Market Cap]],Sheet1[Market Cap],0)</f>
        <v>120</v>
      </c>
      <c r="J127" t="str">
        <f t="shared" si="4"/>
        <v>0-0.5</v>
      </c>
      <c r="K127" t="str">
        <f t="shared" si="5"/>
        <v>$0-$50</v>
      </c>
      <c r="L127">
        <f t="shared" si="6"/>
        <v>6.6041500399042306E-3</v>
      </c>
      <c r="M127" t="str">
        <f t="shared" si="7"/>
        <v>&gt;= $10</v>
      </c>
      <c r="N127" s="22">
        <v>2.3199999999999998</v>
      </c>
      <c r="O127" s="22">
        <v>18.97</v>
      </c>
    </row>
    <row r="128" spans="1:15">
      <c r="A128" s="22" t="s">
        <v>539</v>
      </c>
      <c r="B128" s="22" t="s">
        <v>540</v>
      </c>
      <c r="C128" s="22">
        <v>1.452E-2</v>
      </c>
      <c r="D128" s="22">
        <v>0.15</v>
      </c>
      <c r="E128" s="22">
        <v>13070000</v>
      </c>
      <c r="F128" s="22">
        <v>1310000</v>
      </c>
      <c r="G128" s="22">
        <v>899980000</v>
      </c>
      <c r="H128">
        <f>Sheet1[[#This Row],[Volume (24h)]]/Sheet1[[#This Row],[Circulating Supply]]</f>
        <v>1.4555879019533767E-3</v>
      </c>
      <c r="I128">
        <f>RANK(Sheet1[[#This Row],[Market Cap]],Sheet1[Market Cap],0)</f>
        <v>124</v>
      </c>
      <c r="J128" t="str">
        <f t="shared" si="4"/>
        <v>0-0.5</v>
      </c>
      <c r="K128" t="str">
        <f t="shared" si="5"/>
        <v>$0-$50</v>
      </c>
      <c r="L128">
        <f t="shared" si="6"/>
        <v>1.4498252621068396E-2</v>
      </c>
      <c r="M128" t="str">
        <f t="shared" si="7"/>
        <v>Up to $10</v>
      </c>
      <c r="N128" s="22">
        <v>1.02</v>
      </c>
      <c r="O128" s="22">
        <v>1.79</v>
      </c>
    </row>
    <row r="129" spans="1:15">
      <c r="A129" s="22" t="s">
        <v>162</v>
      </c>
      <c r="B129" s="22" t="s">
        <v>541</v>
      </c>
      <c r="C129" s="22">
        <v>18.420000000000002</v>
      </c>
      <c r="D129" s="22">
        <v>0.28999999999999998</v>
      </c>
      <c r="E129" s="22">
        <v>13130000</v>
      </c>
      <c r="F129" s="22">
        <v>541280</v>
      </c>
      <c r="G129" s="22">
        <v>712940</v>
      </c>
      <c r="H129">
        <f>Sheet1[[#This Row],[Volume (24h)]]/Sheet1[[#This Row],[Circulating Supply]]</f>
        <v>0.75922237495441414</v>
      </c>
      <c r="I129">
        <f>RANK(Sheet1[[#This Row],[Market Cap]],Sheet1[Market Cap],0)</f>
        <v>121</v>
      </c>
      <c r="J129" t="str">
        <f t="shared" si="4"/>
        <v>0-0.5</v>
      </c>
      <c r="K129" t="str">
        <f t="shared" si="5"/>
        <v>$0-$50</v>
      </c>
      <c r="L129">
        <f t="shared" si="6"/>
        <v>18.366736464253666</v>
      </c>
      <c r="M129" t="str">
        <f t="shared" si="7"/>
        <v>Up to $10</v>
      </c>
      <c r="N129" s="22">
        <v>2.2000000000000002</v>
      </c>
      <c r="O129" s="22">
        <v>1.46</v>
      </c>
    </row>
    <row r="130" spans="1:15">
      <c r="A130" s="22" t="s">
        <v>542</v>
      </c>
      <c r="B130" s="22" t="s">
        <v>543</v>
      </c>
      <c r="C130" s="22">
        <v>4.1480000000000003E-2</v>
      </c>
      <c r="D130" s="22">
        <v>0.61</v>
      </c>
      <c r="E130" s="22">
        <v>13110000</v>
      </c>
      <c r="F130" s="22">
        <v>3340000</v>
      </c>
      <c r="G130" s="22">
        <v>316140000</v>
      </c>
      <c r="H130">
        <f>Sheet1[[#This Row],[Volume (24h)]]/Sheet1[[#This Row],[Circulating Supply]]</f>
        <v>1.0564939583728727E-2</v>
      </c>
      <c r="I130">
        <f>RANK(Sheet1[[#This Row],[Market Cap]],Sheet1[Market Cap],0)</f>
        <v>122</v>
      </c>
      <c r="J130" t="str">
        <f t="shared" ref="J130:J193" si="8">IF(C340&lt;=0.5,"0-0.5",IF(C340&lt;=1,"0.5-1",IF(C340&lt;=2,"1-2",IF(C340&lt;=10,"2-10",IF(C340&lt;=100,"10-100",IF(C340&lt;=10000,"100-10000","10000+"))))))</f>
        <v>0-0.5</v>
      </c>
      <c r="K130" t="str">
        <f t="shared" ref="K130:K193" si="9">IF(C132&lt;=50,"$0-$50","Above $50")</f>
        <v>$0-$50</v>
      </c>
      <c r="L130">
        <f t="shared" ref="L130:L193" si="10">C130/(1+D130/100)</f>
        <v>4.1228506112712456E-2</v>
      </c>
      <c r="M130" t="str">
        <f t="shared" ref="M130:M193" si="11">IF(C132&lt;=10,"Up to $10","&gt;= $10")</f>
        <v>Up to $10</v>
      </c>
      <c r="N130" s="22">
        <v>1.34</v>
      </c>
      <c r="O130" s="22">
        <v>13.29</v>
      </c>
    </row>
    <row r="131" spans="1:15">
      <c r="A131" s="22" t="s">
        <v>544</v>
      </c>
      <c r="B131" s="22" t="s">
        <v>545</v>
      </c>
      <c r="C131" s="22">
        <v>6.5549999999999997E-2</v>
      </c>
      <c r="D131" s="22">
        <v>0.31</v>
      </c>
      <c r="E131" s="22">
        <v>13110000</v>
      </c>
      <c r="F131" s="22">
        <v>9280000</v>
      </c>
      <c r="G131" s="22">
        <v>200000000</v>
      </c>
      <c r="H131">
        <f>Sheet1[[#This Row],[Volume (24h)]]/Sheet1[[#This Row],[Circulating Supply]]</f>
        <v>4.6399999999999997E-2</v>
      </c>
      <c r="I131">
        <f>RANK(Sheet1[[#This Row],[Market Cap]],Sheet1[Market Cap],0)</f>
        <v>122</v>
      </c>
      <c r="J131" t="str">
        <f t="shared" si="8"/>
        <v>0-0.5</v>
      </c>
      <c r="K131" t="str">
        <f t="shared" si="9"/>
        <v>$0-$50</v>
      </c>
      <c r="L131">
        <f t="shared" si="10"/>
        <v>6.5347422988734916E-2</v>
      </c>
      <c r="M131" t="str">
        <f t="shared" si="11"/>
        <v>Up to $10</v>
      </c>
      <c r="N131" s="22">
        <v>2.54</v>
      </c>
      <c r="O131" s="22">
        <v>11.13</v>
      </c>
    </row>
    <row r="132" spans="1:15">
      <c r="A132" s="22" t="s">
        <v>546</v>
      </c>
      <c r="B132" s="22" t="s">
        <v>547</v>
      </c>
      <c r="C132" s="22">
        <v>2.7989999999999998E-3</v>
      </c>
      <c r="D132" s="22">
        <v>7.0000000000000007E-2</v>
      </c>
      <c r="E132" s="22">
        <v>13020000</v>
      </c>
      <c r="F132" s="22">
        <v>7060000</v>
      </c>
      <c r="G132" s="22">
        <v>4650000000</v>
      </c>
      <c r="H132">
        <f>Sheet1[[#This Row],[Volume (24h)]]/Sheet1[[#This Row],[Circulating Supply]]</f>
        <v>1.518279569892473E-3</v>
      </c>
      <c r="I132">
        <f>RANK(Sheet1[[#This Row],[Market Cap]],Sheet1[Market Cap],0)</f>
        <v>125</v>
      </c>
      <c r="J132" t="str">
        <f t="shared" si="8"/>
        <v>0-0.5</v>
      </c>
      <c r="K132" t="str">
        <f t="shared" si="9"/>
        <v>$0-$50</v>
      </c>
      <c r="L132">
        <f t="shared" si="10"/>
        <v>2.7970420705506144E-3</v>
      </c>
      <c r="M132" t="str">
        <f t="shared" si="11"/>
        <v>Up to $10</v>
      </c>
      <c r="N132" s="22">
        <v>10.61</v>
      </c>
      <c r="O132" s="22">
        <v>22.96</v>
      </c>
    </row>
    <row r="133" spans="1:15">
      <c r="A133" s="22" t="s">
        <v>548</v>
      </c>
      <c r="B133" s="22" t="s">
        <v>548</v>
      </c>
      <c r="C133" s="22">
        <v>6.2030000000000002E-3</v>
      </c>
      <c r="D133" s="22">
        <v>0.18</v>
      </c>
      <c r="E133" s="22">
        <v>13020000</v>
      </c>
      <c r="F133" s="22">
        <v>25.96</v>
      </c>
      <c r="G133" s="23" t="s">
        <v>549</v>
      </c>
      <c r="H133">
        <f>Sheet1[[#This Row],[Volume (24h)]]/Sheet1[[#This Row],[Circulating Supply]]</f>
        <v>1.2421052631579007E-8</v>
      </c>
      <c r="I133">
        <f>RANK(Sheet1[[#This Row],[Market Cap]],Sheet1[Market Cap],0)</f>
        <v>125</v>
      </c>
      <c r="J133" t="str">
        <f t="shared" si="8"/>
        <v>0-0.5</v>
      </c>
      <c r="K133" t="str">
        <f t="shared" si="9"/>
        <v>$0-$50</v>
      </c>
      <c r="L133">
        <f t="shared" si="10"/>
        <v>6.1918546616091035E-3</v>
      </c>
      <c r="M133" t="str">
        <f t="shared" si="11"/>
        <v>Up to $10</v>
      </c>
      <c r="N133" s="22">
        <v>1.1200000000000001</v>
      </c>
      <c r="O133" s="22">
        <v>1.46</v>
      </c>
    </row>
    <row r="134" spans="1:15">
      <c r="A134" s="22" t="s">
        <v>550</v>
      </c>
      <c r="B134" s="22" t="s">
        <v>551</v>
      </c>
      <c r="C134" s="22">
        <v>0.1943</v>
      </c>
      <c r="D134" s="22">
        <v>0.02</v>
      </c>
      <c r="E134" s="22">
        <v>13010000</v>
      </c>
      <c r="F134" s="22">
        <v>14040</v>
      </c>
      <c r="G134" s="23" t="s">
        <v>552</v>
      </c>
      <c r="H134">
        <f>Sheet1[[#This Row],[Volume (24h)]]/Sheet1[[#This Row],[Circulating Supply]]</f>
        <v>2.0961481039116154E-4</v>
      </c>
      <c r="I134">
        <f>RANK(Sheet1[[#This Row],[Market Cap]],Sheet1[Market Cap],0)</f>
        <v>127</v>
      </c>
      <c r="J134" t="str">
        <f t="shared" si="8"/>
        <v>0-0.5</v>
      </c>
      <c r="K134" t="str">
        <f t="shared" si="9"/>
        <v>$0-$50</v>
      </c>
      <c r="L134">
        <f t="shared" si="10"/>
        <v>0.19426114777044592</v>
      </c>
      <c r="M134" t="str">
        <f t="shared" si="11"/>
        <v>Up to $10</v>
      </c>
      <c r="N134" s="22">
        <v>0.44</v>
      </c>
      <c r="O134" s="22">
        <v>5.86</v>
      </c>
    </row>
    <row r="135" spans="1:15">
      <c r="A135" s="22" t="s">
        <v>161</v>
      </c>
      <c r="B135" s="22" t="s">
        <v>553</v>
      </c>
      <c r="C135" s="22">
        <v>0.68469999999999998</v>
      </c>
      <c r="D135" s="22">
        <v>0.06</v>
      </c>
      <c r="E135" s="22">
        <v>12980000</v>
      </c>
      <c r="F135" s="22">
        <v>245350</v>
      </c>
      <c r="G135" s="22">
        <v>18950000</v>
      </c>
      <c r="H135">
        <f>Sheet1[[#This Row],[Volume (24h)]]/Sheet1[[#This Row],[Circulating Supply]]</f>
        <v>1.2947229551451188E-2</v>
      </c>
      <c r="I135">
        <f>RANK(Sheet1[[#This Row],[Market Cap]],Sheet1[Market Cap],0)</f>
        <v>128</v>
      </c>
      <c r="J135" t="str">
        <f t="shared" si="8"/>
        <v>0-0.5</v>
      </c>
      <c r="K135" t="str">
        <f t="shared" si="9"/>
        <v>$0-$50</v>
      </c>
      <c r="L135">
        <f t="shared" si="10"/>
        <v>0.68428942634419354</v>
      </c>
      <c r="M135" t="str">
        <f t="shared" si="11"/>
        <v>Up to $10</v>
      </c>
      <c r="N135" s="22">
        <v>2.42</v>
      </c>
      <c r="O135" s="22">
        <v>10.63</v>
      </c>
    </row>
    <row r="136" spans="1:15">
      <c r="A136" s="22" t="s">
        <v>554</v>
      </c>
      <c r="B136" s="22" t="s">
        <v>555</v>
      </c>
      <c r="C136" s="22">
        <v>6.5919999999999998E-4</v>
      </c>
      <c r="D136" s="22">
        <v>0.9</v>
      </c>
      <c r="E136" s="22">
        <v>12920000</v>
      </c>
      <c r="F136" s="22">
        <v>1690000</v>
      </c>
      <c r="G136" s="22">
        <v>19600000000</v>
      </c>
      <c r="H136">
        <f>Sheet1[[#This Row],[Volume (24h)]]/Sheet1[[#This Row],[Circulating Supply]]</f>
        <v>8.6224489795918362E-5</v>
      </c>
      <c r="I136">
        <f>RANK(Sheet1[[#This Row],[Market Cap]],Sheet1[Market Cap],0)</f>
        <v>129</v>
      </c>
      <c r="J136" t="str">
        <f t="shared" si="8"/>
        <v>0-0.5</v>
      </c>
      <c r="K136" t="str">
        <f t="shared" si="9"/>
        <v>$0-$50</v>
      </c>
      <c r="L136">
        <f t="shared" si="10"/>
        <v>6.5332011892963338E-4</v>
      </c>
      <c r="M136" t="str">
        <f t="shared" si="11"/>
        <v>Up to $10</v>
      </c>
      <c r="N136" s="22">
        <v>0.79</v>
      </c>
      <c r="O136" s="22">
        <v>16.87</v>
      </c>
    </row>
    <row r="137" spans="1:15">
      <c r="A137" s="22" t="s">
        <v>556</v>
      </c>
      <c r="B137" s="22" t="s">
        <v>556</v>
      </c>
      <c r="C137" s="22">
        <v>5.0619999999999997E-3</v>
      </c>
      <c r="D137" s="22">
        <v>0.01</v>
      </c>
      <c r="E137" s="22">
        <v>10610000</v>
      </c>
      <c r="F137" s="22">
        <v>252970</v>
      </c>
      <c r="G137" s="23" t="s">
        <v>549</v>
      </c>
      <c r="H137">
        <f>Sheet1[[#This Row],[Volume (24h)]]/Sheet1[[#This Row],[Circulating Supply]]</f>
        <v>1.2103827751196231E-4</v>
      </c>
      <c r="I137">
        <f>RANK(Sheet1[[#This Row],[Market Cap]],Sheet1[Market Cap],0)</f>
        <v>130</v>
      </c>
      <c r="J137" t="str">
        <f t="shared" si="8"/>
        <v>0-0.5</v>
      </c>
      <c r="K137" t="str">
        <f t="shared" si="9"/>
        <v>$0-$50</v>
      </c>
      <c r="L137">
        <f t="shared" si="10"/>
        <v>5.0614938506149381E-3</v>
      </c>
      <c r="M137" t="str">
        <f t="shared" si="11"/>
        <v>Up to $10</v>
      </c>
      <c r="N137" s="22">
        <v>0.31</v>
      </c>
      <c r="O137" s="22">
        <v>1.53</v>
      </c>
    </row>
    <row r="138" spans="1:15">
      <c r="A138" s="22" t="s">
        <v>557</v>
      </c>
      <c r="B138" s="22" t="s">
        <v>557</v>
      </c>
      <c r="C138" s="22">
        <v>2.214E-2</v>
      </c>
      <c r="D138" s="22">
        <v>0</v>
      </c>
      <c r="E138" s="22">
        <v>10580000</v>
      </c>
      <c r="F138" s="22"/>
      <c r="G138" s="22">
        <v>477830000</v>
      </c>
      <c r="H138">
        <f>Sheet1[[#This Row],[Volume (24h)]]/Sheet1[[#This Row],[Circulating Supply]]</f>
        <v>0</v>
      </c>
      <c r="I138">
        <f>RANK(Sheet1[[#This Row],[Market Cap]],Sheet1[Market Cap],0)</f>
        <v>131</v>
      </c>
      <c r="J138" t="str">
        <f t="shared" si="8"/>
        <v>0-0.5</v>
      </c>
      <c r="K138" t="str">
        <f t="shared" si="9"/>
        <v>$0-$50</v>
      </c>
      <c r="L138">
        <f t="shared" si="10"/>
        <v>2.214E-2</v>
      </c>
      <c r="M138" t="str">
        <f t="shared" si="11"/>
        <v>Up to $10</v>
      </c>
      <c r="N138" s="22">
        <v>3.37</v>
      </c>
      <c r="O138" s="22">
        <v>26.96</v>
      </c>
    </row>
    <row r="139" spans="1:15">
      <c r="A139" s="22" t="s">
        <v>80</v>
      </c>
      <c r="B139" s="22" t="s">
        <v>558</v>
      </c>
      <c r="C139" s="22">
        <v>2.3949999999999999E-2</v>
      </c>
      <c r="D139" s="22">
        <v>0.45</v>
      </c>
      <c r="E139" s="22">
        <v>10580000</v>
      </c>
      <c r="F139" s="22">
        <v>3500000</v>
      </c>
      <c r="G139" s="22">
        <v>441620000</v>
      </c>
      <c r="H139">
        <f>Sheet1[[#This Row],[Volume (24h)]]/Sheet1[[#This Row],[Circulating Supply]]</f>
        <v>7.925365699017254E-3</v>
      </c>
      <c r="I139">
        <f>RANK(Sheet1[[#This Row],[Market Cap]],Sheet1[Market Cap],0)</f>
        <v>131</v>
      </c>
      <c r="J139" t="str">
        <f t="shared" si="8"/>
        <v>0-0.5</v>
      </c>
      <c r="K139" t="str">
        <f t="shared" si="9"/>
        <v>$0-$50</v>
      </c>
      <c r="L139">
        <f t="shared" si="10"/>
        <v>2.3842707814833251E-2</v>
      </c>
      <c r="M139" t="str">
        <f t="shared" si="11"/>
        <v>Up to $10</v>
      </c>
      <c r="N139" s="22">
        <v>0.61</v>
      </c>
      <c r="O139" s="22">
        <v>3.45</v>
      </c>
    </row>
    <row r="140" spans="1:15">
      <c r="A140" s="22" t="s">
        <v>559</v>
      </c>
      <c r="B140" s="22" t="s">
        <v>560</v>
      </c>
      <c r="C140" s="22">
        <v>8.0329999999999999E-2</v>
      </c>
      <c r="D140" s="22">
        <v>1.05</v>
      </c>
      <c r="E140" s="22">
        <v>10570000</v>
      </c>
      <c r="F140" s="23" t="s">
        <v>561</v>
      </c>
      <c r="G140" s="22">
        <v>131590000</v>
      </c>
      <c r="H140">
        <f>Sheet1[[#This Row],[Volume (24h)]]/Sheet1[[#This Row],[Circulating Supply]]</f>
        <v>1.5426704156850749E-2</v>
      </c>
      <c r="I140">
        <f>RANK(Sheet1[[#This Row],[Market Cap]],Sheet1[Market Cap],0)</f>
        <v>133</v>
      </c>
      <c r="J140" t="str">
        <f t="shared" si="8"/>
        <v>0-0.5</v>
      </c>
      <c r="K140" t="str">
        <f t="shared" si="9"/>
        <v>$0-$50</v>
      </c>
      <c r="L140">
        <f t="shared" si="10"/>
        <v>7.949529935675409E-2</v>
      </c>
      <c r="M140" t="str">
        <f t="shared" si="11"/>
        <v>Up to $10</v>
      </c>
      <c r="N140" s="22">
        <v>9.24</v>
      </c>
      <c r="O140" s="22">
        <v>30.81</v>
      </c>
    </row>
    <row r="141" spans="1:15">
      <c r="A141" s="22" t="s">
        <v>562</v>
      </c>
      <c r="B141" s="22" t="s">
        <v>563</v>
      </c>
      <c r="C141" s="22">
        <v>1.4409999999999999E-2</v>
      </c>
      <c r="D141" s="22">
        <v>6.1</v>
      </c>
      <c r="E141" s="22">
        <v>10520000</v>
      </c>
      <c r="F141" s="22">
        <v>21540000</v>
      </c>
      <c r="G141" s="22">
        <v>729980000</v>
      </c>
      <c r="H141">
        <f>Sheet1[[#This Row],[Volume (24h)]]/Sheet1[[#This Row],[Circulating Supply]]</f>
        <v>2.9507657744047781E-2</v>
      </c>
      <c r="I141">
        <f>RANK(Sheet1[[#This Row],[Market Cap]],Sheet1[Market Cap],0)</f>
        <v>134</v>
      </c>
      <c r="J141" t="str">
        <f t="shared" si="8"/>
        <v>0-0.5</v>
      </c>
      <c r="K141" t="str">
        <f t="shared" si="9"/>
        <v>$0-$50</v>
      </c>
      <c r="L141">
        <f t="shared" si="10"/>
        <v>1.3581526861451461E-2</v>
      </c>
      <c r="M141" t="str">
        <f t="shared" si="11"/>
        <v>Up to $10</v>
      </c>
      <c r="N141" s="22">
        <v>31.52</v>
      </c>
      <c r="O141" s="22">
        <v>25536.22</v>
      </c>
    </row>
    <row r="142" spans="1:15">
      <c r="A142" s="22" t="s">
        <v>564</v>
      </c>
      <c r="B142" s="22" t="s">
        <v>565</v>
      </c>
      <c r="C142" s="22">
        <v>3.503E-3</v>
      </c>
      <c r="D142" s="22">
        <v>1.26</v>
      </c>
      <c r="E142" s="22">
        <v>10490000</v>
      </c>
      <c r="F142" s="22">
        <v>127050</v>
      </c>
      <c r="G142" s="22">
        <v>2990000000</v>
      </c>
      <c r="H142">
        <f>Sheet1[[#This Row],[Volume (24h)]]/Sheet1[[#This Row],[Circulating Supply]]</f>
        <v>4.2491638795986624E-5</v>
      </c>
      <c r="I142">
        <f>RANK(Sheet1[[#This Row],[Market Cap]],Sheet1[Market Cap],0)</f>
        <v>135</v>
      </c>
      <c r="J142" t="str">
        <f t="shared" si="8"/>
        <v>0-0.5</v>
      </c>
      <c r="K142" t="str">
        <f t="shared" si="9"/>
        <v>$0-$50</v>
      </c>
      <c r="L142">
        <f t="shared" si="10"/>
        <v>3.4594114161564291E-3</v>
      </c>
      <c r="M142" t="str">
        <f t="shared" si="11"/>
        <v>Up to $10</v>
      </c>
      <c r="N142" s="22">
        <v>5.84</v>
      </c>
      <c r="O142" s="22">
        <v>145.86000000000001</v>
      </c>
    </row>
    <row r="143" spans="1:15">
      <c r="A143" s="22" t="s">
        <v>566</v>
      </c>
      <c r="B143" s="22" t="s">
        <v>567</v>
      </c>
      <c r="C143" s="22">
        <v>0.12770000000000001</v>
      </c>
      <c r="D143" s="22">
        <v>0.64</v>
      </c>
      <c r="E143" s="22">
        <v>10400000</v>
      </c>
      <c r="F143" s="22">
        <v>10740000</v>
      </c>
      <c r="G143" s="22">
        <v>81470000</v>
      </c>
      <c r="H143">
        <f>Sheet1[[#This Row],[Volume (24h)]]/Sheet1[[#This Row],[Circulating Supply]]</f>
        <v>0.13182766662575182</v>
      </c>
      <c r="I143">
        <f>RANK(Sheet1[[#This Row],[Market Cap]],Sheet1[Market Cap],0)</f>
        <v>136</v>
      </c>
      <c r="J143" t="str">
        <f t="shared" si="8"/>
        <v>0-0.5</v>
      </c>
      <c r="K143" t="str">
        <f t="shared" si="9"/>
        <v>$0-$50</v>
      </c>
      <c r="L143">
        <f t="shared" si="10"/>
        <v>0.12688791732909382</v>
      </c>
      <c r="M143" t="str">
        <f t="shared" si="11"/>
        <v>Up to $10</v>
      </c>
      <c r="N143" s="22">
        <v>2.33</v>
      </c>
      <c r="O143" s="22">
        <v>0.12</v>
      </c>
    </row>
    <row r="144" spans="1:15">
      <c r="A144" s="22" t="s">
        <v>568</v>
      </c>
      <c r="B144" s="22" t="s">
        <v>569</v>
      </c>
      <c r="C144" s="22">
        <v>1.255E-2</v>
      </c>
      <c r="D144" s="22">
        <v>0.71</v>
      </c>
      <c r="E144" s="22">
        <v>10360000</v>
      </c>
      <c r="F144" s="22">
        <v>11850000</v>
      </c>
      <c r="G144" s="22">
        <v>825470000</v>
      </c>
      <c r="H144">
        <f>Sheet1[[#This Row],[Volume (24h)]]/Sheet1[[#This Row],[Circulating Supply]]</f>
        <v>1.4355458102656668E-2</v>
      </c>
      <c r="I144">
        <f>RANK(Sheet1[[#This Row],[Market Cap]],Sheet1[Market Cap],0)</f>
        <v>137</v>
      </c>
      <c r="J144" t="str">
        <f t="shared" si="8"/>
        <v>0-0.5</v>
      </c>
      <c r="K144" t="str">
        <f t="shared" si="9"/>
        <v>$0-$50</v>
      </c>
      <c r="L144">
        <f t="shared" si="10"/>
        <v>1.2461523185383775E-2</v>
      </c>
      <c r="M144" t="str">
        <f t="shared" si="11"/>
        <v>Up to $10</v>
      </c>
      <c r="N144" s="22">
        <v>3.14</v>
      </c>
      <c r="O144" s="22">
        <v>3.26</v>
      </c>
    </row>
    <row r="145" spans="1:15">
      <c r="A145" s="22" t="s">
        <v>570</v>
      </c>
      <c r="B145" s="22" t="s">
        <v>571</v>
      </c>
      <c r="C145" s="22">
        <v>2.869E-2</v>
      </c>
      <c r="D145" s="22">
        <v>0.37</v>
      </c>
      <c r="E145" s="22">
        <v>10300000</v>
      </c>
      <c r="F145" s="22">
        <v>703790</v>
      </c>
      <c r="G145" s="22">
        <v>359110000</v>
      </c>
      <c r="H145">
        <f>Sheet1[[#This Row],[Volume (24h)]]/Sheet1[[#This Row],[Circulating Supply]]</f>
        <v>1.9598173261674698E-3</v>
      </c>
      <c r="I145">
        <f>RANK(Sheet1[[#This Row],[Market Cap]],Sheet1[Market Cap],0)</f>
        <v>138</v>
      </c>
      <c r="J145" t="str">
        <f t="shared" si="8"/>
        <v>0-0.5</v>
      </c>
      <c r="K145" t="str">
        <f t="shared" si="9"/>
        <v>$0-$50</v>
      </c>
      <c r="L145">
        <f t="shared" si="10"/>
        <v>2.8584238318222575E-2</v>
      </c>
      <c r="M145" t="str">
        <f t="shared" si="11"/>
        <v>Up to $10</v>
      </c>
      <c r="N145" s="22">
        <v>0.08</v>
      </c>
      <c r="O145" s="22">
        <v>9.0399999999999991</v>
      </c>
    </row>
    <row r="146" spans="1:15">
      <c r="A146" s="22" t="s">
        <v>572</v>
      </c>
      <c r="B146" s="22" t="s">
        <v>573</v>
      </c>
      <c r="C146" s="22">
        <v>4.9010000000000004E-4</v>
      </c>
      <c r="D146" s="22">
        <v>8.0399999999999991</v>
      </c>
      <c r="E146" s="22">
        <v>10290000</v>
      </c>
      <c r="F146" s="22">
        <v>37780</v>
      </c>
      <c r="G146" s="22">
        <v>21000000000</v>
      </c>
      <c r="H146">
        <f>Sheet1[[#This Row],[Volume (24h)]]/Sheet1[[#This Row],[Circulating Supply]]</f>
        <v>1.799047619047619E-6</v>
      </c>
      <c r="I146">
        <f>RANK(Sheet1[[#This Row],[Market Cap]],Sheet1[Market Cap],0)</f>
        <v>139</v>
      </c>
      <c r="J146" t="str">
        <f t="shared" si="8"/>
        <v>0-0.5</v>
      </c>
      <c r="K146" t="str">
        <f t="shared" si="9"/>
        <v>$0-$50</v>
      </c>
      <c r="L146">
        <f t="shared" si="10"/>
        <v>4.5362828582006664E-4</v>
      </c>
      <c r="M146" t="str">
        <f t="shared" si="11"/>
        <v>Up to $10</v>
      </c>
      <c r="N146" s="22">
        <v>35.24</v>
      </c>
      <c r="O146" s="22">
        <v>123.75</v>
      </c>
    </row>
    <row r="147" spans="1:15">
      <c r="A147" s="22" t="s">
        <v>574</v>
      </c>
      <c r="B147" s="22" t="s">
        <v>575</v>
      </c>
      <c r="C147" s="22">
        <v>7.1730000000000002E-2</v>
      </c>
      <c r="D147" s="22">
        <v>0.77</v>
      </c>
      <c r="E147" s="22">
        <v>10260000</v>
      </c>
      <c r="F147" s="22">
        <v>6240000</v>
      </c>
      <c r="G147" s="22">
        <v>143150000</v>
      </c>
      <c r="H147">
        <f>Sheet1[[#This Row],[Volume (24h)]]/Sheet1[[#This Row],[Circulating Supply]]</f>
        <v>4.3590639189661197E-2</v>
      </c>
      <c r="I147">
        <f>RANK(Sheet1[[#This Row],[Market Cap]],Sheet1[Market Cap],0)</f>
        <v>140</v>
      </c>
      <c r="J147" t="str">
        <f t="shared" si="8"/>
        <v>0-0.5</v>
      </c>
      <c r="K147" t="str">
        <f t="shared" si="9"/>
        <v>$0-$50</v>
      </c>
      <c r="L147">
        <f t="shared" si="10"/>
        <v>7.1181899374813937E-2</v>
      </c>
      <c r="M147" t="str">
        <f t="shared" si="11"/>
        <v>Up to $10</v>
      </c>
      <c r="N147" s="22">
        <v>2.19</v>
      </c>
      <c r="O147" s="22">
        <v>12.68</v>
      </c>
    </row>
    <row r="148" spans="1:15">
      <c r="A148" s="22" t="s">
        <v>576</v>
      </c>
      <c r="B148" s="22" t="s">
        <v>577</v>
      </c>
      <c r="C148" s="22">
        <v>0.13439999999999999</v>
      </c>
      <c r="D148" s="22">
        <v>0.46</v>
      </c>
      <c r="E148" s="22">
        <v>10260000</v>
      </c>
      <c r="F148" s="22">
        <v>30710</v>
      </c>
      <c r="G148" s="22">
        <v>76390000</v>
      </c>
      <c r="H148">
        <f>Sheet1[[#This Row],[Volume (24h)]]/Sheet1[[#This Row],[Circulating Supply]]</f>
        <v>4.0201597067679017E-4</v>
      </c>
      <c r="I148">
        <f>RANK(Sheet1[[#This Row],[Market Cap]],Sheet1[Market Cap],0)</f>
        <v>140</v>
      </c>
      <c r="J148" t="str">
        <f t="shared" si="8"/>
        <v>0-0.5</v>
      </c>
      <c r="K148" t="str">
        <f t="shared" si="9"/>
        <v>$0-$50</v>
      </c>
      <c r="L148">
        <f t="shared" si="10"/>
        <v>0.13378459088194306</v>
      </c>
      <c r="M148" t="str">
        <f t="shared" si="11"/>
        <v>Up to $10</v>
      </c>
      <c r="N148" s="22">
        <v>1.97</v>
      </c>
      <c r="O148" s="22">
        <v>4.4800000000000004</v>
      </c>
    </row>
    <row r="149" spans="1:15">
      <c r="A149" s="22" t="s">
        <v>578</v>
      </c>
      <c r="B149" s="22" t="s">
        <v>579</v>
      </c>
      <c r="C149" s="22">
        <v>1.0789999999999999E-2</v>
      </c>
      <c r="D149" s="22">
        <v>1.21</v>
      </c>
      <c r="E149" s="22">
        <v>10240000</v>
      </c>
      <c r="F149" s="22">
        <v>15020000</v>
      </c>
      <c r="G149" s="22">
        <v>948230000</v>
      </c>
      <c r="H149">
        <f>Sheet1[[#This Row],[Volume (24h)]]/Sheet1[[#This Row],[Circulating Supply]]</f>
        <v>1.5840038809149679E-2</v>
      </c>
      <c r="I149">
        <f>RANK(Sheet1[[#This Row],[Market Cap]],Sheet1[Market Cap],0)</f>
        <v>142</v>
      </c>
      <c r="J149" t="str">
        <f t="shared" si="8"/>
        <v>0-0.5</v>
      </c>
      <c r="K149" t="str">
        <f t="shared" si="9"/>
        <v>$0-$50</v>
      </c>
      <c r="L149">
        <f t="shared" si="10"/>
        <v>1.0661001877284852E-2</v>
      </c>
      <c r="M149" t="str">
        <f t="shared" si="11"/>
        <v>Up to $10</v>
      </c>
      <c r="N149" s="22">
        <v>0.41</v>
      </c>
      <c r="O149" s="22">
        <v>7.74</v>
      </c>
    </row>
    <row r="150" spans="1:15">
      <c r="A150" s="22" t="s">
        <v>580</v>
      </c>
      <c r="B150" s="22" t="s">
        <v>581</v>
      </c>
      <c r="C150" s="22">
        <v>1.4080000000000001E-2</v>
      </c>
      <c r="D150" s="22">
        <v>3.23</v>
      </c>
      <c r="E150" s="22">
        <v>10190000</v>
      </c>
      <c r="F150" s="22">
        <v>51030</v>
      </c>
      <c r="G150" s="22">
        <v>723870000</v>
      </c>
      <c r="H150">
        <f>Sheet1[[#This Row],[Volume (24h)]]/Sheet1[[#This Row],[Circulating Supply]]</f>
        <v>7.0496083550913838E-5</v>
      </c>
      <c r="I150">
        <f>RANK(Sheet1[[#This Row],[Market Cap]],Sheet1[Market Cap],0)</f>
        <v>143</v>
      </c>
      <c r="J150" t="str">
        <f t="shared" si="8"/>
        <v>0-0.5</v>
      </c>
      <c r="K150" t="str">
        <f t="shared" si="9"/>
        <v>$0-$50</v>
      </c>
      <c r="L150">
        <f t="shared" si="10"/>
        <v>1.3639445897510415E-2</v>
      </c>
      <c r="M150" t="str">
        <f t="shared" si="11"/>
        <v>Up to $10</v>
      </c>
      <c r="N150" s="22">
        <v>13.52</v>
      </c>
      <c r="O150" s="22">
        <v>12.62</v>
      </c>
    </row>
    <row r="151" spans="1:15">
      <c r="A151" s="22" t="s">
        <v>582</v>
      </c>
      <c r="B151" s="22" t="s">
        <v>583</v>
      </c>
      <c r="C151" s="22">
        <v>3.2539999999999999E-3</v>
      </c>
      <c r="D151" s="22">
        <v>0.55000000000000004</v>
      </c>
      <c r="E151" s="22">
        <v>10170000</v>
      </c>
      <c r="F151" s="22">
        <v>4590000</v>
      </c>
      <c r="G151" s="22">
        <v>3120000000</v>
      </c>
      <c r="H151">
        <f>Sheet1[[#This Row],[Volume (24h)]]/Sheet1[[#This Row],[Circulating Supply]]</f>
        <v>1.4711538461538462E-3</v>
      </c>
      <c r="I151">
        <f>RANK(Sheet1[[#This Row],[Market Cap]],Sheet1[Market Cap],0)</f>
        <v>144</v>
      </c>
      <c r="J151" t="str">
        <f t="shared" si="8"/>
        <v>0-0.5</v>
      </c>
      <c r="K151" t="str">
        <f t="shared" si="9"/>
        <v>$0-$50</v>
      </c>
      <c r="L151">
        <f t="shared" si="10"/>
        <v>3.2362008950770757E-3</v>
      </c>
      <c r="M151" t="str">
        <f t="shared" si="11"/>
        <v>Up to $10</v>
      </c>
      <c r="N151" s="22">
        <v>3.89</v>
      </c>
      <c r="O151" s="22">
        <v>9.7799999999999994</v>
      </c>
    </row>
    <row r="152" spans="1:15">
      <c r="A152" s="22" t="s">
        <v>584</v>
      </c>
      <c r="B152" s="22" t="s">
        <v>585</v>
      </c>
      <c r="C152" s="22">
        <v>8.7129999999999999E-2</v>
      </c>
      <c r="D152" s="22">
        <v>0.28000000000000003</v>
      </c>
      <c r="E152" s="22">
        <v>8490000</v>
      </c>
      <c r="F152" s="22">
        <v>156610</v>
      </c>
      <c r="G152" s="22">
        <v>97490000</v>
      </c>
      <c r="H152">
        <f>Sheet1[[#This Row],[Volume (24h)]]/Sheet1[[#This Row],[Circulating Supply]]</f>
        <v>1.6064211714021952E-3</v>
      </c>
      <c r="I152">
        <f>RANK(Sheet1[[#This Row],[Market Cap]],Sheet1[Market Cap],0)</f>
        <v>145</v>
      </c>
      <c r="J152" t="str">
        <f t="shared" si="8"/>
        <v>0-0.5</v>
      </c>
      <c r="K152" t="str">
        <f t="shared" si="9"/>
        <v>$0-$50</v>
      </c>
      <c r="L152">
        <f t="shared" si="10"/>
        <v>8.6886717191862792E-2</v>
      </c>
      <c r="M152" t="str">
        <f t="shared" si="11"/>
        <v>Up to $10</v>
      </c>
      <c r="N152" s="22">
        <v>2.78</v>
      </c>
      <c r="O152" s="22">
        <v>72.92</v>
      </c>
    </row>
    <row r="153" spans="1:15">
      <c r="A153" s="22" t="s">
        <v>163</v>
      </c>
      <c r="B153" s="22" t="s">
        <v>586</v>
      </c>
      <c r="C153" s="22">
        <v>8.5000000000000006E-3</v>
      </c>
      <c r="D153" s="22">
        <v>2.8</v>
      </c>
      <c r="E153" s="22">
        <v>8480000</v>
      </c>
      <c r="F153" s="22">
        <v>164380</v>
      </c>
      <c r="G153" s="22">
        <v>998150000</v>
      </c>
      <c r="H153">
        <f>Sheet1[[#This Row],[Volume (24h)]]/Sheet1[[#This Row],[Circulating Supply]]</f>
        <v>1.6468466663327154E-4</v>
      </c>
      <c r="I153">
        <f>RANK(Sheet1[[#This Row],[Market Cap]],Sheet1[Market Cap],0)</f>
        <v>146</v>
      </c>
      <c r="J153" t="str">
        <f t="shared" si="8"/>
        <v>0-0.5</v>
      </c>
      <c r="K153" t="str">
        <f t="shared" si="9"/>
        <v>$0-$50</v>
      </c>
      <c r="L153">
        <f t="shared" si="10"/>
        <v>8.2684824902723737E-3</v>
      </c>
      <c r="M153" t="str">
        <f t="shared" si="11"/>
        <v>Up to $10</v>
      </c>
      <c r="N153" s="22">
        <v>0.08</v>
      </c>
      <c r="O153" s="22">
        <v>2.4900000000000002</v>
      </c>
    </row>
    <row r="154" spans="1:15">
      <c r="A154" s="22" t="s">
        <v>152</v>
      </c>
      <c r="B154" s="22" t="s">
        <v>587</v>
      </c>
      <c r="C154" s="22">
        <v>0.121</v>
      </c>
      <c r="D154" s="22">
        <v>0.06</v>
      </c>
      <c r="E154" s="22">
        <v>8440000</v>
      </c>
      <c r="F154" s="22">
        <v>242150</v>
      </c>
      <c r="G154" s="22">
        <v>69780000</v>
      </c>
      <c r="H154">
        <f>Sheet1[[#This Row],[Volume (24h)]]/Sheet1[[#This Row],[Circulating Supply]]</f>
        <v>3.4701920321008883E-3</v>
      </c>
      <c r="I154">
        <f>RANK(Sheet1[[#This Row],[Market Cap]],Sheet1[Market Cap],0)</f>
        <v>147</v>
      </c>
      <c r="J154" t="str">
        <f t="shared" si="8"/>
        <v>0-0.5</v>
      </c>
      <c r="K154" t="str">
        <f t="shared" si="9"/>
        <v>Above $50</v>
      </c>
      <c r="L154">
        <f t="shared" si="10"/>
        <v>0.12092744353387967</v>
      </c>
      <c r="M154" t="str">
        <f t="shared" si="11"/>
        <v>&gt;= $10</v>
      </c>
      <c r="N154" s="22">
        <v>0.81</v>
      </c>
      <c r="O154" s="22">
        <v>14.93</v>
      </c>
    </row>
    <row r="155" spans="1:15">
      <c r="A155" s="22" t="s">
        <v>588</v>
      </c>
      <c r="B155" s="22" t="s">
        <v>589</v>
      </c>
      <c r="C155" s="22">
        <v>0.50009999999999999</v>
      </c>
      <c r="D155" s="22">
        <v>0.15</v>
      </c>
      <c r="E155" s="22">
        <v>8420000</v>
      </c>
      <c r="F155" s="22">
        <v>2750000</v>
      </c>
      <c r="G155" s="22">
        <v>16830000</v>
      </c>
      <c r="H155">
        <f>Sheet1[[#This Row],[Volume (24h)]]/Sheet1[[#This Row],[Circulating Supply]]</f>
        <v>0.16339869281045752</v>
      </c>
      <c r="I155">
        <f>RANK(Sheet1[[#This Row],[Market Cap]],Sheet1[Market Cap],0)</f>
        <v>148</v>
      </c>
      <c r="J155" t="str">
        <f t="shared" si="8"/>
        <v>0-0.5</v>
      </c>
      <c r="K155" t="str">
        <f t="shared" si="9"/>
        <v>$0-$50</v>
      </c>
      <c r="L155">
        <f t="shared" si="10"/>
        <v>0.49935097353969043</v>
      </c>
      <c r="M155" t="str">
        <f t="shared" si="11"/>
        <v>Up to $10</v>
      </c>
      <c r="N155" s="22">
        <v>0.81</v>
      </c>
      <c r="O155" s="22">
        <v>8.59</v>
      </c>
    </row>
    <row r="156" spans="1:15">
      <c r="A156" s="22" t="s">
        <v>590</v>
      </c>
      <c r="B156" s="22" t="s">
        <v>591</v>
      </c>
      <c r="C156" s="22">
        <v>562.74</v>
      </c>
      <c r="D156" s="22">
        <v>0.04</v>
      </c>
      <c r="E156" s="23" t="s">
        <v>592</v>
      </c>
      <c r="F156" s="22">
        <v>4830000</v>
      </c>
      <c r="G156" s="22">
        <v>14890</v>
      </c>
      <c r="H156">
        <f>Sheet1[[#This Row],[Volume (24h)]]/Sheet1[[#This Row],[Circulating Supply]]</f>
        <v>324.37877770315646</v>
      </c>
      <c r="I156" t="e">
        <f>RANK(Sheet1[[#This Row],[Market Cap]],Sheet1[Market Cap],0)</f>
        <v>#N/A</v>
      </c>
      <c r="J156" t="str">
        <f t="shared" si="8"/>
        <v>0-0.5</v>
      </c>
      <c r="K156" t="str">
        <f t="shared" si="9"/>
        <v>$0-$50</v>
      </c>
      <c r="L156">
        <f t="shared" si="10"/>
        <v>562.51499400239902</v>
      </c>
      <c r="M156" t="str">
        <f t="shared" si="11"/>
        <v>Up to $10</v>
      </c>
      <c r="N156" s="22">
        <v>2.02</v>
      </c>
      <c r="O156" s="22">
        <v>0.67</v>
      </c>
    </row>
    <row r="157" spans="1:15">
      <c r="A157" s="22" t="s">
        <v>593</v>
      </c>
      <c r="B157" s="22" t="s">
        <v>594</v>
      </c>
      <c r="C157" s="22">
        <v>2.457E-3</v>
      </c>
      <c r="D157" s="22">
        <v>0.64</v>
      </c>
      <c r="E157" s="22">
        <v>8350000</v>
      </c>
      <c r="F157" s="22">
        <v>3000000</v>
      </c>
      <c r="G157" s="22">
        <v>3400000000</v>
      </c>
      <c r="H157">
        <f>Sheet1[[#This Row],[Volume (24h)]]/Sheet1[[#This Row],[Circulating Supply]]</f>
        <v>8.8235294117647062E-4</v>
      </c>
      <c r="I157">
        <f>RANK(Sheet1[[#This Row],[Market Cap]],Sheet1[Market Cap],0)</f>
        <v>149</v>
      </c>
      <c r="J157" t="str">
        <f t="shared" si="8"/>
        <v>0-0.5</v>
      </c>
      <c r="K157" t="str">
        <f t="shared" si="9"/>
        <v>Above $50</v>
      </c>
      <c r="L157">
        <f t="shared" si="10"/>
        <v>2.4413751987281398E-3</v>
      </c>
      <c r="M157" t="str">
        <f t="shared" si="11"/>
        <v>&gt;= $10</v>
      </c>
      <c r="N157" s="22">
        <v>0.82</v>
      </c>
      <c r="O157" s="22">
        <v>9.6</v>
      </c>
    </row>
    <row r="158" spans="1:15">
      <c r="A158" s="22" t="s">
        <v>595</v>
      </c>
      <c r="B158" s="22" t="s">
        <v>596</v>
      </c>
      <c r="C158" s="22">
        <v>9.1539999999999996E-2</v>
      </c>
      <c r="D158" s="22">
        <v>0</v>
      </c>
      <c r="E158" s="23" t="s">
        <v>469</v>
      </c>
      <c r="F158" s="22"/>
      <c r="G158" s="22">
        <v>90750000</v>
      </c>
      <c r="H158">
        <f>Sheet1[[#This Row],[Volume (24h)]]/Sheet1[[#This Row],[Circulating Supply]]</f>
        <v>0</v>
      </c>
      <c r="I158" t="e">
        <f>RANK(Sheet1[[#This Row],[Market Cap]],Sheet1[Market Cap],0)</f>
        <v>#N/A</v>
      </c>
      <c r="J158" t="str">
        <f t="shared" si="8"/>
        <v>0-0.5</v>
      </c>
      <c r="K158" t="str">
        <f t="shared" si="9"/>
        <v>$0-$50</v>
      </c>
      <c r="L158">
        <f t="shared" si="10"/>
        <v>9.1539999999999996E-2</v>
      </c>
      <c r="M158" t="str">
        <f t="shared" si="11"/>
        <v>Up to $10</v>
      </c>
      <c r="N158" s="22">
        <v>0</v>
      </c>
      <c r="O158" s="22">
        <v>0</v>
      </c>
    </row>
    <row r="159" spans="1:15">
      <c r="A159" s="22" t="s">
        <v>597</v>
      </c>
      <c r="B159" s="22" t="s">
        <v>598</v>
      </c>
      <c r="C159" s="22">
        <v>310.51</v>
      </c>
      <c r="D159" s="22">
        <v>0.1</v>
      </c>
      <c r="E159" s="23" t="s">
        <v>469</v>
      </c>
      <c r="F159" s="22">
        <v>3080000</v>
      </c>
      <c r="G159" s="22">
        <v>26750</v>
      </c>
      <c r="H159">
        <f>Sheet1[[#This Row],[Volume (24h)]]/Sheet1[[#This Row],[Circulating Supply]]</f>
        <v>115.14018691588785</v>
      </c>
      <c r="I159" t="e">
        <f>RANK(Sheet1[[#This Row],[Market Cap]],Sheet1[Market Cap],0)</f>
        <v>#N/A</v>
      </c>
      <c r="J159" t="str">
        <f t="shared" si="8"/>
        <v>0-0.5</v>
      </c>
      <c r="K159" t="str">
        <f t="shared" si="9"/>
        <v>$0-$50</v>
      </c>
      <c r="L159">
        <f t="shared" si="10"/>
        <v>310.19980019980022</v>
      </c>
      <c r="M159" t="str">
        <f t="shared" si="11"/>
        <v>Up to $10</v>
      </c>
      <c r="N159" s="22">
        <v>0.02</v>
      </c>
      <c r="O159" s="22">
        <v>1.28</v>
      </c>
    </row>
    <row r="160" spans="1:15">
      <c r="A160" s="22" t="s">
        <v>599</v>
      </c>
      <c r="B160" s="22" t="s">
        <v>600</v>
      </c>
      <c r="C160" s="22">
        <v>0.2319</v>
      </c>
      <c r="D160" s="22">
        <v>0.5</v>
      </c>
      <c r="E160" s="23" t="s">
        <v>601</v>
      </c>
      <c r="F160" s="22">
        <v>304090</v>
      </c>
      <c r="G160" s="22">
        <v>35770000</v>
      </c>
      <c r="H160">
        <f>Sheet1[[#This Row],[Volume (24h)]]/Sheet1[[#This Row],[Circulating Supply]]</f>
        <v>8.5012580374615593E-3</v>
      </c>
      <c r="I160" t="e">
        <f>RANK(Sheet1[[#This Row],[Market Cap]],Sheet1[Market Cap],0)</f>
        <v>#N/A</v>
      </c>
      <c r="J160" t="str">
        <f t="shared" si="8"/>
        <v>0-0.5</v>
      </c>
      <c r="K160" t="str">
        <f t="shared" si="9"/>
        <v>$0-$50</v>
      </c>
      <c r="L160">
        <f t="shared" si="10"/>
        <v>0.23074626865671644</v>
      </c>
      <c r="M160" t="str">
        <f t="shared" si="11"/>
        <v>Up to $10</v>
      </c>
      <c r="N160" s="22">
        <v>0.21</v>
      </c>
      <c r="O160" s="22">
        <v>0.17</v>
      </c>
    </row>
    <row r="161" spans="1:15">
      <c r="A161" s="22" t="s">
        <v>602</v>
      </c>
      <c r="B161" s="22" t="s">
        <v>603</v>
      </c>
      <c r="C161" s="22">
        <v>0.2727</v>
      </c>
      <c r="D161" s="22">
        <v>0.14000000000000001</v>
      </c>
      <c r="E161" s="23" t="s">
        <v>604</v>
      </c>
      <c r="F161" s="22">
        <v>1090</v>
      </c>
      <c r="G161" s="22">
        <v>30380000</v>
      </c>
      <c r="H161">
        <f>Sheet1[[#This Row],[Volume (24h)]]/Sheet1[[#This Row],[Circulating Supply]]</f>
        <v>3.5878867676102697E-5</v>
      </c>
      <c r="I161" t="e">
        <f>RANK(Sheet1[[#This Row],[Market Cap]],Sheet1[Market Cap],0)</f>
        <v>#N/A</v>
      </c>
      <c r="J161" t="str">
        <f t="shared" si="8"/>
        <v>0-0.5</v>
      </c>
      <c r="K161" t="str">
        <f t="shared" si="9"/>
        <v>Above $50</v>
      </c>
      <c r="L161">
        <f t="shared" si="10"/>
        <v>0.27231875374475734</v>
      </c>
      <c r="M161" t="str">
        <f t="shared" si="11"/>
        <v>&gt;= $10</v>
      </c>
      <c r="N161" s="22">
        <v>0.41</v>
      </c>
      <c r="O161" s="22">
        <v>22.09</v>
      </c>
    </row>
    <row r="162" spans="1:15">
      <c r="A162" s="22" t="s">
        <v>605</v>
      </c>
      <c r="B162" s="22" t="s">
        <v>606</v>
      </c>
      <c r="C162" s="22">
        <v>6.3909999999999995E-2</v>
      </c>
      <c r="D162" s="22">
        <v>0.03</v>
      </c>
      <c r="E162" s="23" t="s">
        <v>604</v>
      </c>
      <c r="F162" s="22">
        <v>246480</v>
      </c>
      <c r="G162" s="23" t="s">
        <v>607</v>
      </c>
      <c r="H162">
        <f>Sheet1[[#This Row],[Volume (24h)]]/Sheet1[[#This Row],[Circulating Supply]]</f>
        <v>1.9025858741798533E-3</v>
      </c>
      <c r="I162" t="e">
        <f>RANK(Sheet1[[#This Row],[Market Cap]],Sheet1[Market Cap],0)</f>
        <v>#N/A</v>
      </c>
      <c r="J162" t="str">
        <f t="shared" si="8"/>
        <v>0-0.5</v>
      </c>
      <c r="K162" t="str">
        <f t="shared" si="9"/>
        <v>$0-$50</v>
      </c>
      <c r="L162">
        <f t="shared" si="10"/>
        <v>6.3890832750174945E-2</v>
      </c>
      <c r="M162" t="str">
        <f t="shared" si="11"/>
        <v>Up to $10</v>
      </c>
      <c r="N162" s="22">
        <v>0.13</v>
      </c>
      <c r="O162" s="22">
        <v>8.32</v>
      </c>
    </row>
    <row r="163" spans="1:15">
      <c r="A163" s="22" t="s">
        <v>50</v>
      </c>
      <c r="B163" s="22" t="s">
        <v>608</v>
      </c>
      <c r="C163" s="22">
        <v>216.99</v>
      </c>
      <c r="D163" s="22">
        <v>0.22</v>
      </c>
      <c r="E163" s="22">
        <v>8250000</v>
      </c>
      <c r="F163" s="22">
        <v>5120000</v>
      </c>
      <c r="G163" s="22">
        <v>38040</v>
      </c>
      <c r="H163">
        <f>Sheet1[[#This Row],[Volume (24h)]]/Sheet1[[#This Row],[Circulating Supply]]</f>
        <v>134.59516298633017</v>
      </c>
      <c r="I163">
        <f>RANK(Sheet1[[#This Row],[Market Cap]],Sheet1[Market Cap],0)</f>
        <v>150</v>
      </c>
      <c r="J163" t="str">
        <f t="shared" si="8"/>
        <v>0-0.5</v>
      </c>
      <c r="K163" t="str">
        <f t="shared" si="9"/>
        <v>$0-$50</v>
      </c>
      <c r="L163">
        <f t="shared" si="10"/>
        <v>216.51366992616246</v>
      </c>
      <c r="M163" t="str">
        <f t="shared" si="11"/>
        <v>Up to $10</v>
      </c>
      <c r="N163" s="22">
        <v>2.96</v>
      </c>
      <c r="O163" s="22">
        <v>18.64</v>
      </c>
    </row>
    <row r="164" spans="1:15">
      <c r="A164" s="22" t="s">
        <v>609</v>
      </c>
      <c r="B164" s="22" t="s">
        <v>610</v>
      </c>
      <c r="C164" s="22">
        <v>0.1162</v>
      </c>
      <c r="D164" s="22">
        <v>0.13</v>
      </c>
      <c r="E164" s="23" t="s">
        <v>611</v>
      </c>
      <c r="F164" s="22">
        <v>1090000</v>
      </c>
      <c r="G164" s="22">
        <v>70750000</v>
      </c>
      <c r="H164">
        <f>Sheet1[[#This Row],[Volume (24h)]]/Sheet1[[#This Row],[Circulating Supply]]</f>
        <v>1.5406360424028268E-2</v>
      </c>
      <c r="I164" t="e">
        <f>RANK(Sheet1[[#This Row],[Market Cap]],Sheet1[Market Cap],0)</f>
        <v>#N/A</v>
      </c>
      <c r="J164" t="str">
        <f t="shared" si="8"/>
        <v>0-0.5</v>
      </c>
      <c r="K164" t="str">
        <f t="shared" si="9"/>
        <v>$0-$50</v>
      </c>
      <c r="L164">
        <f t="shared" si="10"/>
        <v>0.11604913612304003</v>
      </c>
      <c r="M164" t="str">
        <f t="shared" si="11"/>
        <v>Up to $10</v>
      </c>
      <c r="N164" s="22">
        <v>4.1900000000000004</v>
      </c>
      <c r="O164" s="22">
        <v>24.31</v>
      </c>
    </row>
    <row r="165" spans="1:15">
      <c r="A165" s="22" t="s">
        <v>612</v>
      </c>
      <c r="B165" s="22" t="s">
        <v>613</v>
      </c>
      <c r="C165" s="22">
        <v>0.1085</v>
      </c>
      <c r="D165" s="22">
        <v>0.4</v>
      </c>
      <c r="E165" s="23" t="s">
        <v>611</v>
      </c>
      <c r="F165" s="22">
        <v>778160</v>
      </c>
      <c r="G165" s="22">
        <v>75750000</v>
      </c>
      <c r="H165">
        <f>Sheet1[[#This Row],[Volume (24h)]]/Sheet1[[#This Row],[Circulating Supply]]</f>
        <v>1.0272739273927392E-2</v>
      </c>
      <c r="I165" t="e">
        <f>RANK(Sheet1[[#This Row],[Market Cap]],Sheet1[Market Cap],0)</f>
        <v>#N/A</v>
      </c>
      <c r="J165" t="str">
        <f t="shared" si="8"/>
        <v>0-0.5</v>
      </c>
      <c r="K165" t="str">
        <f t="shared" si="9"/>
        <v>$0-$50</v>
      </c>
      <c r="L165">
        <f t="shared" si="10"/>
        <v>0.10806772908366534</v>
      </c>
      <c r="M165" t="str">
        <f t="shared" si="11"/>
        <v>Up to $10</v>
      </c>
      <c r="N165" s="22">
        <v>5.03</v>
      </c>
      <c r="O165" s="22">
        <v>37.49</v>
      </c>
    </row>
    <row r="166" spans="1:15">
      <c r="A166" s="22" t="s">
        <v>614</v>
      </c>
      <c r="B166" s="22" t="s">
        <v>615</v>
      </c>
      <c r="C166" s="22">
        <v>3.0630000000000002E-4</v>
      </c>
      <c r="D166" s="22">
        <v>1.79</v>
      </c>
      <c r="E166" s="23" t="s">
        <v>616</v>
      </c>
      <c r="F166" s="22">
        <v>54.96</v>
      </c>
      <c r="G166" s="22">
        <v>26790000000</v>
      </c>
      <c r="H166">
        <f>Sheet1[[#This Row],[Volume (24h)]]/Sheet1[[#This Row],[Circulating Supply]]</f>
        <v>2.051511758118701E-9</v>
      </c>
      <c r="I166" t="e">
        <f>RANK(Sheet1[[#This Row],[Market Cap]],Sheet1[Market Cap],0)</f>
        <v>#N/A</v>
      </c>
      <c r="J166" t="str">
        <f t="shared" si="8"/>
        <v>0-0.5</v>
      </c>
      <c r="K166" t="str">
        <f t="shared" si="9"/>
        <v>$0-$50</v>
      </c>
      <c r="L166">
        <f t="shared" si="10"/>
        <v>3.0091364574123195E-4</v>
      </c>
      <c r="M166" t="str">
        <f t="shared" si="11"/>
        <v>Up to $10</v>
      </c>
      <c r="N166" s="22">
        <v>1.94</v>
      </c>
      <c r="O166" s="22">
        <v>60.78</v>
      </c>
    </row>
    <row r="167" spans="1:15">
      <c r="A167" s="22" t="s">
        <v>617</v>
      </c>
      <c r="B167" s="22" t="s">
        <v>618</v>
      </c>
      <c r="C167" s="22">
        <v>7.1664000000000005E-2</v>
      </c>
      <c r="D167" s="22">
        <v>0.11</v>
      </c>
      <c r="E167" s="22">
        <v>6580000</v>
      </c>
      <c r="F167" s="22">
        <v>200070</v>
      </c>
      <c r="G167" s="23" t="s">
        <v>619</v>
      </c>
      <c r="H167">
        <f>Sheet1[[#This Row],[Volume (24h)]]/Sheet1[[#This Row],[Circulating Supply]]</f>
        <v>5.0562308878162197E-10</v>
      </c>
      <c r="I167">
        <f>RANK(Sheet1[[#This Row],[Market Cap]],Sheet1[Market Cap],0)</f>
        <v>151</v>
      </c>
      <c r="J167" t="str">
        <f t="shared" si="8"/>
        <v>0-0.5</v>
      </c>
      <c r="K167" t="str">
        <f t="shared" si="9"/>
        <v>$0-$50</v>
      </c>
      <c r="L167">
        <f t="shared" si="10"/>
        <v>7.1585256218160018E-2</v>
      </c>
      <c r="M167" t="str">
        <f t="shared" si="11"/>
        <v>Up to $10</v>
      </c>
      <c r="N167" s="22">
        <v>3.1</v>
      </c>
      <c r="O167" s="22">
        <v>22.36</v>
      </c>
    </row>
    <row r="168" spans="1:15">
      <c r="A168" s="22" t="s">
        <v>620</v>
      </c>
      <c r="B168" s="22" t="s">
        <v>621</v>
      </c>
      <c r="C168" s="22">
        <v>7.26E-3</v>
      </c>
      <c r="D168" s="22">
        <v>0.33</v>
      </c>
      <c r="E168" s="22">
        <v>6530000</v>
      </c>
      <c r="F168" s="22">
        <v>295930</v>
      </c>
      <c r="G168" s="22">
        <v>899980000</v>
      </c>
      <c r="H168">
        <f>Sheet1[[#This Row],[Volume (24h)]]/Sheet1[[#This Row],[Circulating Supply]]</f>
        <v>3.2881841818707084E-4</v>
      </c>
      <c r="I168">
        <f>RANK(Sheet1[[#This Row],[Market Cap]],Sheet1[Market Cap],0)</f>
        <v>152</v>
      </c>
      <c r="J168" t="str">
        <f t="shared" si="8"/>
        <v>0-0.5</v>
      </c>
      <c r="K168" t="str">
        <f t="shared" si="9"/>
        <v>$0-$50</v>
      </c>
      <c r="L168">
        <f t="shared" si="10"/>
        <v>7.2361208013555257E-3</v>
      </c>
      <c r="M168" t="str">
        <f t="shared" si="11"/>
        <v>Up to $10</v>
      </c>
      <c r="N168" s="22">
        <v>2.35</v>
      </c>
      <c r="O168" s="22">
        <v>8.6999999999999993</v>
      </c>
    </row>
    <row r="169" spans="1:15">
      <c r="A169" s="22" t="s">
        <v>622</v>
      </c>
      <c r="B169" s="22" t="s">
        <v>623</v>
      </c>
      <c r="C169" s="22">
        <v>1.7069999999999998E-2</v>
      </c>
      <c r="D169" s="22">
        <v>0.3</v>
      </c>
      <c r="E169" s="22">
        <v>6510000</v>
      </c>
      <c r="F169" s="22">
        <v>18640</v>
      </c>
      <c r="G169" s="22">
        <v>381850000</v>
      </c>
      <c r="H169">
        <f>Sheet1[[#This Row],[Volume (24h)]]/Sheet1[[#This Row],[Circulating Supply]]</f>
        <v>4.881497970407228E-5</v>
      </c>
      <c r="I169">
        <f>RANK(Sheet1[[#This Row],[Market Cap]],Sheet1[Market Cap],0)</f>
        <v>153</v>
      </c>
      <c r="J169" t="str">
        <f t="shared" si="8"/>
        <v>0-0.5</v>
      </c>
      <c r="K169" t="str">
        <f t="shared" si="9"/>
        <v>$0-$50</v>
      </c>
      <c r="L169">
        <f t="shared" si="10"/>
        <v>1.7018943170488535E-2</v>
      </c>
      <c r="M169" t="str">
        <f t="shared" si="11"/>
        <v>Up to $10</v>
      </c>
      <c r="N169" s="22">
        <v>1.52</v>
      </c>
      <c r="O169" s="22">
        <v>23.06</v>
      </c>
    </row>
    <row r="170" spans="1:15">
      <c r="A170" s="22" t="s">
        <v>624</v>
      </c>
      <c r="B170" s="22" t="s">
        <v>624</v>
      </c>
      <c r="C170" s="22">
        <v>1.9330000000000001E-4</v>
      </c>
      <c r="D170" s="22">
        <v>0.13</v>
      </c>
      <c r="E170" s="22">
        <v>6500000</v>
      </c>
      <c r="F170" s="22">
        <v>441840</v>
      </c>
      <c r="G170" s="23" t="s">
        <v>625</v>
      </c>
      <c r="H170">
        <f>Sheet1[[#This Row],[Volume (24h)]]/Sheet1[[#This Row],[Circulating Supply]]</f>
        <v>1.3142177275431329E-5</v>
      </c>
      <c r="I170">
        <f>RANK(Sheet1[[#This Row],[Market Cap]],Sheet1[Market Cap],0)</f>
        <v>154</v>
      </c>
      <c r="J170" t="str">
        <f t="shared" si="8"/>
        <v>0-0.5</v>
      </c>
      <c r="K170" t="str">
        <f t="shared" si="9"/>
        <v>$0-$50</v>
      </c>
      <c r="L170">
        <f t="shared" si="10"/>
        <v>1.9304903625287127E-4</v>
      </c>
      <c r="M170" t="str">
        <f t="shared" si="11"/>
        <v>Up to $10</v>
      </c>
      <c r="N170" s="22">
        <v>3.45</v>
      </c>
      <c r="O170" s="22">
        <v>6.16</v>
      </c>
    </row>
    <row r="171" spans="1:15">
      <c r="A171" s="22" t="s">
        <v>626</v>
      </c>
      <c r="B171" s="22" t="s">
        <v>627</v>
      </c>
      <c r="C171" s="22">
        <v>6.8585999999999994E-2</v>
      </c>
      <c r="D171" s="22">
        <v>0</v>
      </c>
      <c r="E171" s="22">
        <v>6480000</v>
      </c>
      <c r="F171" s="22"/>
      <c r="G171" s="23" t="s">
        <v>628</v>
      </c>
      <c r="H171">
        <f>Sheet1[[#This Row],[Volume (24h)]]/Sheet1[[#This Row],[Circulating Supply]]</f>
        <v>0</v>
      </c>
      <c r="I171">
        <f>RANK(Sheet1[[#This Row],[Market Cap]],Sheet1[Market Cap],0)</f>
        <v>155</v>
      </c>
      <c r="J171" t="str">
        <f t="shared" si="8"/>
        <v>0-0.5</v>
      </c>
      <c r="K171" t="str">
        <f t="shared" si="9"/>
        <v>$0-$50</v>
      </c>
      <c r="L171">
        <f t="shared" si="10"/>
        <v>6.8585999999999994E-2</v>
      </c>
      <c r="M171" t="str">
        <f t="shared" si="11"/>
        <v>Up to $10</v>
      </c>
      <c r="N171" s="22">
        <v>3.16</v>
      </c>
      <c r="O171" s="22">
        <v>27.78</v>
      </c>
    </row>
    <row r="172" spans="1:15">
      <c r="A172" s="22" t="s">
        <v>133</v>
      </c>
      <c r="B172" s="22" t="s">
        <v>629</v>
      </c>
      <c r="C172" s="22">
        <v>1.0410000000000001E-2</v>
      </c>
      <c r="D172" s="22">
        <v>0.99</v>
      </c>
      <c r="E172" s="22">
        <v>6470000</v>
      </c>
      <c r="F172" s="22">
        <v>1650000</v>
      </c>
      <c r="G172" s="22">
        <v>621500000</v>
      </c>
      <c r="H172">
        <f>Sheet1[[#This Row],[Volume (24h)]]/Sheet1[[#This Row],[Circulating Supply]]</f>
        <v>2.6548672566371681E-3</v>
      </c>
      <c r="I172">
        <f>RANK(Sheet1[[#This Row],[Market Cap]],Sheet1[Market Cap],0)</f>
        <v>156</v>
      </c>
      <c r="J172" t="str">
        <f t="shared" si="8"/>
        <v>0-0.5</v>
      </c>
      <c r="K172" t="str">
        <f t="shared" si="9"/>
        <v>$0-$50</v>
      </c>
      <c r="L172">
        <f t="shared" si="10"/>
        <v>1.030795128230518E-2</v>
      </c>
      <c r="M172" t="str">
        <f t="shared" si="11"/>
        <v>Up to $10</v>
      </c>
      <c r="N172" s="22">
        <v>19.920000000000002</v>
      </c>
      <c r="O172" s="22">
        <v>35.950000000000003</v>
      </c>
    </row>
    <row r="173" spans="1:15">
      <c r="A173" s="22" t="s">
        <v>630</v>
      </c>
      <c r="B173" s="22" t="s">
        <v>631</v>
      </c>
      <c r="C173" s="22">
        <v>0.50060000000000004</v>
      </c>
      <c r="D173" s="22">
        <v>0.89</v>
      </c>
      <c r="E173" s="22">
        <v>6450000</v>
      </c>
      <c r="F173" s="22">
        <v>492610</v>
      </c>
      <c r="G173" s="22">
        <v>12890000</v>
      </c>
      <c r="H173">
        <f>Sheet1[[#This Row],[Volume (24h)]]/Sheet1[[#This Row],[Circulating Supply]]</f>
        <v>3.8216446858029482E-2</v>
      </c>
      <c r="I173">
        <f>RANK(Sheet1[[#This Row],[Market Cap]],Sheet1[Market Cap],0)</f>
        <v>157</v>
      </c>
      <c r="J173" t="str">
        <f t="shared" si="8"/>
        <v>0-0.5</v>
      </c>
      <c r="K173" t="str">
        <f t="shared" si="9"/>
        <v>$0-$50</v>
      </c>
      <c r="L173">
        <f t="shared" si="10"/>
        <v>0.49618396273168808</v>
      </c>
      <c r="M173" t="str">
        <f t="shared" si="11"/>
        <v>Up to $10</v>
      </c>
      <c r="N173" s="22">
        <v>0.31</v>
      </c>
      <c r="O173" s="22">
        <v>15.52</v>
      </c>
    </row>
    <row r="174" spans="1:15">
      <c r="A174" s="22" t="s">
        <v>266</v>
      </c>
      <c r="B174" s="22" t="s">
        <v>632</v>
      </c>
      <c r="C174" s="22">
        <v>0.27900000000000003</v>
      </c>
      <c r="D174" s="22">
        <v>0.03</v>
      </c>
      <c r="E174" s="22">
        <v>6440000</v>
      </c>
      <c r="F174" s="22">
        <v>158690</v>
      </c>
      <c r="G174" s="22">
        <v>23080000</v>
      </c>
      <c r="H174">
        <f>Sheet1[[#This Row],[Volume (24h)]]/Sheet1[[#This Row],[Circulating Supply]]</f>
        <v>6.8756499133448877E-3</v>
      </c>
      <c r="I174">
        <f>RANK(Sheet1[[#This Row],[Market Cap]],Sheet1[Market Cap],0)</f>
        <v>158</v>
      </c>
      <c r="J174" t="str">
        <f t="shared" si="8"/>
        <v>0-0.5</v>
      </c>
      <c r="K174" t="str">
        <f t="shared" si="9"/>
        <v>Above $50</v>
      </c>
      <c r="L174">
        <f t="shared" si="10"/>
        <v>0.27891632510246928</v>
      </c>
      <c r="M174" t="str">
        <f t="shared" si="11"/>
        <v>&gt;= $10</v>
      </c>
      <c r="N174" s="22">
        <v>1.38</v>
      </c>
      <c r="O174" s="22">
        <v>9.3000000000000007</v>
      </c>
    </row>
    <row r="175" spans="1:15">
      <c r="A175" s="22" t="s">
        <v>633</v>
      </c>
      <c r="B175" s="22" t="s">
        <v>634</v>
      </c>
      <c r="C175" s="22">
        <v>7.9390000000000005E-4</v>
      </c>
      <c r="D175" s="22">
        <v>1.67</v>
      </c>
      <c r="E175" s="22">
        <v>6440000</v>
      </c>
      <c r="F175" s="22">
        <v>1920000</v>
      </c>
      <c r="G175" s="23" t="s">
        <v>635</v>
      </c>
      <c r="H175">
        <f>Sheet1[[#This Row],[Volume (24h)]]/Sheet1[[#This Row],[Circulating Supply]]</f>
        <v>2.3674475955610385E-4</v>
      </c>
      <c r="I175">
        <f>RANK(Sheet1[[#This Row],[Market Cap]],Sheet1[Market Cap],0)</f>
        <v>158</v>
      </c>
      <c r="J175" t="str">
        <f t="shared" si="8"/>
        <v>0-0.5</v>
      </c>
      <c r="K175" t="str">
        <f t="shared" si="9"/>
        <v>$0-$50</v>
      </c>
      <c r="L175">
        <f t="shared" si="10"/>
        <v>7.8085964394610018E-4</v>
      </c>
      <c r="M175" t="str">
        <f t="shared" si="11"/>
        <v>Up to $10</v>
      </c>
      <c r="N175" s="22">
        <v>8.4</v>
      </c>
      <c r="O175" s="22">
        <v>6.62</v>
      </c>
    </row>
    <row r="176" spans="1:15">
      <c r="A176" s="22" t="s">
        <v>636</v>
      </c>
      <c r="B176" s="22" t="s">
        <v>637</v>
      </c>
      <c r="C176" s="22">
        <v>926.42</v>
      </c>
      <c r="D176" s="22">
        <v>0.37</v>
      </c>
      <c r="E176" s="22">
        <v>6440000</v>
      </c>
      <c r="F176" s="22">
        <v>1540000</v>
      </c>
      <c r="G176" s="22">
        <v>6950</v>
      </c>
      <c r="H176">
        <f>Sheet1[[#This Row],[Volume (24h)]]/Sheet1[[#This Row],[Circulating Supply]]</f>
        <v>221.58273381294964</v>
      </c>
      <c r="I176">
        <f>RANK(Sheet1[[#This Row],[Market Cap]],Sheet1[Market Cap],0)</f>
        <v>158</v>
      </c>
      <c r="J176" t="str">
        <f t="shared" si="8"/>
        <v>0-0.5</v>
      </c>
      <c r="K176" t="str">
        <f t="shared" si="9"/>
        <v>$0-$50</v>
      </c>
      <c r="L176">
        <f t="shared" si="10"/>
        <v>923.00488193683361</v>
      </c>
      <c r="M176" t="str">
        <f t="shared" si="11"/>
        <v>Up to $10</v>
      </c>
      <c r="N176" s="22">
        <v>1</v>
      </c>
      <c r="O176" s="22">
        <v>5.63</v>
      </c>
    </row>
    <row r="177" spans="1:15">
      <c r="A177" s="22" t="s">
        <v>638</v>
      </c>
      <c r="B177" s="22" t="s">
        <v>639</v>
      </c>
      <c r="C177" s="22">
        <v>2.3040000000000001E-2</v>
      </c>
      <c r="D177" s="22">
        <v>0.09</v>
      </c>
      <c r="E177" s="22">
        <v>6400000</v>
      </c>
      <c r="F177" s="22">
        <v>795250</v>
      </c>
      <c r="G177" s="22">
        <v>278120000</v>
      </c>
      <c r="H177">
        <f>Sheet1[[#This Row],[Volume (24h)]]/Sheet1[[#This Row],[Circulating Supply]]</f>
        <v>2.8593772472314109E-3</v>
      </c>
      <c r="I177">
        <f>RANK(Sheet1[[#This Row],[Market Cap]],Sheet1[Market Cap],0)</f>
        <v>161</v>
      </c>
      <c r="J177" t="str">
        <f t="shared" si="8"/>
        <v>0-0.5</v>
      </c>
      <c r="K177" t="str">
        <f t="shared" si="9"/>
        <v>$0-$50</v>
      </c>
      <c r="L177">
        <f t="shared" si="10"/>
        <v>2.3019282645618946E-2</v>
      </c>
      <c r="M177" t="str">
        <f t="shared" si="11"/>
        <v>Up to $10</v>
      </c>
      <c r="N177" s="22">
        <v>0.43</v>
      </c>
      <c r="O177" s="22">
        <v>12.37</v>
      </c>
    </row>
    <row r="178" spans="1:15">
      <c r="A178" s="22" t="s">
        <v>640</v>
      </c>
      <c r="B178" s="22" t="s">
        <v>641</v>
      </c>
      <c r="C178" s="22">
        <v>1.25E-3</v>
      </c>
      <c r="D178" s="22">
        <v>4.9800000000000004</v>
      </c>
      <c r="E178" s="22">
        <v>6380000</v>
      </c>
      <c r="F178" s="22">
        <v>431220</v>
      </c>
      <c r="G178" s="22">
        <v>5100000000</v>
      </c>
      <c r="H178">
        <f>Sheet1[[#This Row],[Volume (24h)]]/Sheet1[[#This Row],[Circulating Supply]]</f>
        <v>8.4552941176470594E-5</v>
      </c>
      <c r="I178">
        <f>RANK(Sheet1[[#This Row],[Market Cap]],Sheet1[Market Cap],0)</f>
        <v>162</v>
      </c>
      <c r="J178" t="str">
        <f t="shared" si="8"/>
        <v>0-0.5</v>
      </c>
      <c r="K178" t="str">
        <f t="shared" si="9"/>
        <v>$0-$50</v>
      </c>
      <c r="L178">
        <f t="shared" si="10"/>
        <v>1.1907029910459134E-3</v>
      </c>
      <c r="M178" t="str">
        <f t="shared" si="11"/>
        <v>Up to $10</v>
      </c>
      <c r="N178" s="22">
        <v>5.72</v>
      </c>
      <c r="O178" s="22">
        <v>19.489999999999998</v>
      </c>
    </row>
    <row r="179" spans="1:15">
      <c r="A179" s="22" t="s">
        <v>642</v>
      </c>
      <c r="B179" s="22" t="s">
        <v>643</v>
      </c>
      <c r="C179" s="22">
        <v>7.7980000000000002E-3</v>
      </c>
      <c r="D179" s="22">
        <v>1.0900000000000001</v>
      </c>
      <c r="E179" s="22">
        <v>6360000</v>
      </c>
      <c r="F179" s="22">
        <v>370990</v>
      </c>
      <c r="G179" s="22">
        <v>816160000</v>
      </c>
      <c r="H179">
        <f>Sheet1[[#This Row],[Volume (24h)]]/Sheet1[[#This Row],[Circulating Supply]]</f>
        <v>4.5455547931778082E-4</v>
      </c>
      <c r="I179">
        <f>RANK(Sheet1[[#This Row],[Market Cap]],Sheet1[Market Cap],0)</f>
        <v>163</v>
      </c>
      <c r="J179" t="str">
        <f t="shared" si="8"/>
        <v>0-0.5</v>
      </c>
      <c r="K179" t="str">
        <f t="shared" si="9"/>
        <v>$0-$50</v>
      </c>
      <c r="L179">
        <f t="shared" si="10"/>
        <v>7.7139182906321106E-3</v>
      </c>
      <c r="M179" t="str">
        <f t="shared" si="11"/>
        <v>Up to $10</v>
      </c>
      <c r="N179" s="22">
        <v>1.35</v>
      </c>
      <c r="O179" s="22">
        <v>12</v>
      </c>
    </row>
    <row r="180" spans="1:15">
      <c r="A180" s="22" t="s">
        <v>644</v>
      </c>
      <c r="B180" s="22" t="s">
        <v>645</v>
      </c>
      <c r="C180" s="22">
        <v>6.3629999999999997E-3</v>
      </c>
      <c r="D180" s="22">
        <v>0.61</v>
      </c>
      <c r="E180" s="22">
        <v>6360000</v>
      </c>
      <c r="F180" s="22">
        <v>808880</v>
      </c>
      <c r="G180" s="22">
        <v>999940000</v>
      </c>
      <c r="H180">
        <f>Sheet1[[#This Row],[Volume (24h)]]/Sheet1[[#This Row],[Circulating Supply]]</f>
        <v>8.0892853571214271E-4</v>
      </c>
      <c r="I180">
        <f>RANK(Sheet1[[#This Row],[Market Cap]],Sheet1[Market Cap],0)</f>
        <v>163</v>
      </c>
      <c r="J180" t="str">
        <f t="shared" si="8"/>
        <v>0-0.5</v>
      </c>
      <c r="K180" t="str">
        <f t="shared" si="9"/>
        <v>$0-$50</v>
      </c>
      <c r="L180">
        <f t="shared" si="10"/>
        <v>6.3244210317065898E-3</v>
      </c>
      <c r="M180" t="str">
        <f t="shared" si="11"/>
        <v>Up to $10</v>
      </c>
      <c r="N180" s="22">
        <v>11.74</v>
      </c>
      <c r="O180" s="22">
        <v>63.34</v>
      </c>
    </row>
    <row r="181" spans="1:15">
      <c r="A181" s="22" t="s">
        <v>646</v>
      </c>
      <c r="B181" s="22" t="s">
        <v>647</v>
      </c>
      <c r="C181" s="22">
        <v>6.3449999999999999E-3</v>
      </c>
      <c r="D181" s="22">
        <v>7.0000000000000007E-2</v>
      </c>
      <c r="E181" s="22">
        <v>6340000</v>
      </c>
      <c r="F181" s="22">
        <v>12990</v>
      </c>
      <c r="G181" s="22">
        <v>1000000000</v>
      </c>
      <c r="H181">
        <f>Sheet1[[#This Row],[Volume (24h)]]/Sheet1[[#This Row],[Circulating Supply]]</f>
        <v>1.2989999999999999E-5</v>
      </c>
      <c r="I181">
        <f>RANK(Sheet1[[#This Row],[Market Cap]],Sheet1[Market Cap],0)</f>
        <v>165</v>
      </c>
      <c r="J181" t="str">
        <f t="shared" si="8"/>
        <v>0-0.5</v>
      </c>
      <c r="K181" t="str">
        <f t="shared" si="9"/>
        <v>$0-$50</v>
      </c>
      <c r="L181">
        <f t="shared" si="10"/>
        <v>6.3405616068751879E-3</v>
      </c>
      <c r="M181" t="str">
        <f t="shared" si="11"/>
        <v>Up to $10</v>
      </c>
      <c r="N181" s="22">
        <v>13.24</v>
      </c>
      <c r="O181" s="22">
        <v>24.42</v>
      </c>
    </row>
    <row r="182" spans="1:15">
      <c r="A182" s="22" t="s">
        <v>648</v>
      </c>
      <c r="B182" s="22" t="s">
        <v>649</v>
      </c>
      <c r="C182" s="22">
        <v>5.4739999999999997E-3</v>
      </c>
      <c r="D182" s="22">
        <v>4.33</v>
      </c>
      <c r="E182" s="22">
        <v>5300000</v>
      </c>
      <c r="F182" s="22">
        <v>182130</v>
      </c>
      <c r="G182" s="22">
        <v>968440000</v>
      </c>
      <c r="H182">
        <f>Sheet1[[#This Row],[Volume (24h)]]/Sheet1[[#This Row],[Circulating Supply]]</f>
        <v>1.8806534219982654E-4</v>
      </c>
      <c r="I182">
        <f>RANK(Sheet1[[#This Row],[Market Cap]],Sheet1[Market Cap],0)</f>
        <v>167</v>
      </c>
      <c r="J182" t="str">
        <f t="shared" si="8"/>
        <v>0-0.5</v>
      </c>
      <c r="K182" t="str">
        <f t="shared" si="9"/>
        <v>$0-$50</v>
      </c>
      <c r="L182">
        <f t="shared" si="10"/>
        <v>5.2468129972203584E-3</v>
      </c>
      <c r="M182" t="str">
        <f t="shared" si="11"/>
        <v>Up to $10</v>
      </c>
      <c r="N182" s="22">
        <v>57.04</v>
      </c>
      <c r="O182" s="22">
        <v>163.86</v>
      </c>
    </row>
    <row r="183" spans="1:15">
      <c r="A183" s="22" t="s">
        <v>650</v>
      </c>
      <c r="B183" s="22" t="s">
        <v>651</v>
      </c>
      <c r="C183" s="22">
        <v>1.044E-2</v>
      </c>
      <c r="D183" s="22">
        <v>0.35</v>
      </c>
      <c r="E183" s="22">
        <v>5290000</v>
      </c>
      <c r="F183" s="22">
        <v>2420</v>
      </c>
      <c r="G183" s="22">
        <v>506920000</v>
      </c>
      <c r="H183">
        <f>Sheet1[[#This Row],[Volume (24h)]]/Sheet1[[#This Row],[Circulating Supply]]</f>
        <v>4.7739288250611532E-6</v>
      </c>
      <c r="I183">
        <f>RANK(Sheet1[[#This Row],[Market Cap]],Sheet1[Market Cap],0)</f>
        <v>168</v>
      </c>
      <c r="J183" t="str">
        <f t="shared" si="8"/>
        <v>0-0.5</v>
      </c>
      <c r="K183" t="str">
        <f t="shared" si="9"/>
        <v>$0-$50</v>
      </c>
      <c r="L183">
        <f t="shared" si="10"/>
        <v>1.0403587443946188E-2</v>
      </c>
      <c r="M183" t="str">
        <f t="shared" si="11"/>
        <v>Up to $10</v>
      </c>
      <c r="N183" s="22">
        <v>0.3</v>
      </c>
      <c r="O183" s="22">
        <v>4.76</v>
      </c>
    </row>
    <row r="184" spans="1:15">
      <c r="A184" s="22" t="s">
        <v>652</v>
      </c>
      <c r="B184" s="22" t="s">
        <v>653</v>
      </c>
      <c r="C184" s="22">
        <v>0.32829999999999998</v>
      </c>
      <c r="D184" s="22">
        <v>0.02</v>
      </c>
      <c r="E184" s="22">
        <v>5260000</v>
      </c>
      <c r="F184" s="22">
        <v>2430000</v>
      </c>
      <c r="G184" s="22">
        <v>16040000</v>
      </c>
      <c r="H184">
        <f>Sheet1[[#This Row],[Volume (24h)]]/Sheet1[[#This Row],[Circulating Supply]]</f>
        <v>0.15149625935162095</v>
      </c>
      <c r="I184">
        <f>RANK(Sheet1[[#This Row],[Market Cap]],Sheet1[Market Cap],0)</f>
        <v>169</v>
      </c>
      <c r="J184" t="str">
        <f t="shared" si="8"/>
        <v>0-0.5</v>
      </c>
      <c r="K184" t="str">
        <f t="shared" si="9"/>
        <v>$0-$50</v>
      </c>
      <c r="L184">
        <f t="shared" si="10"/>
        <v>0.3282343531293741</v>
      </c>
      <c r="M184" t="str">
        <f t="shared" si="11"/>
        <v>Up to $10</v>
      </c>
      <c r="N184" s="22">
        <v>1.6</v>
      </c>
      <c r="O184" s="22">
        <v>12.07</v>
      </c>
    </row>
    <row r="185" spans="1:15">
      <c r="A185" s="22" t="s">
        <v>654</v>
      </c>
      <c r="B185" s="22" t="s">
        <v>655</v>
      </c>
      <c r="C185" s="22">
        <v>2.4729999999999999E-4</v>
      </c>
      <c r="D185" s="22">
        <v>0.22</v>
      </c>
      <c r="E185" s="22">
        <v>5240000</v>
      </c>
      <c r="F185" s="22">
        <v>31020</v>
      </c>
      <c r="G185" s="22">
        <v>21200000000</v>
      </c>
      <c r="H185">
        <f>Sheet1[[#This Row],[Volume (24h)]]/Sheet1[[#This Row],[Circulating Supply]]</f>
        <v>1.4632075471698112E-6</v>
      </c>
      <c r="I185">
        <f>RANK(Sheet1[[#This Row],[Market Cap]],Sheet1[Market Cap],0)</f>
        <v>170</v>
      </c>
      <c r="J185" t="str">
        <f t="shared" si="8"/>
        <v>0-0.5</v>
      </c>
      <c r="K185" t="str">
        <f t="shared" si="9"/>
        <v>$0-$50</v>
      </c>
      <c r="L185">
        <f t="shared" si="10"/>
        <v>2.4675713430453002E-4</v>
      </c>
      <c r="M185" t="str">
        <f t="shared" si="11"/>
        <v>Up to $10</v>
      </c>
      <c r="N185" s="22">
        <v>3.72</v>
      </c>
      <c r="O185" s="22">
        <v>19.149999999999999</v>
      </c>
    </row>
    <row r="186" spans="1:15">
      <c r="A186" s="22" t="s">
        <v>656</v>
      </c>
      <c r="B186" s="22" t="s">
        <v>657</v>
      </c>
      <c r="C186" s="22">
        <v>0.39600000000000002</v>
      </c>
      <c r="D186" s="22">
        <v>0.1</v>
      </c>
      <c r="E186" s="22">
        <v>5210000</v>
      </c>
      <c r="F186" s="22">
        <v>1460000</v>
      </c>
      <c r="G186" s="22">
        <v>13170000</v>
      </c>
      <c r="H186">
        <f>Sheet1[[#This Row],[Volume (24h)]]/Sheet1[[#This Row],[Circulating Supply]]</f>
        <v>0.1108580106302202</v>
      </c>
      <c r="I186">
        <f>RANK(Sheet1[[#This Row],[Market Cap]],Sheet1[Market Cap],0)</f>
        <v>171</v>
      </c>
      <c r="J186" t="str">
        <f t="shared" si="8"/>
        <v>0-0.5</v>
      </c>
      <c r="K186" t="str">
        <f t="shared" si="9"/>
        <v>$0-$50</v>
      </c>
      <c r="L186">
        <f t="shared" si="10"/>
        <v>0.39560439560439564</v>
      </c>
      <c r="M186" t="str">
        <f t="shared" si="11"/>
        <v>Up to $10</v>
      </c>
      <c r="N186" s="22">
        <v>2.46</v>
      </c>
      <c r="O186" s="22">
        <v>17.47</v>
      </c>
    </row>
    <row r="187" spans="1:15">
      <c r="A187" s="22" t="s">
        <v>658</v>
      </c>
      <c r="B187" s="22" t="s">
        <v>659</v>
      </c>
      <c r="C187" s="22">
        <v>1.0790000000000001E-3</v>
      </c>
      <c r="D187" s="22">
        <v>0.01</v>
      </c>
      <c r="E187" s="22">
        <v>5210000</v>
      </c>
      <c r="F187" s="22">
        <v>47790</v>
      </c>
      <c r="G187" s="22">
        <v>4830000000</v>
      </c>
      <c r="H187">
        <f>Sheet1[[#This Row],[Volume (24h)]]/Sheet1[[#This Row],[Circulating Supply]]</f>
        <v>9.8944099378881992E-6</v>
      </c>
      <c r="I187">
        <f>RANK(Sheet1[[#This Row],[Market Cap]],Sheet1[Market Cap],0)</f>
        <v>171</v>
      </c>
      <c r="J187" t="str">
        <f t="shared" si="8"/>
        <v>0-0.5</v>
      </c>
      <c r="K187" t="str">
        <f t="shared" si="9"/>
        <v>$0-$50</v>
      </c>
      <c r="L187">
        <f t="shared" si="10"/>
        <v>1.0788921107889211E-3</v>
      </c>
      <c r="M187" t="str">
        <f t="shared" si="11"/>
        <v>Up to $10</v>
      </c>
      <c r="N187" s="22">
        <v>0.32</v>
      </c>
      <c r="O187" s="22">
        <v>13.64</v>
      </c>
    </row>
    <row r="188" spans="1:15">
      <c r="A188" s="22" t="s">
        <v>660</v>
      </c>
      <c r="B188" s="22" t="s">
        <v>661</v>
      </c>
      <c r="C188" s="22">
        <v>0.372</v>
      </c>
      <c r="D188" s="22">
        <v>0.08</v>
      </c>
      <c r="E188" s="22">
        <v>5180000</v>
      </c>
      <c r="F188" s="22">
        <v>1690000</v>
      </c>
      <c r="G188" s="22">
        <v>13930000</v>
      </c>
      <c r="H188">
        <f>Sheet1[[#This Row],[Volume (24h)]]/Sheet1[[#This Row],[Circulating Supply]]</f>
        <v>0.12132089016511127</v>
      </c>
      <c r="I188">
        <f>RANK(Sheet1[[#This Row],[Market Cap]],Sheet1[Market Cap],0)</f>
        <v>173</v>
      </c>
      <c r="J188" t="str">
        <f t="shared" si="8"/>
        <v>0-0.5</v>
      </c>
      <c r="K188" t="str">
        <f t="shared" si="9"/>
        <v>Above $50</v>
      </c>
      <c r="L188">
        <f t="shared" si="10"/>
        <v>0.37170263788968827</v>
      </c>
      <c r="M188" t="str">
        <f t="shared" si="11"/>
        <v>&gt;= $10</v>
      </c>
      <c r="N188" s="22">
        <v>0.4</v>
      </c>
      <c r="O188" s="22">
        <v>8.48</v>
      </c>
    </row>
    <row r="189" spans="1:15">
      <c r="A189" s="22" t="s">
        <v>662</v>
      </c>
      <c r="B189" s="22" t="s">
        <v>663</v>
      </c>
      <c r="C189" s="22">
        <v>1.3429999999999999E-2</v>
      </c>
      <c r="D189" s="22">
        <v>0.22</v>
      </c>
      <c r="E189" s="22">
        <v>5160000</v>
      </c>
      <c r="F189" s="22">
        <v>334040</v>
      </c>
      <c r="G189" s="22">
        <v>384340000</v>
      </c>
      <c r="H189">
        <f>Sheet1[[#This Row],[Volume (24h)]]/Sheet1[[#This Row],[Circulating Supply]]</f>
        <v>8.6912629442680955E-4</v>
      </c>
      <c r="I189">
        <f>RANK(Sheet1[[#This Row],[Market Cap]],Sheet1[Market Cap],0)</f>
        <v>174</v>
      </c>
      <c r="J189" t="str">
        <f t="shared" si="8"/>
        <v>0-0.5</v>
      </c>
      <c r="K189" t="str">
        <f t="shared" si="9"/>
        <v>$0-$50</v>
      </c>
      <c r="L189">
        <f t="shared" si="10"/>
        <v>1.3400518858511274E-2</v>
      </c>
      <c r="M189" t="str">
        <f t="shared" si="11"/>
        <v>Up to $10</v>
      </c>
      <c r="N189" s="22">
        <v>2.68</v>
      </c>
      <c r="O189" s="22">
        <v>19.059999999999999</v>
      </c>
    </row>
    <row r="190" spans="1:15">
      <c r="A190" s="22" t="s">
        <v>256</v>
      </c>
      <c r="B190" s="22" t="s">
        <v>664</v>
      </c>
      <c r="C190" s="23" t="s">
        <v>665</v>
      </c>
      <c r="D190" s="22">
        <v>0.01</v>
      </c>
      <c r="E190" s="22">
        <v>5150000</v>
      </c>
      <c r="F190" s="22">
        <v>0.78369999999999995</v>
      </c>
      <c r="G190" s="23" t="s">
        <v>666</v>
      </c>
      <c r="H190">
        <f>Sheet1[[#This Row],[Volume (24h)]]/Sheet1[[#This Row],[Circulating Supply]]</f>
        <v>4.2578507008584156E-12</v>
      </c>
      <c r="I190">
        <f>RANK(Sheet1[[#This Row],[Market Cap]],Sheet1[Market Cap],0)</f>
        <v>175</v>
      </c>
      <c r="J190" t="str">
        <f t="shared" si="8"/>
        <v>0-0.5</v>
      </c>
      <c r="K190" t="str">
        <f t="shared" si="9"/>
        <v>$0-$50</v>
      </c>
      <c r="L190">
        <f t="shared" si="10"/>
        <v>2.7977202279772024E-5</v>
      </c>
      <c r="M190" t="str">
        <f t="shared" si="11"/>
        <v>Up to $10</v>
      </c>
      <c r="N190" s="22">
        <v>0.02</v>
      </c>
      <c r="O190" s="22">
        <v>0.06</v>
      </c>
    </row>
    <row r="191" spans="1:15">
      <c r="A191" s="22" t="s">
        <v>667</v>
      </c>
      <c r="B191" s="22" t="s">
        <v>668</v>
      </c>
      <c r="C191" s="22">
        <v>7.5779999999999997E-3</v>
      </c>
      <c r="D191" s="22">
        <v>19.54</v>
      </c>
      <c r="E191" s="22">
        <v>5120000</v>
      </c>
      <c r="F191" s="22">
        <v>4930000</v>
      </c>
      <c r="G191" s="22">
        <v>676150000</v>
      </c>
      <c r="H191">
        <f>Sheet1[[#This Row],[Volume (24h)]]/Sheet1[[#This Row],[Circulating Supply]]</f>
        <v>7.2912815203726982E-3</v>
      </c>
      <c r="I191">
        <f>RANK(Sheet1[[#This Row],[Market Cap]],Sheet1[Market Cap],0)</f>
        <v>178</v>
      </c>
      <c r="J191" t="str">
        <f t="shared" si="8"/>
        <v>0-0.5</v>
      </c>
      <c r="K191" t="str">
        <f t="shared" si="9"/>
        <v>$0-$50</v>
      </c>
      <c r="L191">
        <f t="shared" si="10"/>
        <v>6.3393006525012544E-3</v>
      </c>
      <c r="M191" t="str">
        <f t="shared" si="11"/>
        <v>Up to $10</v>
      </c>
      <c r="N191" s="22">
        <v>150.69</v>
      </c>
      <c r="O191" s="22">
        <v>176</v>
      </c>
    </row>
    <row r="192" spans="1:15">
      <c r="A192" s="22" t="s">
        <v>669</v>
      </c>
      <c r="B192" s="22" t="s">
        <v>670</v>
      </c>
      <c r="C192" s="22">
        <v>0.1288</v>
      </c>
      <c r="D192" s="22">
        <v>0</v>
      </c>
      <c r="E192" s="22">
        <v>5140000</v>
      </c>
      <c r="F192" s="22">
        <v>100600</v>
      </c>
      <c r="G192" s="22">
        <v>39900000</v>
      </c>
      <c r="H192">
        <f>Sheet1[[#This Row],[Volume (24h)]]/Sheet1[[#This Row],[Circulating Supply]]</f>
        <v>2.5213032581453635E-3</v>
      </c>
      <c r="I192">
        <f>RANK(Sheet1[[#This Row],[Market Cap]],Sheet1[Market Cap],0)</f>
        <v>176</v>
      </c>
      <c r="J192" t="str">
        <f t="shared" si="8"/>
        <v>0-0.5</v>
      </c>
      <c r="K192" t="str">
        <f t="shared" si="9"/>
        <v>$0-$50</v>
      </c>
      <c r="L192">
        <f t="shared" si="10"/>
        <v>0.1288</v>
      </c>
      <c r="M192" t="str">
        <f t="shared" si="11"/>
        <v>Up to $10</v>
      </c>
      <c r="N192" s="22">
        <v>1.63</v>
      </c>
      <c r="O192" s="22">
        <v>5.25</v>
      </c>
    </row>
    <row r="193" spans="1:15">
      <c r="A193" s="22" t="s">
        <v>176</v>
      </c>
      <c r="B193" s="22" t="s">
        <v>671</v>
      </c>
      <c r="C193" s="22">
        <v>1.055E-2</v>
      </c>
      <c r="D193" s="22">
        <v>0.06</v>
      </c>
      <c r="E193" s="22">
        <v>5130000</v>
      </c>
      <c r="F193" s="22">
        <v>153700</v>
      </c>
      <c r="G193" s="22">
        <v>486200000</v>
      </c>
      <c r="H193">
        <f>Sheet1[[#This Row],[Volume (24h)]]/Sheet1[[#This Row],[Circulating Supply]]</f>
        <v>3.1612505141916905E-4</v>
      </c>
      <c r="I193">
        <f>RANK(Sheet1[[#This Row],[Market Cap]],Sheet1[Market Cap],0)</f>
        <v>177</v>
      </c>
      <c r="J193" t="str">
        <f t="shared" si="8"/>
        <v>0-0.5</v>
      </c>
      <c r="K193" t="str">
        <f t="shared" si="9"/>
        <v>Above $50</v>
      </c>
      <c r="L193">
        <f t="shared" si="10"/>
        <v>1.0543673795722568E-2</v>
      </c>
      <c r="M193" t="str">
        <f t="shared" si="11"/>
        <v>&gt;= $10</v>
      </c>
      <c r="N193" s="22">
        <v>0.98</v>
      </c>
      <c r="O193" s="22">
        <v>24.77</v>
      </c>
    </row>
    <row r="194" spans="1:15">
      <c r="A194" s="22" t="s">
        <v>672</v>
      </c>
      <c r="B194" s="22" t="s">
        <v>673</v>
      </c>
      <c r="C194" s="22">
        <v>3.6450000000000003E-2</v>
      </c>
      <c r="D194" s="22">
        <v>0.06</v>
      </c>
      <c r="E194" s="22">
        <v>5100000</v>
      </c>
      <c r="F194" s="22">
        <v>250180</v>
      </c>
      <c r="G194" s="22">
        <v>140000000</v>
      </c>
      <c r="H194">
        <f>Sheet1[[#This Row],[Volume (24h)]]/Sheet1[[#This Row],[Circulating Supply]]</f>
        <v>1.787E-3</v>
      </c>
      <c r="I194">
        <f>RANK(Sheet1[[#This Row],[Market Cap]],Sheet1[Market Cap],0)</f>
        <v>179</v>
      </c>
      <c r="J194" t="str">
        <f t="shared" ref="J194:J257" si="12">IF(C404&lt;=0.5,"0-0.5",IF(C404&lt;=1,"0.5-1",IF(C404&lt;=2,"1-2",IF(C404&lt;=10,"2-10",IF(C404&lt;=100,"10-100",IF(C404&lt;=10000,"100-10000","10000+"))))))</f>
        <v>0-0.5</v>
      </c>
      <c r="K194" t="str">
        <f t="shared" ref="K194:K257" si="13">IF(C196&lt;=50,"$0-$50","Above $50")</f>
        <v>$0-$50</v>
      </c>
      <c r="L194">
        <f t="shared" ref="L194:L257" si="14">C194/(1+D194/100)</f>
        <v>3.6428143114131527E-2</v>
      </c>
      <c r="M194" t="str">
        <f t="shared" ref="M194:M257" si="15">IF(C196&lt;=10,"Up to $10","&gt;= $10")</f>
        <v>Up to $10</v>
      </c>
      <c r="N194" s="22">
        <v>5.8</v>
      </c>
      <c r="O194" s="22">
        <v>19.93</v>
      </c>
    </row>
    <row r="195" spans="1:15">
      <c r="A195" s="22" t="s">
        <v>674</v>
      </c>
      <c r="B195" s="22" t="s">
        <v>675</v>
      </c>
      <c r="C195" s="22">
        <v>116.08</v>
      </c>
      <c r="D195" s="22">
        <v>0.76</v>
      </c>
      <c r="E195" s="22">
        <v>5090000</v>
      </c>
      <c r="F195" s="22">
        <v>5290000</v>
      </c>
      <c r="G195" s="22">
        <v>43890</v>
      </c>
      <c r="H195">
        <f>Sheet1[[#This Row],[Volume (24h)]]/Sheet1[[#This Row],[Circulating Supply]]</f>
        <v>120.52859421280473</v>
      </c>
      <c r="I195">
        <f>RANK(Sheet1[[#This Row],[Market Cap]],Sheet1[Market Cap],0)</f>
        <v>180</v>
      </c>
      <c r="J195" t="str">
        <f t="shared" si="12"/>
        <v>0-0.5</v>
      </c>
      <c r="K195" t="str">
        <f t="shared" si="13"/>
        <v>$0-$50</v>
      </c>
      <c r="L195">
        <f t="shared" si="14"/>
        <v>115.20444620881301</v>
      </c>
      <c r="M195" t="str">
        <f t="shared" si="15"/>
        <v>Up to $10</v>
      </c>
      <c r="N195" s="22">
        <v>1.68</v>
      </c>
      <c r="O195" s="22">
        <v>20.34</v>
      </c>
    </row>
    <row r="196" spans="1:15">
      <c r="A196" s="22" t="s">
        <v>676</v>
      </c>
      <c r="B196" s="22" t="s">
        <v>677</v>
      </c>
      <c r="C196" s="22">
        <v>2.809E-2</v>
      </c>
      <c r="D196" s="22">
        <v>0.51</v>
      </c>
      <c r="E196" s="22">
        <v>5090000</v>
      </c>
      <c r="F196" s="22">
        <v>5910000</v>
      </c>
      <c r="G196" s="22">
        <v>181270000</v>
      </c>
      <c r="H196">
        <f>Sheet1[[#This Row],[Volume (24h)]]/Sheet1[[#This Row],[Circulating Supply]]</f>
        <v>3.2603298946323162E-2</v>
      </c>
      <c r="I196">
        <f>RANK(Sheet1[[#This Row],[Market Cap]],Sheet1[Market Cap],0)</f>
        <v>180</v>
      </c>
      <c r="J196" t="str">
        <f t="shared" si="12"/>
        <v>0-0.5</v>
      </c>
      <c r="K196" t="str">
        <f t="shared" si="13"/>
        <v>$0-$50</v>
      </c>
      <c r="L196">
        <f t="shared" si="14"/>
        <v>2.7947467913640431E-2</v>
      </c>
      <c r="M196" t="str">
        <f t="shared" si="15"/>
        <v>Up to $10</v>
      </c>
      <c r="N196" s="22">
        <v>0.46</v>
      </c>
      <c r="O196" s="22">
        <v>10.35</v>
      </c>
    </row>
    <row r="197" spans="1:15">
      <c r="A197" s="22" t="s">
        <v>678</v>
      </c>
      <c r="B197" s="22" t="s">
        <v>679</v>
      </c>
      <c r="C197" s="22">
        <v>3.3399999999999999E-4</v>
      </c>
      <c r="D197" s="22">
        <v>1.72</v>
      </c>
      <c r="E197" s="22">
        <v>4050000</v>
      </c>
      <c r="F197" s="22">
        <v>99160</v>
      </c>
      <c r="G197" s="22">
        <v>12140000000</v>
      </c>
      <c r="H197">
        <f>Sheet1[[#This Row],[Volume (24h)]]/Sheet1[[#This Row],[Circulating Supply]]</f>
        <v>8.1680395387149911E-6</v>
      </c>
      <c r="I197">
        <f>RANK(Sheet1[[#This Row],[Market Cap]],Sheet1[Market Cap],0)</f>
        <v>182</v>
      </c>
      <c r="J197" t="str">
        <f t="shared" si="12"/>
        <v>0-0.5</v>
      </c>
      <c r="K197" t="str">
        <f t="shared" si="13"/>
        <v>$0-$50</v>
      </c>
      <c r="L197">
        <f t="shared" si="14"/>
        <v>3.2835233975619341E-4</v>
      </c>
      <c r="M197" t="str">
        <f t="shared" si="15"/>
        <v>Up to $10</v>
      </c>
      <c r="N197" s="22">
        <v>4.3600000000000003</v>
      </c>
      <c r="O197" s="22">
        <v>17.79</v>
      </c>
    </row>
    <row r="198" spans="1:15">
      <c r="A198" s="22" t="s">
        <v>680</v>
      </c>
      <c r="B198" s="22" t="s">
        <v>681</v>
      </c>
      <c r="C198" s="22">
        <v>0.17150000000000001</v>
      </c>
      <c r="D198" s="22">
        <v>0.13</v>
      </c>
      <c r="E198" s="22">
        <v>4050000</v>
      </c>
      <c r="F198" s="22">
        <v>345800</v>
      </c>
      <c r="G198" s="22">
        <v>23610000</v>
      </c>
      <c r="H198">
        <f>Sheet1[[#This Row],[Volume (24h)]]/Sheet1[[#This Row],[Circulating Supply]]</f>
        <v>1.4646336298178738E-2</v>
      </c>
      <c r="I198">
        <f>RANK(Sheet1[[#This Row],[Market Cap]],Sheet1[Market Cap],0)</f>
        <v>182</v>
      </c>
      <c r="J198" t="str">
        <f t="shared" si="12"/>
        <v>0-0.5</v>
      </c>
      <c r="K198" t="str">
        <f t="shared" si="13"/>
        <v>$0-$50</v>
      </c>
      <c r="L198">
        <f t="shared" si="14"/>
        <v>0.17127733945870369</v>
      </c>
      <c r="M198" t="str">
        <f t="shared" si="15"/>
        <v>Up to $10</v>
      </c>
      <c r="N198" s="22">
        <v>0.13</v>
      </c>
      <c r="O198" s="22">
        <v>4.21</v>
      </c>
    </row>
    <row r="199" spans="1:15">
      <c r="A199" s="22" t="s">
        <v>193</v>
      </c>
      <c r="B199" s="22" t="s">
        <v>193</v>
      </c>
      <c r="C199" s="22">
        <v>1.1690000000000001E-2</v>
      </c>
      <c r="D199" s="22">
        <v>0</v>
      </c>
      <c r="E199" s="22">
        <v>3990000</v>
      </c>
      <c r="F199" s="22">
        <v>35260</v>
      </c>
      <c r="G199" s="22">
        <v>341170000</v>
      </c>
      <c r="H199">
        <f>Sheet1[[#This Row],[Volume (24h)]]/Sheet1[[#This Row],[Circulating Supply]]</f>
        <v>1.0335023595275083E-4</v>
      </c>
      <c r="I199">
        <f>RANK(Sheet1[[#This Row],[Market Cap]],Sheet1[Market Cap],0)</f>
        <v>184</v>
      </c>
      <c r="J199" t="str">
        <f t="shared" si="12"/>
        <v>0-0.5</v>
      </c>
      <c r="K199" t="str">
        <f t="shared" si="13"/>
        <v>$0-$50</v>
      </c>
      <c r="L199">
        <f t="shared" si="14"/>
        <v>1.1690000000000001E-2</v>
      </c>
      <c r="M199" t="str">
        <f t="shared" si="15"/>
        <v>Up to $10</v>
      </c>
      <c r="N199" s="22">
        <v>4.29</v>
      </c>
      <c r="O199" s="22">
        <v>7.06</v>
      </c>
    </row>
    <row r="200" spans="1:15">
      <c r="A200" s="22" t="s">
        <v>682</v>
      </c>
      <c r="B200" s="22" t="s">
        <v>682</v>
      </c>
      <c r="C200" s="22">
        <v>3.9649999999999998E-3</v>
      </c>
      <c r="D200" s="22">
        <v>0.42</v>
      </c>
      <c r="E200" s="22">
        <v>3960000</v>
      </c>
      <c r="F200" s="22">
        <v>205710</v>
      </c>
      <c r="G200" s="22">
        <v>1000000000</v>
      </c>
      <c r="H200">
        <f>Sheet1[[#This Row],[Volume (24h)]]/Sheet1[[#This Row],[Circulating Supply]]</f>
        <v>2.0571000000000001E-4</v>
      </c>
      <c r="I200">
        <f>RANK(Sheet1[[#This Row],[Market Cap]],Sheet1[Market Cap],0)</f>
        <v>185</v>
      </c>
      <c r="J200" t="str">
        <f t="shared" si="12"/>
        <v>0-0.5</v>
      </c>
      <c r="K200" t="str">
        <f t="shared" si="13"/>
        <v>Above $50</v>
      </c>
      <c r="L200">
        <f t="shared" si="14"/>
        <v>3.948416650069707E-3</v>
      </c>
      <c r="M200" t="str">
        <f t="shared" si="15"/>
        <v>&gt;= $10</v>
      </c>
      <c r="N200" s="22">
        <v>3.8</v>
      </c>
      <c r="O200" s="22">
        <v>0.61</v>
      </c>
    </row>
    <row r="201" spans="1:15">
      <c r="A201" s="22" t="s">
        <v>683</v>
      </c>
      <c r="B201" s="22" t="s">
        <v>684</v>
      </c>
      <c r="C201" s="22">
        <v>6.4800000000000003E-4</v>
      </c>
      <c r="D201" s="22">
        <v>1.45</v>
      </c>
      <c r="E201" s="22">
        <v>3950000</v>
      </c>
      <c r="F201" s="22">
        <v>115140</v>
      </c>
      <c r="G201" s="22">
        <v>6100000000</v>
      </c>
      <c r="H201">
        <f>Sheet1[[#This Row],[Volume (24h)]]/Sheet1[[#This Row],[Circulating Supply]]</f>
        <v>1.8875409836065575E-5</v>
      </c>
      <c r="I201">
        <f>RANK(Sheet1[[#This Row],[Market Cap]],Sheet1[Market Cap],0)</f>
        <v>186</v>
      </c>
      <c r="J201" t="str">
        <f t="shared" si="12"/>
        <v>0-0.5</v>
      </c>
      <c r="K201" t="str">
        <f t="shared" si="13"/>
        <v>$0-$50</v>
      </c>
      <c r="L201">
        <f t="shared" si="14"/>
        <v>6.3873829472646635E-4</v>
      </c>
      <c r="M201" t="str">
        <f t="shared" si="15"/>
        <v>Up to $10</v>
      </c>
      <c r="N201" s="22">
        <v>3.77</v>
      </c>
      <c r="O201" s="22">
        <v>15.26</v>
      </c>
    </row>
    <row r="202" spans="1:15">
      <c r="A202" s="22" t="s">
        <v>685</v>
      </c>
      <c r="B202" s="22" t="s">
        <v>686</v>
      </c>
      <c r="C202" s="22">
        <v>462.24</v>
      </c>
      <c r="D202" s="22">
        <v>0.18</v>
      </c>
      <c r="E202" s="22">
        <v>3950000</v>
      </c>
      <c r="F202" s="22">
        <v>443810</v>
      </c>
      <c r="G202" s="22">
        <v>8560</v>
      </c>
      <c r="H202">
        <f>Sheet1[[#This Row],[Volume (24h)]]/Sheet1[[#This Row],[Circulating Supply]]</f>
        <v>51.846962616822431</v>
      </c>
      <c r="I202">
        <f>RANK(Sheet1[[#This Row],[Market Cap]],Sheet1[Market Cap],0)</f>
        <v>186</v>
      </c>
      <c r="J202" t="str">
        <f t="shared" si="12"/>
        <v>0-0.5</v>
      </c>
      <c r="K202" t="str">
        <f t="shared" si="13"/>
        <v>$0-$50</v>
      </c>
      <c r="L202">
        <f t="shared" si="14"/>
        <v>461.40946296665999</v>
      </c>
      <c r="M202" t="str">
        <f t="shared" si="15"/>
        <v>Up to $10</v>
      </c>
      <c r="N202" s="22">
        <v>0.33</v>
      </c>
      <c r="O202" s="22">
        <v>7.55</v>
      </c>
    </row>
    <row r="203" spans="1:15">
      <c r="A203" s="22" t="s">
        <v>306</v>
      </c>
      <c r="B203" s="22" t="s">
        <v>687</v>
      </c>
      <c r="C203" s="22">
        <v>0.27279999999999999</v>
      </c>
      <c r="D203" s="22">
        <v>0.7</v>
      </c>
      <c r="E203" s="22">
        <v>3940000</v>
      </c>
      <c r="F203" s="22">
        <v>1280</v>
      </c>
      <c r="G203" s="22">
        <v>14460000</v>
      </c>
      <c r="H203">
        <f>Sheet1[[#This Row],[Volume (24h)]]/Sheet1[[#This Row],[Circulating Supply]]</f>
        <v>8.8520055325034579E-5</v>
      </c>
      <c r="I203">
        <f>RANK(Sheet1[[#This Row],[Market Cap]],Sheet1[Market Cap],0)</f>
        <v>188</v>
      </c>
      <c r="J203" t="str">
        <f t="shared" si="12"/>
        <v>0-0.5</v>
      </c>
      <c r="K203" t="str">
        <f t="shared" si="13"/>
        <v>$0-$50</v>
      </c>
      <c r="L203">
        <f t="shared" si="14"/>
        <v>0.27090367428003975</v>
      </c>
      <c r="M203" t="str">
        <f t="shared" si="15"/>
        <v>Up to $10</v>
      </c>
      <c r="N203" s="22">
        <v>3.78</v>
      </c>
      <c r="O203" s="22">
        <v>46.46</v>
      </c>
    </row>
    <row r="204" spans="1:15">
      <c r="A204" s="22" t="s">
        <v>688</v>
      </c>
      <c r="B204" s="22" t="s">
        <v>689</v>
      </c>
      <c r="C204" s="22">
        <v>3.9370000000000004E-3</v>
      </c>
      <c r="D204" s="22">
        <v>0.44</v>
      </c>
      <c r="E204" s="22">
        <v>3930000</v>
      </c>
      <c r="F204" s="22">
        <v>472690</v>
      </c>
      <c r="G204" s="22">
        <v>1000000000</v>
      </c>
      <c r="H204">
        <f>Sheet1[[#This Row],[Volume (24h)]]/Sheet1[[#This Row],[Circulating Supply]]</f>
        <v>4.7269E-4</v>
      </c>
      <c r="I204">
        <f>RANK(Sheet1[[#This Row],[Market Cap]],Sheet1[Market Cap],0)</f>
        <v>189</v>
      </c>
      <c r="J204" t="str">
        <f t="shared" si="12"/>
        <v>0-0.5</v>
      </c>
      <c r="K204" t="str">
        <f t="shared" si="13"/>
        <v>$0-$50</v>
      </c>
      <c r="L204">
        <f t="shared" si="14"/>
        <v>3.9197530864197539E-3</v>
      </c>
      <c r="M204" t="str">
        <f t="shared" si="15"/>
        <v>Up to $10</v>
      </c>
      <c r="N204" s="22">
        <v>3.71</v>
      </c>
      <c r="O204" s="22">
        <v>44.81</v>
      </c>
    </row>
    <row r="205" spans="1:15">
      <c r="A205" s="22" t="s">
        <v>690</v>
      </c>
      <c r="B205" s="22" t="s">
        <v>691</v>
      </c>
      <c r="C205" s="22">
        <v>1.341E-2</v>
      </c>
      <c r="D205" s="22">
        <v>2.08</v>
      </c>
      <c r="E205" s="22">
        <v>3930000</v>
      </c>
      <c r="F205" s="22">
        <v>94600</v>
      </c>
      <c r="G205" s="22">
        <v>293190000</v>
      </c>
      <c r="H205">
        <f>Sheet1[[#This Row],[Volume (24h)]]/Sheet1[[#This Row],[Circulating Supply]]</f>
        <v>3.2265766226678943E-4</v>
      </c>
      <c r="I205">
        <f>RANK(Sheet1[[#This Row],[Market Cap]],Sheet1[Market Cap],0)</f>
        <v>189</v>
      </c>
      <c r="J205" t="str">
        <f t="shared" si="12"/>
        <v>0-0.5</v>
      </c>
      <c r="K205" t="str">
        <f t="shared" si="13"/>
        <v>$0-$50</v>
      </c>
      <c r="L205">
        <f t="shared" si="14"/>
        <v>1.3136755485893417E-2</v>
      </c>
      <c r="M205" t="str">
        <f t="shared" si="15"/>
        <v>Up to $10</v>
      </c>
      <c r="N205" s="22">
        <v>0.01</v>
      </c>
      <c r="O205" s="22">
        <v>3.67</v>
      </c>
    </row>
    <row r="206" spans="1:15">
      <c r="A206" s="22" t="s">
        <v>107</v>
      </c>
      <c r="B206" s="22" t="s">
        <v>692</v>
      </c>
      <c r="C206" s="22">
        <v>5.6280000000000002E-4</v>
      </c>
      <c r="D206" s="22">
        <v>0.19</v>
      </c>
      <c r="E206" s="22">
        <v>3920000</v>
      </c>
      <c r="F206" s="22">
        <v>1260000</v>
      </c>
      <c r="G206" s="22">
        <v>6970000000</v>
      </c>
      <c r="H206">
        <f>Sheet1[[#This Row],[Volume (24h)]]/Sheet1[[#This Row],[Circulating Supply]]</f>
        <v>1.8077474892395982E-4</v>
      </c>
      <c r="I206">
        <f>RANK(Sheet1[[#This Row],[Market Cap]],Sheet1[Market Cap],0)</f>
        <v>191</v>
      </c>
      <c r="J206" t="str">
        <f t="shared" si="12"/>
        <v>0-0.5</v>
      </c>
      <c r="K206" t="str">
        <f t="shared" si="13"/>
        <v>$0-$50</v>
      </c>
      <c r="L206">
        <f t="shared" si="14"/>
        <v>5.6173270785507534E-4</v>
      </c>
      <c r="M206" t="str">
        <f t="shared" si="15"/>
        <v>Up to $10</v>
      </c>
      <c r="N206" s="22">
        <v>5.44</v>
      </c>
      <c r="O206" s="22">
        <v>9.39</v>
      </c>
    </row>
    <row r="207" spans="1:15">
      <c r="A207" s="22" t="s">
        <v>693</v>
      </c>
      <c r="B207" s="22" t="s">
        <v>694</v>
      </c>
      <c r="C207" s="22">
        <v>3.9170000000000003E-2</v>
      </c>
      <c r="D207" s="22">
        <v>0.21</v>
      </c>
      <c r="E207" s="22">
        <v>3910000</v>
      </c>
      <c r="F207" s="22">
        <v>183400</v>
      </c>
      <c r="G207" s="22">
        <v>99990000</v>
      </c>
      <c r="H207">
        <f>Sheet1[[#This Row],[Volume (24h)]]/Sheet1[[#This Row],[Circulating Supply]]</f>
        <v>1.8341834183418341E-3</v>
      </c>
      <c r="I207">
        <f>RANK(Sheet1[[#This Row],[Market Cap]],Sheet1[Market Cap],0)</f>
        <v>192</v>
      </c>
      <c r="J207" t="str">
        <f t="shared" si="12"/>
        <v>0-0.5</v>
      </c>
      <c r="K207" t="str">
        <f t="shared" si="13"/>
        <v>$0-$50</v>
      </c>
      <c r="L207">
        <f t="shared" si="14"/>
        <v>3.9087915377706818E-2</v>
      </c>
      <c r="M207" t="str">
        <f t="shared" si="15"/>
        <v>Up to $10</v>
      </c>
      <c r="N207" s="22">
        <v>0.81</v>
      </c>
      <c r="O207" s="22">
        <v>20.39</v>
      </c>
    </row>
    <row r="208" spans="1:15">
      <c r="A208" s="22" t="s">
        <v>695</v>
      </c>
      <c r="B208" s="22" t="s">
        <v>696</v>
      </c>
      <c r="C208" s="22">
        <v>1.1809999999999999E-2</v>
      </c>
      <c r="D208" s="22">
        <v>0.05</v>
      </c>
      <c r="E208" s="22">
        <v>3900000</v>
      </c>
      <c r="F208" s="22">
        <v>3100</v>
      </c>
      <c r="G208" s="22">
        <v>330540000</v>
      </c>
      <c r="H208">
        <f>Sheet1[[#This Row],[Volume (24h)]]/Sheet1[[#This Row],[Circulating Supply]]</f>
        <v>9.3785926060386043E-6</v>
      </c>
      <c r="I208">
        <f>RANK(Sheet1[[#This Row],[Market Cap]],Sheet1[Market Cap],0)</f>
        <v>193</v>
      </c>
      <c r="J208" t="str">
        <f t="shared" si="12"/>
        <v>0-0.5</v>
      </c>
      <c r="K208" t="str">
        <f t="shared" si="13"/>
        <v>$0-$50</v>
      </c>
      <c r="L208">
        <f t="shared" si="14"/>
        <v>1.1804097951024488E-2</v>
      </c>
      <c r="M208" t="str">
        <f t="shared" si="15"/>
        <v>Up to $10</v>
      </c>
      <c r="N208" s="22">
        <v>0.72</v>
      </c>
      <c r="O208" s="22">
        <v>16.39</v>
      </c>
    </row>
    <row r="209" spans="1:15">
      <c r="A209" s="22" t="s">
        <v>697</v>
      </c>
      <c r="B209" s="22" t="s">
        <v>698</v>
      </c>
      <c r="C209" s="22">
        <v>5.237E-2</v>
      </c>
      <c r="D209" s="22">
        <v>0.09</v>
      </c>
      <c r="E209" s="22">
        <v>3890000</v>
      </c>
      <c r="F209" s="22">
        <v>4900</v>
      </c>
      <c r="G209" s="22">
        <v>74430000</v>
      </c>
      <c r="H209">
        <f>Sheet1[[#This Row],[Volume (24h)]]/Sheet1[[#This Row],[Circulating Supply]]</f>
        <v>6.5833669219400779E-5</v>
      </c>
      <c r="I209">
        <f>RANK(Sheet1[[#This Row],[Market Cap]],Sheet1[Market Cap],0)</f>
        <v>194</v>
      </c>
      <c r="J209" t="str">
        <f t="shared" si="12"/>
        <v>0-0.5</v>
      </c>
      <c r="K209" t="str">
        <f t="shared" si="13"/>
        <v>$0-$50</v>
      </c>
      <c r="L209">
        <f t="shared" si="14"/>
        <v>5.2322909381556607E-2</v>
      </c>
      <c r="M209" t="str">
        <f t="shared" si="15"/>
        <v>Up to $10</v>
      </c>
      <c r="N209" s="22">
        <v>3.36</v>
      </c>
      <c r="O209" s="22">
        <v>23.22</v>
      </c>
    </row>
    <row r="210" spans="1:15">
      <c r="A210" s="22" t="s">
        <v>699</v>
      </c>
      <c r="B210" s="22" t="s">
        <v>700</v>
      </c>
      <c r="C210" s="22">
        <v>9.0090000000000003E-2</v>
      </c>
      <c r="D210" s="22">
        <v>0</v>
      </c>
      <c r="E210" s="22">
        <v>3890000</v>
      </c>
      <c r="F210" s="22"/>
      <c r="G210" s="22">
        <v>43190000</v>
      </c>
      <c r="H210">
        <f>Sheet1[[#This Row],[Volume (24h)]]/Sheet1[[#This Row],[Circulating Supply]]</f>
        <v>0</v>
      </c>
      <c r="I210">
        <f>RANK(Sheet1[[#This Row],[Market Cap]],Sheet1[Market Cap],0)</f>
        <v>194</v>
      </c>
      <c r="J210" t="str">
        <f t="shared" si="12"/>
        <v>0-0.5</v>
      </c>
      <c r="K210" t="str">
        <f t="shared" si="13"/>
        <v>$0-$50</v>
      </c>
      <c r="L210">
        <f t="shared" si="14"/>
        <v>9.0090000000000003E-2</v>
      </c>
      <c r="M210" t="str">
        <f t="shared" si="15"/>
        <v>Up to $10</v>
      </c>
      <c r="N210" s="22">
        <v>14.21</v>
      </c>
      <c r="O210" s="22">
        <v>2.5</v>
      </c>
    </row>
    <row r="211" spans="1:15">
      <c r="A211" s="22" t="s">
        <v>701</v>
      </c>
      <c r="B211" s="22" t="s">
        <v>702</v>
      </c>
      <c r="C211" s="22">
        <v>1.091E-2</v>
      </c>
      <c r="D211" s="22">
        <v>0.45</v>
      </c>
      <c r="E211" s="22">
        <v>3880000</v>
      </c>
      <c r="F211" s="22">
        <v>525000</v>
      </c>
      <c r="G211" s="22">
        <v>356400000</v>
      </c>
      <c r="H211">
        <f>Sheet1[[#This Row],[Volume (24h)]]/Sheet1[[#This Row],[Circulating Supply]]</f>
        <v>1.4730639730639731E-3</v>
      </c>
      <c r="I211">
        <f>RANK(Sheet1[[#This Row],[Market Cap]],Sheet1[Market Cap],0)</f>
        <v>196</v>
      </c>
      <c r="J211" t="str">
        <f t="shared" si="12"/>
        <v>0-0.5</v>
      </c>
      <c r="K211" t="str">
        <f t="shared" si="13"/>
        <v>Above $50</v>
      </c>
      <c r="L211">
        <f t="shared" si="14"/>
        <v>1.0861124937779991E-2</v>
      </c>
      <c r="M211" t="str">
        <f t="shared" si="15"/>
        <v>&gt;= $10</v>
      </c>
      <c r="N211" s="22">
        <v>4.47</v>
      </c>
      <c r="O211" s="22">
        <v>18.149999999999999</v>
      </c>
    </row>
    <row r="212" spans="1:15">
      <c r="A212" s="22" t="s">
        <v>703</v>
      </c>
      <c r="B212" s="22" t="s">
        <v>704</v>
      </c>
      <c r="C212" s="22">
        <v>6.411E-3</v>
      </c>
      <c r="D212" s="22">
        <v>0.25</v>
      </c>
      <c r="E212" s="22">
        <v>3150000</v>
      </c>
      <c r="F212" s="22">
        <v>363850</v>
      </c>
      <c r="G212" s="22">
        <v>491940000</v>
      </c>
      <c r="H212">
        <f>Sheet1[[#This Row],[Volume (24h)]]/Sheet1[[#This Row],[Circulating Supply]]</f>
        <v>7.3962271821766882E-4</v>
      </c>
      <c r="I212">
        <f>RANK(Sheet1[[#This Row],[Market Cap]],Sheet1[Market Cap],0)</f>
        <v>197</v>
      </c>
      <c r="J212" t="str">
        <f t="shared" si="12"/>
        <v>0-0.5</v>
      </c>
      <c r="K212" t="str">
        <f t="shared" si="13"/>
        <v>$0-$50</v>
      </c>
      <c r="L212">
        <f t="shared" si="14"/>
        <v>6.3950124688279307E-3</v>
      </c>
      <c r="M212" t="str">
        <f t="shared" si="15"/>
        <v>Up to $10</v>
      </c>
      <c r="N212" s="22">
        <v>2.37</v>
      </c>
      <c r="O212" s="22">
        <v>14.08</v>
      </c>
    </row>
    <row r="213" spans="1:15">
      <c r="A213" s="22" t="s">
        <v>58</v>
      </c>
      <c r="B213" s="22" t="s">
        <v>705</v>
      </c>
      <c r="C213" s="22">
        <v>462.54</v>
      </c>
      <c r="D213" s="22">
        <v>0.21</v>
      </c>
      <c r="E213" s="22">
        <v>3140000</v>
      </c>
      <c r="F213" s="22">
        <v>2510000</v>
      </c>
      <c r="G213" s="22">
        <v>6800</v>
      </c>
      <c r="H213">
        <f>Sheet1[[#This Row],[Volume (24h)]]/Sheet1[[#This Row],[Circulating Supply]]</f>
        <v>369.11764705882354</v>
      </c>
      <c r="I213">
        <f>RANK(Sheet1[[#This Row],[Market Cap]],Sheet1[Market Cap],0)</f>
        <v>198</v>
      </c>
      <c r="J213" t="str">
        <f t="shared" si="12"/>
        <v>0-0.5</v>
      </c>
      <c r="K213" t="str">
        <f t="shared" si="13"/>
        <v>Above $50</v>
      </c>
      <c r="L213">
        <f t="shared" si="14"/>
        <v>461.57070152679375</v>
      </c>
      <c r="M213" t="str">
        <f t="shared" si="15"/>
        <v>&gt;= $10</v>
      </c>
      <c r="N213" s="22">
        <v>0.2</v>
      </c>
      <c r="O213" s="22">
        <v>7.4</v>
      </c>
    </row>
    <row r="214" spans="1:15">
      <c r="A214" s="22" t="s">
        <v>706</v>
      </c>
      <c r="B214" s="22" t="s">
        <v>707</v>
      </c>
      <c r="C214" s="22">
        <v>1.306E-2</v>
      </c>
      <c r="D214" s="22">
        <v>4.4000000000000004</v>
      </c>
      <c r="E214" s="22">
        <v>3120000</v>
      </c>
      <c r="F214" s="22">
        <v>1690</v>
      </c>
      <c r="G214" s="22">
        <v>239380000</v>
      </c>
      <c r="H214">
        <f>Sheet1[[#This Row],[Volume (24h)]]/Sheet1[[#This Row],[Circulating Supply]]</f>
        <v>7.0599047539476983E-6</v>
      </c>
      <c r="I214">
        <f>RANK(Sheet1[[#This Row],[Market Cap]],Sheet1[Market Cap],0)</f>
        <v>199</v>
      </c>
      <c r="J214" t="str">
        <f t="shared" si="12"/>
        <v>0-0.5</v>
      </c>
      <c r="K214" t="str">
        <f t="shared" si="13"/>
        <v>$0-$50</v>
      </c>
      <c r="L214">
        <f t="shared" si="14"/>
        <v>1.2509578544061303E-2</v>
      </c>
      <c r="M214" t="str">
        <f t="shared" si="15"/>
        <v>Up to $10</v>
      </c>
      <c r="N214" s="22">
        <v>4.5199999999999996</v>
      </c>
      <c r="O214" s="22">
        <v>0.52</v>
      </c>
    </row>
    <row r="215" spans="1:15">
      <c r="A215" s="22" t="s">
        <v>708</v>
      </c>
      <c r="B215" s="22" t="s">
        <v>709</v>
      </c>
      <c r="C215" s="22">
        <v>77.069999999999993</v>
      </c>
      <c r="D215" s="22">
        <v>0.01</v>
      </c>
      <c r="E215" s="22">
        <v>3120000</v>
      </c>
      <c r="F215" s="22">
        <v>387310</v>
      </c>
      <c r="G215" s="22">
        <v>40500</v>
      </c>
      <c r="H215">
        <f>Sheet1[[#This Row],[Volume (24h)]]/Sheet1[[#This Row],[Circulating Supply]]</f>
        <v>9.5632098765432101</v>
      </c>
      <c r="I215">
        <f>RANK(Sheet1[[#This Row],[Market Cap]],Sheet1[Market Cap],0)</f>
        <v>199</v>
      </c>
      <c r="J215" t="str">
        <f t="shared" si="12"/>
        <v>0-0.5</v>
      </c>
      <c r="K215" t="str">
        <f t="shared" si="13"/>
        <v>$0-$50</v>
      </c>
      <c r="L215">
        <f t="shared" si="14"/>
        <v>77.062293770622929</v>
      </c>
      <c r="M215" t="str">
        <f t="shared" si="15"/>
        <v>Up to $10</v>
      </c>
      <c r="N215" s="22">
        <v>1.22</v>
      </c>
      <c r="O215" s="22">
        <v>2.08</v>
      </c>
    </row>
    <row r="216" spans="1:15">
      <c r="A216" s="22" t="s">
        <v>148</v>
      </c>
      <c r="B216" s="22" t="s">
        <v>710</v>
      </c>
      <c r="C216" s="22">
        <v>8.3160000000000005E-4</v>
      </c>
      <c r="D216" s="22">
        <v>0.73</v>
      </c>
      <c r="E216" s="22">
        <v>3110000</v>
      </c>
      <c r="F216" s="22">
        <v>280330</v>
      </c>
      <c r="G216" s="22">
        <v>3740000000</v>
      </c>
      <c r="H216">
        <f>Sheet1[[#This Row],[Volume (24h)]]/Sheet1[[#This Row],[Circulating Supply]]</f>
        <v>7.4954545454545451E-5</v>
      </c>
      <c r="I216">
        <f>RANK(Sheet1[[#This Row],[Market Cap]],Sheet1[Market Cap],0)</f>
        <v>201</v>
      </c>
      <c r="J216" t="str">
        <f t="shared" si="12"/>
        <v>0-0.5</v>
      </c>
      <c r="K216" t="str">
        <f t="shared" si="13"/>
        <v>$0-$50</v>
      </c>
      <c r="L216">
        <f t="shared" si="14"/>
        <v>8.2557331480194581E-4</v>
      </c>
      <c r="M216" t="str">
        <f t="shared" si="15"/>
        <v>Up to $10</v>
      </c>
      <c r="N216" s="22">
        <v>2.2000000000000002</v>
      </c>
      <c r="O216" s="22">
        <v>15.43</v>
      </c>
    </row>
    <row r="217" spans="1:15">
      <c r="A217" s="22" t="s">
        <v>711</v>
      </c>
      <c r="B217" s="22" t="s">
        <v>712</v>
      </c>
      <c r="C217" s="22">
        <v>7.2610000000000003E-4</v>
      </c>
      <c r="D217" s="22">
        <v>0</v>
      </c>
      <c r="E217" s="22">
        <v>3090000</v>
      </c>
      <c r="F217" s="22"/>
      <c r="G217" s="22">
        <v>4260000000</v>
      </c>
      <c r="H217">
        <f>Sheet1[[#This Row],[Volume (24h)]]/Sheet1[[#This Row],[Circulating Supply]]</f>
        <v>0</v>
      </c>
      <c r="I217">
        <f>RANK(Sheet1[[#This Row],[Market Cap]],Sheet1[Market Cap],0)</f>
        <v>202</v>
      </c>
      <c r="J217" t="str">
        <f t="shared" si="12"/>
        <v>0-0.5</v>
      </c>
      <c r="K217" t="str">
        <f t="shared" si="13"/>
        <v>$0-$50</v>
      </c>
      <c r="L217">
        <f t="shared" si="14"/>
        <v>7.2610000000000003E-4</v>
      </c>
      <c r="M217" t="str">
        <f t="shared" si="15"/>
        <v>Up to $10</v>
      </c>
      <c r="N217" s="22">
        <v>0.26</v>
      </c>
      <c r="O217" s="22">
        <v>5.69</v>
      </c>
    </row>
    <row r="218" spans="1:15">
      <c r="A218" s="22" t="s">
        <v>713</v>
      </c>
      <c r="B218" s="22" t="s">
        <v>714</v>
      </c>
      <c r="C218" s="22">
        <v>5.5449999999999998E-4</v>
      </c>
      <c r="D218" s="22">
        <v>0.45</v>
      </c>
      <c r="E218" s="22">
        <v>3090000</v>
      </c>
      <c r="F218" s="22">
        <v>404430</v>
      </c>
      <c r="G218" s="22">
        <v>5570000000</v>
      </c>
      <c r="H218">
        <f>Sheet1[[#This Row],[Volume (24h)]]/Sheet1[[#This Row],[Circulating Supply]]</f>
        <v>7.2608617594254932E-5</v>
      </c>
      <c r="I218">
        <f>RANK(Sheet1[[#This Row],[Market Cap]],Sheet1[Market Cap],0)</f>
        <v>202</v>
      </c>
      <c r="J218" t="str">
        <f t="shared" si="12"/>
        <v>0-0.5</v>
      </c>
      <c r="K218" t="str">
        <f t="shared" si="13"/>
        <v>$0-$50</v>
      </c>
      <c r="L218">
        <f t="shared" si="14"/>
        <v>5.5201592832254849E-4</v>
      </c>
      <c r="M218" t="str">
        <f t="shared" si="15"/>
        <v>Up to $10</v>
      </c>
      <c r="N218" s="22">
        <v>0.09</v>
      </c>
      <c r="O218" s="22">
        <v>1.58</v>
      </c>
    </row>
    <row r="219" spans="1:15">
      <c r="A219" s="22" t="s">
        <v>715</v>
      </c>
      <c r="B219" s="22" t="s">
        <v>716</v>
      </c>
      <c r="C219" s="22">
        <v>8.0579999999999996E-4</v>
      </c>
      <c r="D219" s="22">
        <v>0.09</v>
      </c>
      <c r="E219" s="22">
        <v>3060000</v>
      </c>
      <c r="F219" s="22">
        <v>1150000</v>
      </c>
      <c r="G219" s="22">
        <v>3800000000</v>
      </c>
      <c r="H219">
        <f>Sheet1[[#This Row],[Volume (24h)]]/Sheet1[[#This Row],[Circulating Supply]]</f>
        <v>3.0263157894736844E-4</v>
      </c>
      <c r="I219">
        <f>RANK(Sheet1[[#This Row],[Market Cap]],Sheet1[Market Cap],0)</f>
        <v>204</v>
      </c>
      <c r="J219" t="str">
        <f t="shared" si="12"/>
        <v>0-0.5</v>
      </c>
      <c r="K219" t="str">
        <f t="shared" si="13"/>
        <v>$0-$50</v>
      </c>
      <c r="L219">
        <f t="shared" si="14"/>
        <v>8.0507543211110009E-4</v>
      </c>
      <c r="M219" t="str">
        <f t="shared" si="15"/>
        <v>Up to $10</v>
      </c>
      <c r="N219" s="22">
        <v>2.89</v>
      </c>
      <c r="O219" s="22">
        <v>5.23</v>
      </c>
    </row>
    <row r="220" spans="1:15">
      <c r="A220" s="22" t="s">
        <v>205</v>
      </c>
      <c r="B220" s="22" t="s">
        <v>717</v>
      </c>
      <c r="C220" s="22">
        <v>8.7274000000000004E-2</v>
      </c>
      <c r="D220" s="22">
        <v>1.42</v>
      </c>
      <c r="E220" s="22">
        <v>3060000</v>
      </c>
      <c r="F220" s="22">
        <v>44160</v>
      </c>
      <c r="G220" s="23" t="s">
        <v>718</v>
      </c>
      <c r="H220">
        <f>Sheet1[[#This Row],[Volume (24h)]]/Sheet1[[#This Row],[Circulating Supply]]</f>
        <v>1.049729010174004E-10</v>
      </c>
      <c r="I220">
        <f>RANK(Sheet1[[#This Row],[Market Cap]],Sheet1[Market Cap],0)</f>
        <v>204</v>
      </c>
      <c r="J220" t="str">
        <f t="shared" si="12"/>
        <v>0-0.5</v>
      </c>
      <c r="K220" t="str">
        <f t="shared" si="13"/>
        <v>$0-$50</v>
      </c>
      <c r="L220">
        <f t="shared" si="14"/>
        <v>8.6052060737527122E-2</v>
      </c>
      <c r="M220" t="str">
        <f t="shared" si="15"/>
        <v>Up to $10</v>
      </c>
      <c r="N220" s="22">
        <v>2.56</v>
      </c>
      <c r="O220" s="22">
        <v>21.99</v>
      </c>
    </row>
    <row r="221" spans="1:15">
      <c r="A221" s="22" t="s">
        <v>719</v>
      </c>
      <c r="B221" s="22" t="s">
        <v>720</v>
      </c>
      <c r="C221" s="22">
        <v>1.038E-2</v>
      </c>
      <c r="D221" s="22">
        <v>1.56</v>
      </c>
      <c r="E221" s="22">
        <v>3040000</v>
      </c>
      <c r="F221" s="22">
        <v>35160</v>
      </c>
      <c r="G221" s="22">
        <v>293470000</v>
      </c>
      <c r="H221">
        <f>Sheet1[[#This Row],[Volume (24h)]]/Sheet1[[#This Row],[Circulating Supply]]</f>
        <v>1.1980781681262139E-4</v>
      </c>
      <c r="I221">
        <f>RANK(Sheet1[[#This Row],[Market Cap]],Sheet1[Market Cap],0)</f>
        <v>206</v>
      </c>
      <c r="J221" t="str">
        <f t="shared" si="12"/>
        <v>0-0.5</v>
      </c>
      <c r="K221" t="str">
        <f t="shared" si="13"/>
        <v>$0-$50</v>
      </c>
      <c r="L221">
        <f t="shared" si="14"/>
        <v>1.0220559275305238E-2</v>
      </c>
      <c r="M221" t="str">
        <f t="shared" si="15"/>
        <v>Up to $10</v>
      </c>
      <c r="N221" s="22">
        <v>1.9</v>
      </c>
      <c r="O221" s="22">
        <v>17.12</v>
      </c>
    </row>
    <row r="222" spans="1:15">
      <c r="A222" s="22" t="s">
        <v>721</v>
      </c>
      <c r="B222" s="22" t="s">
        <v>722</v>
      </c>
      <c r="C222" s="22">
        <v>0.3377</v>
      </c>
      <c r="D222" s="22">
        <v>45.45</v>
      </c>
      <c r="E222" s="22">
        <v>3030000</v>
      </c>
      <c r="F222" s="22">
        <v>1660000</v>
      </c>
      <c r="G222" s="22">
        <v>9000000</v>
      </c>
      <c r="H222">
        <f>Sheet1[[#This Row],[Volume (24h)]]/Sheet1[[#This Row],[Circulating Supply]]</f>
        <v>0.18444444444444444</v>
      </c>
      <c r="I222">
        <f>RANK(Sheet1[[#This Row],[Market Cap]],Sheet1[Market Cap],0)</f>
        <v>207</v>
      </c>
      <c r="J222" t="str">
        <f t="shared" si="12"/>
        <v>0-0.5</v>
      </c>
      <c r="K222" t="str">
        <f t="shared" si="13"/>
        <v>Above $50</v>
      </c>
      <c r="L222">
        <f t="shared" si="14"/>
        <v>0.23217600550017189</v>
      </c>
      <c r="M222" t="str">
        <f t="shared" si="15"/>
        <v>&gt;= $10</v>
      </c>
      <c r="N222" s="22">
        <v>23.83</v>
      </c>
      <c r="O222" s="22">
        <v>93.08</v>
      </c>
    </row>
    <row r="223" spans="1:15">
      <c r="A223" s="22" t="s">
        <v>723</v>
      </c>
      <c r="B223" s="22" t="s">
        <v>724</v>
      </c>
      <c r="C223" s="22">
        <v>1.866E-2</v>
      </c>
      <c r="D223" s="22">
        <v>3.55</v>
      </c>
      <c r="E223" s="22">
        <v>3010000</v>
      </c>
      <c r="F223" s="22">
        <v>2360000</v>
      </c>
      <c r="G223" s="22">
        <v>161680000</v>
      </c>
      <c r="H223">
        <f>Sheet1[[#This Row],[Volume (24h)]]/Sheet1[[#This Row],[Circulating Supply]]</f>
        <v>1.4596734289955468E-2</v>
      </c>
      <c r="I223">
        <f>RANK(Sheet1[[#This Row],[Market Cap]],Sheet1[Market Cap],0)</f>
        <v>208</v>
      </c>
      <c r="J223" t="str">
        <f t="shared" si="12"/>
        <v>0-0.5</v>
      </c>
      <c r="K223" t="str">
        <f t="shared" si="13"/>
        <v>$0-$50</v>
      </c>
      <c r="L223">
        <f t="shared" si="14"/>
        <v>1.8020280057943022E-2</v>
      </c>
      <c r="M223" t="str">
        <f t="shared" si="15"/>
        <v>Up to $10</v>
      </c>
      <c r="N223" s="22">
        <v>2.5099999999999998</v>
      </c>
      <c r="O223" s="22">
        <v>14.07</v>
      </c>
    </row>
    <row r="224" spans="1:15">
      <c r="A224" s="22" t="s">
        <v>725</v>
      </c>
      <c r="B224" s="22" t="s">
        <v>726</v>
      </c>
      <c r="C224" s="23" t="s">
        <v>727</v>
      </c>
      <c r="D224" s="22">
        <v>0.9</v>
      </c>
      <c r="E224" s="22">
        <v>3000000</v>
      </c>
      <c r="F224" s="22">
        <v>655500</v>
      </c>
      <c r="G224" s="22">
        <v>63870000000</v>
      </c>
      <c r="H224">
        <f>Sheet1[[#This Row],[Volume (24h)]]/Sheet1[[#This Row],[Circulating Supply]]</f>
        <v>1.0263034288398309E-5</v>
      </c>
      <c r="I224">
        <f>RANK(Sheet1[[#This Row],[Market Cap]],Sheet1[Market Cap],0)</f>
        <v>209</v>
      </c>
      <c r="J224" t="str">
        <f t="shared" si="12"/>
        <v>0-0.5</v>
      </c>
      <c r="K224" t="str">
        <f t="shared" si="13"/>
        <v>$0-$50</v>
      </c>
      <c r="L224">
        <f t="shared" si="14"/>
        <v>4.6669970267591677E-5</v>
      </c>
      <c r="M224" t="str">
        <f t="shared" si="15"/>
        <v>Up to $10</v>
      </c>
      <c r="N224" s="22">
        <v>3.03</v>
      </c>
      <c r="O224" s="22">
        <v>20.82</v>
      </c>
    </row>
    <row r="225" spans="1:15">
      <c r="A225" s="22" t="s">
        <v>728</v>
      </c>
      <c r="B225" s="22" t="s">
        <v>729</v>
      </c>
      <c r="C225" s="22">
        <v>1.2689999999999999E-4</v>
      </c>
      <c r="D225" s="22">
        <v>0.77</v>
      </c>
      <c r="E225" s="22">
        <v>3000000</v>
      </c>
      <c r="F225" s="22">
        <v>51500</v>
      </c>
      <c r="G225" s="22">
        <v>23690000000</v>
      </c>
      <c r="H225">
        <f>Sheet1[[#This Row],[Volume (24h)]]/Sheet1[[#This Row],[Circulating Supply]]</f>
        <v>2.1739130434782607E-6</v>
      </c>
      <c r="I225">
        <f>RANK(Sheet1[[#This Row],[Market Cap]],Sheet1[Market Cap],0)</f>
        <v>209</v>
      </c>
      <c r="J225" t="str">
        <f t="shared" si="12"/>
        <v>0-0.5</v>
      </c>
      <c r="K225" t="str">
        <f t="shared" si="13"/>
        <v>$0-$50</v>
      </c>
      <c r="L225">
        <f t="shared" si="14"/>
        <v>1.2593033640964573E-4</v>
      </c>
      <c r="M225" t="str">
        <f t="shared" si="15"/>
        <v>Up to $10</v>
      </c>
      <c r="N225" s="22">
        <v>5.95</v>
      </c>
      <c r="O225" s="22">
        <v>15.1</v>
      </c>
    </row>
    <row r="226" spans="1:15">
      <c r="A226" s="22" t="s">
        <v>730</v>
      </c>
      <c r="B226" s="22" t="s">
        <v>731</v>
      </c>
      <c r="C226" s="22">
        <v>3.0019999999999999E-3</v>
      </c>
      <c r="D226" s="22">
        <v>9.58</v>
      </c>
      <c r="E226" s="22">
        <v>3000000</v>
      </c>
      <c r="F226" s="22">
        <v>119080</v>
      </c>
      <c r="G226" s="22">
        <v>1000000000</v>
      </c>
      <c r="H226">
        <f>Sheet1[[#This Row],[Volume (24h)]]/Sheet1[[#This Row],[Circulating Supply]]</f>
        <v>1.1908000000000001E-4</v>
      </c>
      <c r="I226">
        <f>RANK(Sheet1[[#This Row],[Market Cap]],Sheet1[Market Cap],0)</f>
        <v>209</v>
      </c>
      <c r="J226" t="str">
        <f t="shared" si="12"/>
        <v>0-0.5</v>
      </c>
      <c r="K226" t="str">
        <f t="shared" si="13"/>
        <v>$0-$50</v>
      </c>
      <c r="L226">
        <f t="shared" si="14"/>
        <v>2.7395510129585689E-3</v>
      </c>
      <c r="M226" t="str">
        <f t="shared" si="15"/>
        <v>&gt;= $10</v>
      </c>
      <c r="N226" s="22">
        <v>111.97</v>
      </c>
      <c r="O226" s="22">
        <v>179.93</v>
      </c>
    </row>
    <row r="227" spans="1:15">
      <c r="A227" s="22" t="s">
        <v>177</v>
      </c>
      <c r="B227" s="22" t="s">
        <v>732</v>
      </c>
      <c r="C227" s="22">
        <v>9.1970000000000003E-3</v>
      </c>
      <c r="D227" s="22">
        <v>5.71</v>
      </c>
      <c r="E227" s="22">
        <v>2450000</v>
      </c>
      <c r="F227" s="22">
        <v>157920</v>
      </c>
      <c r="G227" s="23" t="s">
        <v>733</v>
      </c>
      <c r="H227">
        <f>Sheet1[[#This Row],[Volume (24h)]]/Sheet1[[#This Row],[Circulating Supply]]</f>
        <v>5.9197061138808939E-4</v>
      </c>
      <c r="I227">
        <f>RANK(Sheet1[[#This Row],[Market Cap]],Sheet1[Market Cap],0)</f>
        <v>212</v>
      </c>
      <c r="J227" t="str">
        <f t="shared" si="12"/>
        <v>0-0.5</v>
      </c>
      <c r="K227" t="str">
        <f t="shared" si="13"/>
        <v>$0-$50</v>
      </c>
      <c r="L227">
        <f t="shared" si="14"/>
        <v>8.7002175763882337E-3</v>
      </c>
      <c r="M227" t="str">
        <f t="shared" si="15"/>
        <v>Up to $10</v>
      </c>
      <c r="N227" s="22">
        <v>1.82</v>
      </c>
      <c r="O227" s="22">
        <v>10.119999999999999</v>
      </c>
    </row>
    <row r="228" spans="1:15">
      <c r="A228" s="22" t="s">
        <v>734</v>
      </c>
      <c r="B228" s="22" t="s">
        <v>735</v>
      </c>
      <c r="C228" s="22">
        <v>48.05</v>
      </c>
      <c r="D228" s="22">
        <v>0.2</v>
      </c>
      <c r="E228" s="22">
        <v>2440000</v>
      </c>
      <c r="F228" s="22">
        <v>1440000</v>
      </c>
      <c r="G228" s="22">
        <v>50850</v>
      </c>
      <c r="H228">
        <f>Sheet1[[#This Row],[Volume (24h)]]/Sheet1[[#This Row],[Circulating Supply]]</f>
        <v>28.318584070796462</v>
      </c>
      <c r="I228">
        <f>RANK(Sheet1[[#This Row],[Market Cap]],Sheet1[Market Cap],0)</f>
        <v>213</v>
      </c>
      <c r="J228" t="str">
        <f t="shared" si="12"/>
        <v>0-0.5</v>
      </c>
      <c r="K228" t="str">
        <f t="shared" si="13"/>
        <v>$0-$50</v>
      </c>
      <c r="L228">
        <f t="shared" si="14"/>
        <v>47.95409181636726</v>
      </c>
      <c r="M228" t="str">
        <f t="shared" si="15"/>
        <v>Up to $10</v>
      </c>
      <c r="N228" s="22">
        <v>0.56000000000000005</v>
      </c>
      <c r="O228" s="22">
        <v>5.01</v>
      </c>
    </row>
    <row r="229" spans="1:15">
      <c r="A229" s="22" t="s">
        <v>736</v>
      </c>
      <c r="B229" s="22" t="s">
        <v>737</v>
      </c>
      <c r="C229" s="22">
        <v>2.3149999999999998E-3</v>
      </c>
      <c r="D229" s="22">
        <v>1.89</v>
      </c>
      <c r="E229" s="22">
        <v>2420000</v>
      </c>
      <c r="F229" s="22">
        <v>459410</v>
      </c>
      <c r="G229" s="22">
        <v>1040000000</v>
      </c>
      <c r="H229">
        <f>Sheet1[[#This Row],[Volume (24h)]]/Sheet1[[#This Row],[Circulating Supply]]</f>
        <v>4.4174038461538461E-4</v>
      </c>
      <c r="I229">
        <f>RANK(Sheet1[[#This Row],[Market Cap]],Sheet1[Market Cap],0)</f>
        <v>214</v>
      </c>
      <c r="J229" t="str">
        <f t="shared" si="12"/>
        <v>0-0.5</v>
      </c>
      <c r="K229" t="str">
        <f t="shared" si="13"/>
        <v>$0-$50</v>
      </c>
      <c r="L229">
        <f t="shared" si="14"/>
        <v>2.2720581018745704E-3</v>
      </c>
      <c r="M229" t="str">
        <f t="shared" si="15"/>
        <v>Up to $10</v>
      </c>
      <c r="N229" s="22">
        <v>0.57999999999999996</v>
      </c>
      <c r="O229" s="22">
        <v>4.2300000000000004</v>
      </c>
    </row>
    <row r="230" spans="1:15">
      <c r="A230" s="22" t="s">
        <v>234</v>
      </c>
      <c r="B230" s="22" t="s">
        <v>738</v>
      </c>
      <c r="C230" s="22">
        <v>1.239E-2</v>
      </c>
      <c r="D230" s="22">
        <v>2.91</v>
      </c>
      <c r="E230" s="22">
        <v>2420000</v>
      </c>
      <c r="F230" s="22">
        <v>11360</v>
      </c>
      <c r="G230" s="22">
        <v>195420000</v>
      </c>
      <c r="H230">
        <f>Sheet1[[#This Row],[Volume (24h)]]/Sheet1[[#This Row],[Circulating Supply]]</f>
        <v>5.8131204584996421E-5</v>
      </c>
      <c r="I230">
        <f>RANK(Sheet1[[#This Row],[Market Cap]],Sheet1[Market Cap],0)</f>
        <v>214</v>
      </c>
      <c r="J230" t="str">
        <f t="shared" si="12"/>
        <v>0-0.5</v>
      </c>
      <c r="K230" t="str">
        <f t="shared" si="13"/>
        <v>Above $50</v>
      </c>
      <c r="L230">
        <f t="shared" si="14"/>
        <v>1.2039646292877272E-2</v>
      </c>
      <c r="M230" t="str">
        <f t="shared" si="15"/>
        <v>&gt;= $10</v>
      </c>
      <c r="N230" s="22">
        <v>5.4</v>
      </c>
      <c r="O230" s="22">
        <v>12.13</v>
      </c>
    </row>
    <row r="231" spans="1:15">
      <c r="A231" s="22" t="s">
        <v>739</v>
      </c>
      <c r="B231" s="22" t="s">
        <v>740</v>
      </c>
      <c r="C231" s="22">
        <v>4.1139999999999996E-3</v>
      </c>
      <c r="D231" s="22">
        <v>3.52</v>
      </c>
      <c r="E231" s="22">
        <v>2400000</v>
      </c>
      <c r="F231" s="22">
        <v>956950</v>
      </c>
      <c r="G231" s="22">
        <v>584760000</v>
      </c>
      <c r="H231">
        <f>Sheet1[[#This Row],[Volume (24h)]]/Sheet1[[#This Row],[Circulating Supply]]</f>
        <v>1.636483343593953E-3</v>
      </c>
      <c r="I231">
        <f>RANK(Sheet1[[#This Row],[Market Cap]],Sheet1[Market Cap],0)</f>
        <v>217</v>
      </c>
      <c r="J231" t="str">
        <f t="shared" si="12"/>
        <v>0-0.5</v>
      </c>
      <c r="K231" t="str">
        <f t="shared" si="13"/>
        <v>Above $50</v>
      </c>
      <c r="L231">
        <f t="shared" si="14"/>
        <v>3.9741112828438948E-3</v>
      </c>
      <c r="M231" t="str">
        <f t="shared" si="15"/>
        <v>&gt;= $10</v>
      </c>
      <c r="N231" s="22">
        <v>3.22</v>
      </c>
      <c r="O231" s="22">
        <v>0.33</v>
      </c>
    </row>
    <row r="232" spans="1:15">
      <c r="A232" s="22" t="s">
        <v>741</v>
      </c>
      <c r="B232" s="22" t="s">
        <v>742</v>
      </c>
      <c r="C232" s="22">
        <v>55.62</v>
      </c>
      <c r="D232" s="22">
        <v>7.0000000000000007E-2</v>
      </c>
      <c r="E232" s="22">
        <v>2410000</v>
      </c>
      <c r="F232" s="22">
        <v>180860</v>
      </c>
      <c r="G232" s="22">
        <v>43380</v>
      </c>
      <c r="H232">
        <f>Sheet1[[#This Row],[Volume (24h)]]/Sheet1[[#This Row],[Circulating Supply]]</f>
        <v>4.1692023974181653</v>
      </c>
      <c r="I232">
        <f>RANK(Sheet1[[#This Row],[Market Cap]],Sheet1[Market Cap],0)</f>
        <v>216</v>
      </c>
      <c r="J232" t="str">
        <f t="shared" si="12"/>
        <v>0-0.5</v>
      </c>
      <c r="K232" t="str">
        <f t="shared" si="13"/>
        <v>$0-$50</v>
      </c>
      <c r="L232">
        <f t="shared" si="14"/>
        <v>55.58109323473569</v>
      </c>
      <c r="M232" t="str">
        <f t="shared" si="15"/>
        <v>Up to $10</v>
      </c>
      <c r="N232" s="22">
        <v>0.2</v>
      </c>
      <c r="O232" s="22">
        <v>4.3899999999999997</v>
      </c>
    </row>
    <row r="233" spans="1:15">
      <c r="A233" s="22" t="s">
        <v>743</v>
      </c>
      <c r="B233" s="22" t="s">
        <v>744</v>
      </c>
      <c r="C233" s="22">
        <v>143.54</v>
      </c>
      <c r="D233" s="22">
        <v>0.01</v>
      </c>
      <c r="E233" s="22">
        <v>2400000</v>
      </c>
      <c r="F233" s="22">
        <v>330500</v>
      </c>
      <c r="G233" s="22">
        <v>16780</v>
      </c>
      <c r="H233">
        <f>Sheet1[[#This Row],[Volume (24h)]]/Sheet1[[#This Row],[Circulating Supply]]</f>
        <v>19.696066746126341</v>
      </c>
      <c r="I233">
        <f>RANK(Sheet1[[#This Row],[Market Cap]],Sheet1[Market Cap],0)</f>
        <v>217</v>
      </c>
      <c r="J233" t="str">
        <f t="shared" si="12"/>
        <v>0-0.5</v>
      </c>
      <c r="K233" t="str">
        <f t="shared" si="13"/>
        <v>$0-$50</v>
      </c>
      <c r="L233">
        <f t="shared" si="14"/>
        <v>143.52564743525647</v>
      </c>
      <c r="M233" t="str">
        <f t="shared" si="15"/>
        <v>Up to $10</v>
      </c>
      <c r="N233" s="22">
        <v>1.02</v>
      </c>
      <c r="O233" s="22">
        <v>0.06</v>
      </c>
    </row>
    <row r="234" spans="1:15">
      <c r="A234" s="22" t="s">
        <v>745</v>
      </c>
      <c r="B234" s="22" t="s">
        <v>746</v>
      </c>
      <c r="C234" s="22">
        <v>2.7899999999999999E-3</v>
      </c>
      <c r="D234" s="22">
        <v>0.01</v>
      </c>
      <c r="E234" s="22">
        <v>2400000</v>
      </c>
      <c r="F234" s="22">
        <v>24.15</v>
      </c>
      <c r="G234" s="22">
        <v>862520000</v>
      </c>
      <c r="H234">
        <f>Sheet1[[#This Row],[Volume (24h)]]/Sheet1[[#This Row],[Circulating Supply]]</f>
        <v>2.7999350739692992E-8</v>
      </c>
      <c r="I234">
        <f>RANK(Sheet1[[#This Row],[Market Cap]],Sheet1[Market Cap],0)</f>
        <v>217</v>
      </c>
      <c r="J234" t="str">
        <f t="shared" si="12"/>
        <v>0-0.5</v>
      </c>
      <c r="K234" t="str">
        <f t="shared" si="13"/>
        <v>$0-$50</v>
      </c>
      <c r="L234">
        <f t="shared" si="14"/>
        <v>2.7897210278972104E-3</v>
      </c>
      <c r="M234" t="str">
        <f t="shared" si="15"/>
        <v>Up to $10</v>
      </c>
      <c r="N234" s="22">
        <v>0.4</v>
      </c>
      <c r="O234" s="22">
        <v>16.2</v>
      </c>
    </row>
    <row r="235" spans="1:15">
      <c r="A235" s="22" t="s">
        <v>747</v>
      </c>
      <c r="B235" s="22" t="s">
        <v>748</v>
      </c>
      <c r="C235" s="22">
        <v>0.46960000000000002</v>
      </c>
      <c r="D235" s="22">
        <v>0.21</v>
      </c>
      <c r="E235" s="22">
        <v>2390000</v>
      </c>
      <c r="F235" s="22">
        <v>16850</v>
      </c>
      <c r="G235" s="22">
        <v>5100000</v>
      </c>
      <c r="H235">
        <f>Sheet1[[#This Row],[Volume (24h)]]/Sheet1[[#This Row],[Circulating Supply]]</f>
        <v>3.3039215686274511E-3</v>
      </c>
      <c r="I235">
        <f>RANK(Sheet1[[#This Row],[Market Cap]],Sheet1[Market Cap],0)</f>
        <v>220</v>
      </c>
      <c r="J235" t="str">
        <f t="shared" si="12"/>
        <v>0-0.5</v>
      </c>
      <c r="K235" t="str">
        <f t="shared" si="13"/>
        <v>$0-$50</v>
      </c>
      <c r="L235">
        <f t="shared" si="14"/>
        <v>0.4686159065961481</v>
      </c>
      <c r="M235" t="str">
        <f t="shared" si="15"/>
        <v>Up to $10</v>
      </c>
      <c r="N235" s="22">
        <v>4.57</v>
      </c>
      <c r="O235" s="22">
        <v>7.07</v>
      </c>
    </row>
    <row r="236" spans="1:15">
      <c r="A236" s="22" t="s">
        <v>749</v>
      </c>
      <c r="B236" s="22" t="s">
        <v>750</v>
      </c>
      <c r="C236" s="22">
        <v>9.6659999999999992E-3</v>
      </c>
      <c r="D236" s="22">
        <v>0.89</v>
      </c>
      <c r="E236" s="22">
        <v>2380000</v>
      </c>
      <c r="F236" s="22">
        <v>166310</v>
      </c>
      <c r="G236" s="22">
        <v>247220000</v>
      </c>
      <c r="H236">
        <f>Sheet1[[#This Row],[Volume (24h)]]/Sheet1[[#This Row],[Circulating Supply]]</f>
        <v>6.7272065366879707E-4</v>
      </c>
      <c r="I236">
        <f>RANK(Sheet1[[#This Row],[Market Cap]],Sheet1[Market Cap],0)</f>
        <v>221</v>
      </c>
      <c r="J236" t="str">
        <f t="shared" si="12"/>
        <v>0-0.5</v>
      </c>
      <c r="K236" t="str">
        <f t="shared" si="13"/>
        <v>$0-$50</v>
      </c>
      <c r="L236">
        <f t="shared" si="14"/>
        <v>9.5807314897413034E-3</v>
      </c>
      <c r="M236" t="str">
        <f t="shared" si="15"/>
        <v>Up to $10</v>
      </c>
      <c r="N236" s="22">
        <v>5.45</v>
      </c>
      <c r="O236" s="22">
        <v>3.01</v>
      </c>
    </row>
    <row r="237" spans="1:15">
      <c r="A237" s="22" t="s">
        <v>751</v>
      </c>
      <c r="B237" s="22" t="s">
        <v>752</v>
      </c>
      <c r="C237" s="22">
        <v>2.4559999999999998E-3</v>
      </c>
      <c r="D237" s="22">
        <v>5.14</v>
      </c>
      <c r="E237" s="22">
        <v>2380000</v>
      </c>
      <c r="F237" s="22">
        <v>176220</v>
      </c>
      <c r="G237" s="22">
        <v>970980000</v>
      </c>
      <c r="H237">
        <f>Sheet1[[#This Row],[Volume (24h)]]/Sheet1[[#This Row],[Circulating Supply]]</f>
        <v>1.8148674535005871E-4</v>
      </c>
      <c r="I237">
        <f>RANK(Sheet1[[#This Row],[Market Cap]],Sheet1[Market Cap],0)</f>
        <v>221</v>
      </c>
      <c r="J237" t="str">
        <f t="shared" si="12"/>
        <v>0-0.5</v>
      </c>
      <c r="K237" t="str">
        <f t="shared" si="13"/>
        <v>$0-$50</v>
      </c>
      <c r="L237">
        <f t="shared" si="14"/>
        <v>2.3359330416587408E-3</v>
      </c>
      <c r="M237" t="str">
        <f t="shared" si="15"/>
        <v>Up to $10</v>
      </c>
      <c r="N237" s="22">
        <v>13.93</v>
      </c>
      <c r="O237" s="22">
        <v>33.57</v>
      </c>
    </row>
    <row r="238" spans="1:15">
      <c r="A238" s="22" t="s">
        <v>753</v>
      </c>
      <c r="B238" s="22" t="s">
        <v>754</v>
      </c>
      <c r="C238" s="22">
        <v>2.5579999999999999E-3</v>
      </c>
      <c r="D238" s="22">
        <v>0.1</v>
      </c>
      <c r="E238" s="22">
        <v>2380000</v>
      </c>
      <c r="F238" s="22">
        <v>1850000</v>
      </c>
      <c r="G238" s="22">
        <v>931390000</v>
      </c>
      <c r="H238">
        <f>Sheet1[[#This Row],[Volume (24h)]]/Sheet1[[#This Row],[Circulating Supply]]</f>
        <v>1.986278572885687E-3</v>
      </c>
      <c r="I238">
        <f>RANK(Sheet1[[#This Row],[Market Cap]],Sheet1[Market Cap],0)</f>
        <v>221</v>
      </c>
      <c r="J238" t="str">
        <f t="shared" si="12"/>
        <v>0-0.5</v>
      </c>
      <c r="K238" t="str">
        <f t="shared" si="13"/>
        <v>$0-$50</v>
      </c>
      <c r="L238">
        <f t="shared" si="14"/>
        <v>2.5554445554445558E-3</v>
      </c>
      <c r="M238" t="str">
        <f t="shared" si="15"/>
        <v>Up to $10</v>
      </c>
      <c r="N238" s="22">
        <v>2.73</v>
      </c>
      <c r="O238" s="22">
        <v>13.51</v>
      </c>
    </row>
    <row r="239" spans="1:15">
      <c r="A239" s="22" t="s">
        <v>755</v>
      </c>
      <c r="B239" s="22" t="s">
        <v>756</v>
      </c>
      <c r="C239" s="22">
        <v>2.9520000000000002E-3</v>
      </c>
      <c r="D239" s="22">
        <v>1.41</v>
      </c>
      <c r="E239" s="22">
        <v>2370000</v>
      </c>
      <c r="F239" s="22">
        <v>61210</v>
      </c>
      <c r="G239" s="22">
        <v>805710000</v>
      </c>
      <c r="H239">
        <f>Sheet1[[#This Row],[Volume (24h)]]/Sheet1[[#This Row],[Circulating Supply]]</f>
        <v>7.5970262253168013E-5</v>
      </c>
      <c r="I239">
        <f>RANK(Sheet1[[#This Row],[Market Cap]],Sheet1[Market Cap],0)</f>
        <v>224</v>
      </c>
      <c r="J239" t="str">
        <f t="shared" si="12"/>
        <v>0-0.5</v>
      </c>
      <c r="K239" t="str">
        <f t="shared" si="13"/>
        <v>$0-$50</v>
      </c>
      <c r="L239">
        <f t="shared" si="14"/>
        <v>2.9109555270683367E-3</v>
      </c>
      <c r="M239" t="str">
        <f t="shared" si="15"/>
        <v>Up to $10</v>
      </c>
      <c r="N239" s="22">
        <v>2.63</v>
      </c>
      <c r="O239" s="22">
        <v>13.99</v>
      </c>
    </row>
    <row r="240" spans="1:15">
      <c r="A240" s="22" t="s">
        <v>757</v>
      </c>
      <c r="B240" s="22" t="s">
        <v>758</v>
      </c>
      <c r="C240" s="22">
        <v>8.9669999999999993E-3</v>
      </c>
      <c r="D240" s="22">
        <v>0.72</v>
      </c>
      <c r="E240" s="22">
        <v>2370000</v>
      </c>
      <c r="F240" s="22">
        <v>848100</v>
      </c>
      <c r="G240" s="22">
        <v>264930000</v>
      </c>
      <c r="H240">
        <f>Sheet1[[#This Row],[Volume (24h)]]/Sheet1[[#This Row],[Circulating Supply]]</f>
        <v>3.2012229645566755E-3</v>
      </c>
      <c r="I240">
        <f>RANK(Sheet1[[#This Row],[Market Cap]],Sheet1[Market Cap],0)</f>
        <v>224</v>
      </c>
      <c r="J240" t="str">
        <f t="shared" si="12"/>
        <v>0-0.5</v>
      </c>
      <c r="K240" t="str">
        <f t="shared" si="13"/>
        <v>$0-$50</v>
      </c>
      <c r="L240">
        <f t="shared" si="14"/>
        <v>8.9028991262907059E-3</v>
      </c>
      <c r="M240" t="str">
        <f t="shared" si="15"/>
        <v>Up to $10</v>
      </c>
      <c r="N240" s="22">
        <v>1.73</v>
      </c>
      <c r="O240" s="22">
        <v>3.67</v>
      </c>
    </row>
    <row r="241" spans="1:15">
      <c r="A241" s="22" t="s">
        <v>759</v>
      </c>
      <c r="B241" s="22" t="s">
        <v>760</v>
      </c>
      <c r="C241" s="22">
        <v>2.49E-3</v>
      </c>
      <c r="D241" s="22">
        <v>0.61</v>
      </c>
      <c r="E241" s="22">
        <v>2360000</v>
      </c>
      <c r="F241" s="22">
        <v>165450</v>
      </c>
      <c r="G241" s="22">
        <v>950000000</v>
      </c>
      <c r="H241">
        <f>Sheet1[[#This Row],[Volume (24h)]]/Sheet1[[#This Row],[Circulating Supply]]</f>
        <v>1.741578947368421E-4</v>
      </c>
      <c r="I241">
        <f>RANK(Sheet1[[#This Row],[Market Cap]],Sheet1[Market Cap],0)</f>
        <v>226</v>
      </c>
      <c r="J241" t="str">
        <f t="shared" si="12"/>
        <v>0-0.5</v>
      </c>
      <c r="K241" t="str">
        <f t="shared" si="13"/>
        <v>$0-$50</v>
      </c>
      <c r="L241">
        <f t="shared" si="14"/>
        <v>2.4749030911440217E-3</v>
      </c>
      <c r="M241" t="str">
        <f t="shared" si="15"/>
        <v>Up to $10</v>
      </c>
      <c r="N241" s="22">
        <v>24.39</v>
      </c>
      <c r="O241" s="22">
        <v>74.989999999999995</v>
      </c>
    </row>
    <row r="242" spans="1:15">
      <c r="A242" s="22" t="s">
        <v>761</v>
      </c>
      <c r="B242" s="22" t="s">
        <v>762</v>
      </c>
      <c r="C242" s="22">
        <v>0.18490000000000001</v>
      </c>
      <c r="D242" s="22">
        <v>0</v>
      </c>
      <c r="E242" s="22">
        <v>1950000</v>
      </c>
      <c r="F242" s="22"/>
      <c r="G242" s="22">
        <v>10570000</v>
      </c>
      <c r="H242">
        <f>Sheet1[[#This Row],[Volume (24h)]]/Sheet1[[#This Row],[Circulating Supply]]</f>
        <v>0</v>
      </c>
      <c r="I242">
        <f>RANK(Sheet1[[#This Row],[Market Cap]],Sheet1[Market Cap],0)</f>
        <v>227</v>
      </c>
      <c r="J242" t="str">
        <f t="shared" si="12"/>
        <v>0-0.5</v>
      </c>
      <c r="K242" t="str">
        <f t="shared" si="13"/>
        <v>Above $50</v>
      </c>
      <c r="L242">
        <f t="shared" si="14"/>
        <v>0.18490000000000001</v>
      </c>
      <c r="M242" t="str">
        <f t="shared" si="15"/>
        <v>&gt;= $10</v>
      </c>
      <c r="N242" s="22">
        <v>0</v>
      </c>
      <c r="O242" s="22">
        <v>7.0000000000000007E-2</v>
      </c>
    </row>
    <row r="243" spans="1:15">
      <c r="A243" s="22" t="s">
        <v>763</v>
      </c>
      <c r="B243" s="22" t="s">
        <v>764</v>
      </c>
      <c r="C243" s="22">
        <v>2.7299999999999998E-3</v>
      </c>
      <c r="D243" s="22">
        <v>1.67</v>
      </c>
      <c r="E243" s="22">
        <v>1940000</v>
      </c>
      <c r="F243" s="22">
        <v>36640</v>
      </c>
      <c r="G243" s="22">
        <v>712760000</v>
      </c>
      <c r="H243">
        <f>Sheet1[[#This Row],[Volume (24h)]]/Sheet1[[#This Row],[Circulating Supply]]</f>
        <v>5.1405802794769626E-5</v>
      </c>
      <c r="I243">
        <f>RANK(Sheet1[[#This Row],[Market Cap]],Sheet1[Market Cap],0)</f>
        <v>228</v>
      </c>
      <c r="J243" t="str">
        <f t="shared" si="12"/>
        <v>0-0.5</v>
      </c>
      <c r="K243" t="str">
        <f t="shared" si="13"/>
        <v>$0-$50</v>
      </c>
      <c r="L243">
        <f t="shared" si="14"/>
        <v>2.6851578636766008E-3</v>
      </c>
      <c r="M243" t="str">
        <f t="shared" si="15"/>
        <v>Up to $10</v>
      </c>
      <c r="N243" s="22">
        <v>11.92</v>
      </c>
      <c r="O243" s="22">
        <v>21.88</v>
      </c>
    </row>
    <row r="244" spans="1:15">
      <c r="A244" s="22" t="s">
        <v>284</v>
      </c>
      <c r="B244" s="22" t="s">
        <v>765</v>
      </c>
      <c r="C244" s="22">
        <v>70.16</v>
      </c>
      <c r="D244" s="22">
        <v>0.33</v>
      </c>
      <c r="E244" s="22">
        <v>1940000</v>
      </c>
      <c r="F244" s="22">
        <v>2750000</v>
      </c>
      <c r="G244" s="22">
        <v>27680</v>
      </c>
      <c r="H244">
        <f>Sheet1[[#This Row],[Volume (24h)]]/Sheet1[[#This Row],[Circulating Supply]]</f>
        <v>99.349710982658962</v>
      </c>
      <c r="I244">
        <f>RANK(Sheet1[[#This Row],[Market Cap]],Sheet1[Market Cap],0)</f>
        <v>228</v>
      </c>
      <c r="J244" t="str">
        <f t="shared" si="12"/>
        <v>0-0.5</v>
      </c>
      <c r="K244" t="str">
        <f t="shared" si="13"/>
        <v>$0-$50</v>
      </c>
      <c r="L244">
        <f t="shared" si="14"/>
        <v>69.929233529353127</v>
      </c>
      <c r="M244" t="str">
        <f t="shared" si="15"/>
        <v>Up to $10</v>
      </c>
      <c r="N244" s="22">
        <v>0.98</v>
      </c>
      <c r="O244" s="22">
        <v>6.09</v>
      </c>
    </row>
    <row r="245" spans="1:15">
      <c r="A245" s="22" t="s">
        <v>766</v>
      </c>
      <c r="B245" s="22">
        <v>67</v>
      </c>
      <c r="C245" s="22">
        <v>1.931E-3</v>
      </c>
      <c r="D245" s="22">
        <v>0.78</v>
      </c>
      <c r="E245" s="22">
        <v>1930000</v>
      </c>
      <c r="F245" s="22">
        <v>1100000</v>
      </c>
      <c r="G245" s="22">
        <v>999680000</v>
      </c>
      <c r="H245">
        <f>Sheet1[[#This Row],[Volume (24h)]]/Sheet1[[#This Row],[Circulating Supply]]</f>
        <v>1.1003521126760564E-3</v>
      </c>
      <c r="I245">
        <f>RANK(Sheet1[[#This Row],[Market Cap]],Sheet1[Market Cap],0)</f>
        <v>230</v>
      </c>
      <c r="J245" t="str">
        <f t="shared" si="12"/>
        <v>0-0.5</v>
      </c>
      <c r="K245" t="str">
        <f t="shared" si="13"/>
        <v>$0-$50</v>
      </c>
      <c r="L245">
        <f t="shared" si="14"/>
        <v>1.9160547727723753E-3</v>
      </c>
      <c r="M245" t="str">
        <f t="shared" si="15"/>
        <v>Up to $10</v>
      </c>
      <c r="N245" s="22">
        <v>13.02</v>
      </c>
      <c r="O245" s="22">
        <v>89.07</v>
      </c>
    </row>
    <row r="246" spans="1:15">
      <c r="A246" s="22" t="s">
        <v>767</v>
      </c>
      <c r="B246" s="22" t="s">
        <v>768</v>
      </c>
      <c r="C246" s="22">
        <v>5.296E-2</v>
      </c>
      <c r="D246" s="22">
        <v>0</v>
      </c>
      <c r="E246" s="22">
        <v>1920000</v>
      </c>
      <c r="F246" s="22"/>
      <c r="G246" s="22">
        <v>36380000</v>
      </c>
      <c r="H246">
        <f>Sheet1[[#This Row],[Volume (24h)]]/Sheet1[[#This Row],[Circulating Supply]]</f>
        <v>0</v>
      </c>
      <c r="I246">
        <f>RANK(Sheet1[[#This Row],[Market Cap]],Sheet1[Market Cap],0)</f>
        <v>231</v>
      </c>
      <c r="J246" t="str">
        <f t="shared" si="12"/>
        <v>0-0.5</v>
      </c>
      <c r="K246" t="str">
        <f t="shared" si="13"/>
        <v>$0-$50</v>
      </c>
      <c r="L246">
        <f t="shared" si="14"/>
        <v>5.296E-2</v>
      </c>
      <c r="M246" t="str">
        <f t="shared" si="15"/>
        <v>Up to $10</v>
      </c>
      <c r="N246" s="22">
        <v>0</v>
      </c>
      <c r="O246" s="22">
        <v>4.71</v>
      </c>
    </row>
    <row r="247" spans="1:15">
      <c r="A247" s="22" t="s">
        <v>769</v>
      </c>
      <c r="B247" s="22" t="s">
        <v>770</v>
      </c>
      <c r="C247" s="22">
        <v>4.9899999999999996E-3</v>
      </c>
      <c r="D247" s="22">
        <v>0.03</v>
      </c>
      <c r="E247" s="22">
        <v>1920000</v>
      </c>
      <c r="F247" s="22">
        <v>182.35</v>
      </c>
      <c r="G247" s="22">
        <v>385100000</v>
      </c>
      <c r="H247">
        <f>Sheet1[[#This Row],[Volume (24h)]]/Sheet1[[#This Row],[Circulating Supply]]</f>
        <v>4.735133731498312E-7</v>
      </c>
      <c r="I247">
        <f>RANK(Sheet1[[#This Row],[Market Cap]],Sheet1[Market Cap],0)</f>
        <v>231</v>
      </c>
      <c r="J247" t="str">
        <f t="shared" si="12"/>
        <v>0-0.5</v>
      </c>
      <c r="K247" t="str">
        <f t="shared" si="13"/>
        <v>$0-$50</v>
      </c>
      <c r="L247">
        <f t="shared" si="14"/>
        <v>4.9885034489653103E-3</v>
      </c>
      <c r="M247" t="str">
        <f t="shared" si="15"/>
        <v>Up to $10</v>
      </c>
      <c r="N247" s="22">
        <v>7.0000000000000007E-2</v>
      </c>
      <c r="O247" s="22">
        <v>3.55</v>
      </c>
    </row>
    <row r="248" spans="1:15">
      <c r="A248" s="22" t="s">
        <v>771</v>
      </c>
      <c r="B248" s="22" t="s">
        <v>772</v>
      </c>
      <c r="C248" s="22">
        <v>7.5439999999999993E-2</v>
      </c>
      <c r="D248" s="22">
        <v>0.8</v>
      </c>
      <c r="E248" s="22">
        <v>1910000</v>
      </c>
      <c r="F248" s="22">
        <v>12340</v>
      </c>
      <c r="G248" s="23" t="s">
        <v>773</v>
      </c>
      <c r="H248">
        <f>Sheet1[[#This Row],[Volume (24h)]]/Sheet1[[#This Row],[Circulating Supply]]</f>
        <v>3.5026965654271928E-10</v>
      </c>
      <c r="I248">
        <f>RANK(Sheet1[[#This Row],[Market Cap]],Sheet1[Market Cap],0)</f>
        <v>233</v>
      </c>
      <c r="J248" t="str">
        <f t="shared" si="12"/>
        <v>0-0.5</v>
      </c>
      <c r="K248" t="str">
        <f t="shared" si="13"/>
        <v>$0-$50</v>
      </c>
      <c r="L248">
        <f t="shared" si="14"/>
        <v>7.4841269841269834E-2</v>
      </c>
      <c r="M248" t="str">
        <f t="shared" si="15"/>
        <v>Up to $10</v>
      </c>
      <c r="N248" s="22">
        <v>3.7</v>
      </c>
      <c r="O248" s="22">
        <v>31.12</v>
      </c>
    </row>
    <row r="249" spans="1:15">
      <c r="A249" s="22" t="s">
        <v>210</v>
      </c>
      <c r="B249" s="22" t="s">
        <v>774</v>
      </c>
      <c r="C249" s="22">
        <v>2.174E-4</v>
      </c>
      <c r="D249" s="22">
        <v>0.01</v>
      </c>
      <c r="E249" s="22">
        <v>1910000</v>
      </c>
      <c r="F249" s="22">
        <v>9350</v>
      </c>
      <c r="G249" s="22">
        <v>8790000000</v>
      </c>
      <c r="H249">
        <f>Sheet1[[#This Row],[Volume (24h)]]/Sheet1[[#This Row],[Circulating Supply]]</f>
        <v>1.0637087599544937E-6</v>
      </c>
      <c r="I249">
        <f>RANK(Sheet1[[#This Row],[Market Cap]],Sheet1[Market Cap],0)</f>
        <v>233</v>
      </c>
      <c r="J249" t="str">
        <f t="shared" si="12"/>
        <v>0-0.5</v>
      </c>
      <c r="K249" t="str">
        <f t="shared" si="13"/>
        <v>Above $50</v>
      </c>
      <c r="L249">
        <f t="shared" si="14"/>
        <v>2.1737826217378263E-4</v>
      </c>
      <c r="M249" t="str">
        <f t="shared" si="15"/>
        <v>&gt;= $10</v>
      </c>
      <c r="N249" s="22">
        <v>1.34</v>
      </c>
      <c r="O249" s="22">
        <v>17.600000000000001</v>
      </c>
    </row>
    <row r="250" spans="1:15">
      <c r="A250" s="22" t="s">
        <v>775</v>
      </c>
      <c r="B250" s="22" t="s">
        <v>776</v>
      </c>
      <c r="C250" s="22">
        <v>2.5660000000000001E-3</v>
      </c>
      <c r="D250" s="22">
        <v>1.38</v>
      </c>
      <c r="E250" s="22">
        <v>1900000</v>
      </c>
      <c r="F250" s="22">
        <v>1170000</v>
      </c>
      <c r="G250" s="22">
        <v>743510000</v>
      </c>
      <c r="H250">
        <f>Sheet1[[#This Row],[Volume (24h)]]/Sheet1[[#This Row],[Circulating Supply]]</f>
        <v>1.5736170327231645E-3</v>
      </c>
      <c r="I250">
        <f>RANK(Sheet1[[#This Row],[Market Cap]],Sheet1[Market Cap],0)</f>
        <v>235</v>
      </c>
      <c r="J250" t="str">
        <f t="shared" si="12"/>
        <v>0-0.5</v>
      </c>
      <c r="K250" t="str">
        <f t="shared" si="13"/>
        <v>$0-$50</v>
      </c>
      <c r="L250">
        <f t="shared" si="14"/>
        <v>2.5310712172026042E-3</v>
      </c>
      <c r="M250" t="str">
        <f t="shared" si="15"/>
        <v>Up to $10</v>
      </c>
      <c r="N250" s="22">
        <v>10.33</v>
      </c>
      <c r="O250" s="22">
        <v>32.619999999999997</v>
      </c>
    </row>
    <row r="251" spans="1:15">
      <c r="A251" s="22" t="s">
        <v>777</v>
      </c>
      <c r="B251" s="22" t="s">
        <v>778</v>
      </c>
      <c r="C251" s="23" t="s">
        <v>779</v>
      </c>
      <c r="D251" s="22">
        <v>0.11</v>
      </c>
      <c r="E251" s="22">
        <v>1890000</v>
      </c>
      <c r="F251" s="22">
        <v>224720</v>
      </c>
      <c r="G251" s="22">
        <v>93170000000</v>
      </c>
      <c r="H251">
        <f>Sheet1[[#This Row],[Volume (24h)]]/Sheet1[[#This Row],[Circulating Supply]]</f>
        <v>2.4119351722657509E-6</v>
      </c>
      <c r="I251">
        <f>RANK(Sheet1[[#This Row],[Market Cap]],Sheet1[Market Cap],0)</f>
        <v>236</v>
      </c>
      <c r="J251" t="str">
        <f t="shared" si="12"/>
        <v>0-0.5</v>
      </c>
      <c r="K251" t="str">
        <f t="shared" si="13"/>
        <v>$0-$50</v>
      </c>
      <c r="L251">
        <f t="shared" si="14"/>
        <v>2.0337628608530617E-5</v>
      </c>
      <c r="M251" t="str">
        <f t="shared" si="15"/>
        <v>&gt;= $10</v>
      </c>
      <c r="N251" s="22">
        <v>11.14</v>
      </c>
      <c r="O251" s="22">
        <v>78.89</v>
      </c>
    </row>
    <row r="252" spans="1:15">
      <c r="A252" s="22" t="s">
        <v>780</v>
      </c>
      <c r="B252" s="22" t="s">
        <v>781</v>
      </c>
      <c r="C252" s="22">
        <v>1.89E-3</v>
      </c>
      <c r="D252" s="22">
        <v>1.86</v>
      </c>
      <c r="E252" s="22">
        <v>1890000</v>
      </c>
      <c r="F252" s="22">
        <v>232210</v>
      </c>
      <c r="G252" s="22">
        <v>999950000</v>
      </c>
      <c r="H252">
        <f>Sheet1[[#This Row],[Volume (24h)]]/Sheet1[[#This Row],[Circulating Supply]]</f>
        <v>2.3222161108055404E-4</v>
      </c>
      <c r="I252">
        <f>RANK(Sheet1[[#This Row],[Market Cap]],Sheet1[Market Cap],0)</f>
        <v>236</v>
      </c>
      <c r="J252" t="str">
        <f t="shared" si="12"/>
        <v>0-0.5</v>
      </c>
      <c r="K252" t="str">
        <f t="shared" si="13"/>
        <v>$0-$50</v>
      </c>
      <c r="L252">
        <f t="shared" si="14"/>
        <v>1.8554879246023956E-3</v>
      </c>
      <c r="M252" t="str">
        <f t="shared" si="15"/>
        <v>&gt;= $10</v>
      </c>
      <c r="N252" s="22">
        <v>47.93</v>
      </c>
      <c r="O252" s="22">
        <v>76.25</v>
      </c>
    </row>
    <row r="253" spans="1:15">
      <c r="A253" s="22" t="s">
        <v>782</v>
      </c>
      <c r="B253" s="22" t="s">
        <v>783</v>
      </c>
      <c r="C253" s="22">
        <v>40.44</v>
      </c>
      <c r="D253" s="22">
        <v>0.21</v>
      </c>
      <c r="E253" s="22">
        <v>1880000</v>
      </c>
      <c r="F253" s="22">
        <v>1170000</v>
      </c>
      <c r="G253" s="22">
        <v>46680</v>
      </c>
      <c r="H253">
        <f>Sheet1[[#This Row],[Volume (24h)]]/Sheet1[[#This Row],[Circulating Supply]]</f>
        <v>25.064267352185091</v>
      </c>
      <c r="I253">
        <f>RANK(Sheet1[[#This Row],[Market Cap]],Sheet1[Market Cap],0)</f>
        <v>238</v>
      </c>
      <c r="J253" t="str">
        <f t="shared" si="12"/>
        <v>0-0.5</v>
      </c>
      <c r="K253" t="str">
        <f t="shared" si="13"/>
        <v>$0-$50</v>
      </c>
      <c r="L253">
        <f t="shared" si="14"/>
        <v>40.355253966669991</v>
      </c>
      <c r="M253" t="str">
        <f t="shared" si="15"/>
        <v>Up to $10</v>
      </c>
      <c r="N253" s="22">
        <v>0.81</v>
      </c>
      <c r="O253" s="22">
        <v>8.52</v>
      </c>
    </row>
    <row r="254" spans="1:15">
      <c r="A254" s="22" t="s">
        <v>784</v>
      </c>
      <c r="B254" s="22" t="s">
        <v>785</v>
      </c>
      <c r="C254" s="22">
        <v>24.92</v>
      </c>
      <c r="D254" s="22">
        <v>0.2</v>
      </c>
      <c r="E254" s="22">
        <v>1880000</v>
      </c>
      <c r="F254" s="22">
        <v>9350000</v>
      </c>
      <c r="G254" s="22">
        <v>75630</v>
      </c>
      <c r="H254">
        <f>Sheet1[[#This Row],[Volume (24h)]]/Sheet1[[#This Row],[Circulating Supply]]</f>
        <v>123.62818987174401</v>
      </c>
      <c r="I254">
        <f>RANK(Sheet1[[#This Row],[Market Cap]],Sheet1[Market Cap],0)</f>
        <v>238</v>
      </c>
      <c r="J254" t="str">
        <f t="shared" si="12"/>
        <v>0-0.5</v>
      </c>
      <c r="K254" t="str">
        <f t="shared" si="13"/>
        <v>$0-$50</v>
      </c>
      <c r="L254">
        <f t="shared" si="14"/>
        <v>24.870259481037927</v>
      </c>
      <c r="M254" t="str">
        <f t="shared" si="15"/>
        <v>&gt;= $10</v>
      </c>
      <c r="N254" s="22">
        <v>9.11</v>
      </c>
      <c r="O254" s="22">
        <v>34.31</v>
      </c>
    </row>
    <row r="255" spans="1:15">
      <c r="A255" s="22" t="s">
        <v>786</v>
      </c>
      <c r="B255" s="22" t="s">
        <v>787</v>
      </c>
      <c r="C255" s="22">
        <v>6.2940000000000001E-3</v>
      </c>
      <c r="D255" s="22">
        <v>0</v>
      </c>
      <c r="E255" s="22">
        <v>1870000</v>
      </c>
      <c r="F255" s="22">
        <v>1670</v>
      </c>
      <c r="G255" s="22">
        <v>298250000</v>
      </c>
      <c r="H255">
        <f>Sheet1[[#This Row],[Volume (24h)]]/Sheet1[[#This Row],[Circulating Supply]]</f>
        <v>5.5993294216261528E-6</v>
      </c>
      <c r="I255">
        <f>RANK(Sheet1[[#This Row],[Market Cap]],Sheet1[Market Cap],0)</f>
        <v>240</v>
      </c>
      <c r="J255" t="str">
        <f t="shared" si="12"/>
        <v>0-0.5</v>
      </c>
      <c r="K255" t="str">
        <f t="shared" si="13"/>
        <v>$0-$50</v>
      </c>
      <c r="L255">
        <f t="shared" si="14"/>
        <v>6.2940000000000001E-3</v>
      </c>
      <c r="M255" t="str">
        <f t="shared" si="15"/>
        <v>Up to $10</v>
      </c>
      <c r="N255" s="22">
        <v>0.72</v>
      </c>
      <c r="O255" s="22">
        <v>3.82</v>
      </c>
    </row>
    <row r="256" spans="1:15">
      <c r="A256" s="22" t="s">
        <v>788</v>
      </c>
      <c r="B256" s="22" t="s">
        <v>789</v>
      </c>
      <c r="C256" s="22">
        <v>10.050000000000001</v>
      </c>
      <c r="D256" s="22">
        <v>0.12</v>
      </c>
      <c r="E256" s="22">
        <v>1860000</v>
      </c>
      <c r="F256" s="22">
        <v>1430000</v>
      </c>
      <c r="G256" s="22">
        <v>185670</v>
      </c>
      <c r="H256">
        <f>Sheet1[[#This Row],[Volume (24h)]]/Sheet1[[#This Row],[Circulating Supply]]</f>
        <v>7.7018365918026603</v>
      </c>
      <c r="I256">
        <f>RANK(Sheet1[[#This Row],[Market Cap]],Sheet1[Market Cap],0)</f>
        <v>241</v>
      </c>
      <c r="J256" t="str">
        <f t="shared" si="12"/>
        <v>0-0.5</v>
      </c>
      <c r="K256" t="str">
        <f t="shared" si="13"/>
        <v>Above $50</v>
      </c>
      <c r="L256">
        <f t="shared" si="14"/>
        <v>10.037954454654415</v>
      </c>
      <c r="M256" t="str">
        <f t="shared" si="15"/>
        <v>&gt;= $10</v>
      </c>
      <c r="N256" s="22">
        <v>0.35</v>
      </c>
      <c r="O256" s="22">
        <v>5.25</v>
      </c>
    </row>
    <row r="257" spans="1:15">
      <c r="A257" s="22" t="s">
        <v>790</v>
      </c>
      <c r="B257" s="22" t="s">
        <v>791</v>
      </c>
      <c r="C257" s="22">
        <v>2.3480000000000001E-2</v>
      </c>
      <c r="D257" s="22">
        <v>0</v>
      </c>
      <c r="E257" s="22">
        <v>1560000</v>
      </c>
      <c r="F257" s="22"/>
      <c r="G257" s="22">
        <v>66660000</v>
      </c>
      <c r="H257">
        <f>Sheet1[[#This Row],[Volume (24h)]]/Sheet1[[#This Row],[Circulating Supply]]</f>
        <v>0</v>
      </c>
      <c r="I257">
        <f>RANK(Sheet1[[#This Row],[Market Cap]],Sheet1[Market Cap],0)</f>
        <v>242</v>
      </c>
      <c r="J257" t="str">
        <f t="shared" si="12"/>
        <v>0-0.5</v>
      </c>
      <c r="K257" t="str">
        <f t="shared" si="13"/>
        <v>$0-$50</v>
      </c>
      <c r="L257">
        <f t="shared" si="14"/>
        <v>2.3480000000000001E-2</v>
      </c>
      <c r="M257" t="str">
        <f t="shared" si="15"/>
        <v>Up to $10</v>
      </c>
      <c r="N257" s="22">
        <v>1.26</v>
      </c>
      <c r="O257" s="22">
        <v>18.54</v>
      </c>
    </row>
    <row r="258" spans="1:15">
      <c r="A258" s="22" t="s">
        <v>792</v>
      </c>
      <c r="B258" s="22" t="s">
        <v>793</v>
      </c>
      <c r="C258" s="22">
        <v>1111.68</v>
      </c>
      <c r="D258" s="22">
        <v>0.02</v>
      </c>
      <c r="E258" s="22">
        <v>1550000</v>
      </c>
      <c r="F258" s="22">
        <v>144710</v>
      </c>
      <c r="G258" s="22">
        <v>1400</v>
      </c>
      <c r="H258">
        <f>Sheet1[[#This Row],[Volume (24h)]]/Sheet1[[#This Row],[Circulating Supply]]</f>
        <v>103.36428571428571</v>
      </c>
      <c r="I258">
        <f>RANK(Sheet1[[#This Row],[Market Cap]],Sheet1[Market Cap],0)</f>
        <v>243</v>
      </c>
      <c r="J258" t="str">
        <f t="shared" ref="J258:J301" si="16">IF(C468&lt;=0.5,"0-0.5",IF(C468&lt;=1,"0.5-1",IF(C468&lt;=2,"1-2",IF(C468&lt;=10,"2-10",IF(C468&lt;=100,"10-100",IF(C468&lt;=10000,"100-10000","10000+"))))))</f>
        <v>0-0.5</v>
      </c>
      <c r="K258" t="str">
        <f t="shared" ref="K258:K301" si="17">IF(C260&lt;=50,"$0-$50","Above $50")</f>
        <v>$0-$50</v>
      </c>
      <c r="L258">
        <f t="shared" ref="L258:L301" si="18">C258/(1+D258/100)</f>
        <v>1111.4577084583084</v>
      </c>
      <c r="M258" t="str">
        <f t="shared" ref="M258:M301" si="19">IF(C260&lt;=10,"Up to $10","&gt;= $10")</f>
        <v>Up to $10</v>
      </c>
      <c r="N258" s="22">
        <v>0.03</v>
      </c>
      <c r="O258" s="22">
        <v>5.41</v>
      </c>
    </row>
    <row r="259" spans="1:15">
      <c r="A259" s="22" t="s">
        <v>794</v>
      </c>
      <c r="B259" s="22" t="s">
        <v>795</v>
      </c>
      <c r="C259" s="22">
        <v>9.5359999999999998E-4</v>
      </c>
      <c r="D259" s="22">
        <v>0.08</v>
      </c>
      <c r="E259" s="22">
        <v>1550000</v>
      </c>
      <c r="F259" s="22">
        <v>176440</v>
      </c>
      <c r="G259" s="22">
        <v>1630000000</v>
      </c>
      <c r="H259">
        <f>Sheet1[[#This Row],[Volume (24h)]]/Sheet1[[#This Row],[Circulating Supply]]</f>
        <v>1.0824539877300613E-4</v>
      </c>
      <c r="I259">
        <f>RANK(Sheet1[[#This Row],[Market Cap]],Sheet1[Market Cap],0)</f>
        <v>243</v>
      </c>
      <c r="J259" t="str">
        <f t="shared" si="16"/>
        <v>0-0.5</v>
      </c>
      <c r="K259" t="str">
        <f t="shared" si="17"/>
        <v>$0-$50</v>
      </c>
      <c r="L259">
        <f t="shared" si="18"/>
        <v>9.5283772981614718E-4</v>
      </c>
      <c r="M259" t="str">
        <f t="shared" si="19"/>
        <v>Up to $10</v>
      </c>
      <c r="N259" s="22">
        <v>1.38</v>
      </c>
      <c r="O259" s="22">
        <v>6.7</v>
      </c>
    </row>
    <row r="260" spans="1:15">
      <c r="A260" s="22" t="s">
        <v>796</v>
      </c>
      <c r="B260" s="22" t="s">
        <v>797</v>
      </c>
      <c r="C260" s="22">
        <v>2.6289999999999999E-4</v>
      </c>
      <c r="D260" s="22">
        <v>0.27</v>
      </c>
      <c r="E260" s="22">
        <v>1550000</v>
      </c>
      <c r="F260" s="22">
        <v>45430</v>
      </c>
      <c r="G260" s="22">
        <v>5900000000</v>
      </c>
      <c r="H260">
        <f>Sheet1[[#This Row],[Volume (24h)]]/Sheet1[[#This Row],[Circulating Supply]]</f>
        <v>7.7000000000000008E-6</v>
      </c>
      <c r="I260">
        <f>RANK(Sheet1[[#This Row],[Market Cap]],Sheet1[Market Cap],0)</f>
        <v>243</v>
      </c>
      <c r="J260" t="str">
        <f t="shared" si="16"/>
        <v>0-0.5</v>
      </c>
      <c r="K260" t="str">
        <f t="shared" si="17"/>
        <v>$0-$50</v>
      </c>
      <c r="L260">
        <f t="shared" si="18"/>
        <v>2.621920813802733E-4</v>
      </c>
      <c r="M260" t="str">
        <f t="shared" si="19"/>
        <v>Up to $10</v>
      </c>
      <c r="N260" s="22">
        <v>1.69</v>
      </c>
      <c r="O260" s="22">
        <v>8.4600000000000009</v>
      </c>
    </row>
    <row r="261" spans="1:15">
      <c r="A261" s="22" t="s">
        <v>798</v>
      </c>
      <c r="B261" s="22" t="s">
        <v>799</v>
      </c>
      <c r="C261" s="22">
        <v>1.5690000000000001E-3</v>
      </c>
      <c r="D261" s="22">
        <v>5.65</v>
      </c>
      <c r="E261" s="22">
        <v>1550000</v>
      </c>
      <c r="F261" s="22">
        <v>85030</v>
      </c>
      <c r="G261" s="22">
        <v>989890000</v>
      </c>
      <c r="H261">
        <f>Sheet1[[#This Row],[Volume (24h)]]/Sheet1[[#This Row],[Circulating Supply]]</f>
        <v>8.5898433159239918E-5</v>
      </c>
      <c r="I261">
        <f>RANK(Sheet1[[#This Row],[Market Cap]],Sheet1[Market Cap],0)</f>
        <v>243</v>
      </c>
      <c r="J261" t="str">
        <f t="shared" si="16"/>
        <v>0-0.5</v>
      </c>
      <c r="K261" t="str">
        <f t="shared" si="17"/>
        <v>Above $50</v>
      </c>
      <c r="L261">
        <f t="shared" si="18"/>
        <v>1.4850922858495031E-3</v>
      </c>
      <c r="M261" t="str">
        <f t="shared" si="19"/>
        <v>&gt;= $10</v>
      </c>
      <c r="N261" s="22">
        <v>38.1</v>
      </c>
      <c r="O261" s="22">
        <v>73.209999999999994</v>
      </c>
    </row>
    <row r="262" spans="1:15">
      <c r="A262" s="22" t="s">
        <v>800</v>
      </c>
      <c r="B262" s="22" t="s">
        <v>801</v>
      </c>
      <c r="C262" s="22">
        <v>4.6309999999999997E-2</v>
      </c>
      <c r="D262" s="22">
        <v>0.14000000000000001</v>
      </c>
      <c r="E262" s="22">
        <v>1540000</v>
      </c>
      <c r="F262" s="22">
        <v>4420</v>
      </c>
      <c r="G262" s="23" t="s">
        <v>802</v>
      </c>
      <c r="H262">
        <f>Sheet1[[#This Row],[Volume (24h)]]/Sheet1[[#This Row],[Circulating Supply]]</f>
        <v>1.3213751868460389E-4</v>
      </c>
      <c r="I262">
        <f>RANK(Sheet1[[#This Row],[Market Cap]],Sheet1[Market Cap],0)</f>
        <v>247</v>
      </c>
      <c r="J262" t="str">
        <f t="shared" si="16"/>
        <v>0-0.5</v>
      </c>
      <c r="K262" t="str">
        <f t="shared" si="17"/>
        <v>$0-$50</v>
      </c>
      <c r="L262">
        <f t="shared" si="18"/>
        <v>4.624525664070301E-2</v>
      </c>
      <c r="M262" t="str">
        <f t="shared" si="19"/>
        <v>Up to $10</v>
      </c>
      <c r="N262" s="22">
        <v>4.37</v>
      </c>
      <c r="O262" s="22">
        <v>15.49</v>
      </c>
    </row>
    <row r="263" spans="1:15">
      <c r="A263" s="22" t="s">
        <v>803</v>
      </c>
      <c r="B263" s="22" t="s">
        <v>804</v>
      </c>
      <c r="C263" s="22">
        <v>309.61</v>
      </c>
      <c r="D263" s="22">
        <v>0.24</v>
      </c>
      <c r="E263" s="22">
        <v>1540000</v>
      </c>
      <c r="F263" s="22">
        <v>416440</v>
      </c>
      <c r="G263" s="22">
        <v>5000</v>
      </c>
      <c r="H263">
        <f>Sheet1[[#This Row],[Volume (24h)]]/Sheet1[[#This Row],[Circulating Supply]]</f>
        <v>83.287999999999997</v>
      </c>
      <c r="I263">
        <f>RANK(Sheet1[[#This Row],[Market Cap]],Sheet1[Market Cap],0)</f>
        <v>247</v>
      </c>
      <c r="J263" t="str">
        <f t="shared" si="16"/>
        <v>0-0.5</v>
      </c>
      <c r="K263" t="str">
        <f t="shared" si="17"/>
        <v>$0-$50</v>
      </c>
      <c r="L263">
        <f t="shared" si="18"/>
        <v>308.86871508379892</v>
      </c>
      <c r="M263" t="str">
        <f t="shared" si="19"/>
        <v>Up to $10</v>
      </c>
      <c r="N263" s="22">
        <v>0.1</v>
      </c>
      <c r="O263" s="22">
        <v>1.3</v>
      </c>
    </row>
    <row r="264" spans="1:15">
      <c r="A264" s="22" t="s">
        <v>201</v>
      </c>
      <c r="B264" s="22" t="s">
        <v>805</v>
      </c>
      <c r="C264" s="22">
        <v>5.3672999999999998E-2</v>
      </c>
      <c r="D264" s="22">
        <v>0.15</v>
      </c>
      <c r="E264" s="22">
        <v>1540000</v>
      </c>
      <c r="F264" s="23" t="s">
        <v>806</v>
      </c>
      <c r="G264" s="23" t="s">
        <v>807</v>
      </c>
      <c r="H264">
        <f>Sheet1[[#This Row],[Volume (24h)]]/Sheet1[[#This Row],[Circulating Supply]]</f>
        <v>1.5538757755116594E-7</v>
      </c>
      <c r="I264">
        <f>RANK(Sheet1[[#This Row],[Market Cap]],Sheet1[Market Cap],0)</f>
        <v>247</v>
      </c>
      <c r="J264" t="str">
        <f t="shared" si="16"/>
        <v>0-0.5</v>
      </c>
      <c r="K264" t="str">
        <f t="shared" si="17"/>
        <v>$0-$50</v>
      </c>
      <c r="L264">
        <f t="shared" si="18"/>
        <v>5.359261108337493E-2</v>
      </c>
      <c r="M264" t="str">
        <f t="shared" si="19"/>
        <v>Up to $10</v>
      </c>
      <c r="N264" s="22">
        <v>1.18</v>
      </c>
      <c r="O264" s="22">
        <v>33.450000000000003</v>
      </c>
    </row>
    <row r="265" spans="1:15">
      <c r="A265" s="22" t="s">
        <v>808</v>
      </c>
      <c r="B265" s="22" t="s">
        <v>809</v>
      </c>
      <c r="C265" s="22">
        <v>1.5410000000000001E-3</v>
      </c>
      <c r="D265" s="22">
        <v>0.24</v>
      </c>
      <c r="E265" s="22">
        <v>1540000</v>
      </c>
      <c r="F265" s="22">
        <v>45920</v>
      </c>
      <c r="G265" s="22">
        <v>1000000000</v>
      </c>
      <c r="H265">
        <f>Sheet1[[#This Row],[Volume (24h)]]/Sheet1[[#This Row],[Circulating Supply]]</f>
        <v>4.5920000000000001E-5</v>
      </c>
      <c r="I265">
        <f>RANK(Sheet1[[#This Row],[Market Cap]],Sheet1[Market Cap],0)</f>
        <v>247</v>
      </c>
      <c r="J265" t="str">
        <f t="shared" si="16"/>
        <v>0-0.5</v>
      </c>
      <c r="K265" t="str">
        <f t="shared" si="17"/>
        <v>$0-$50</v>
      </c>
      <c r="L265">
        <f t="shared" si="18"/>
        <v>1.5373104549082203E-3</v>
      </c>
      <c r="M265" t="str">
        <f t="shared" si="19"/>
        <v>Up to $10</v>
      </c>
      <c r="N265" s="22">
        <v>0.26</v>
      </c>
      <c r="O265" s="22">
        <v>17.78</v>
      </c>
    </row>
    <row r="266" spans="1:15">
      <c r="A266" s="22" t="s">
        <v>810</v>
      </c>
      <c r="B266" s="22" t="s">
        <v>811</v>
      </c>
      <c r="C266" s="22">
        <v>1.539E-3</v>
      </c>
      <c r="D266" s="22">
        <v>3.46</v>
      </c>
      <c r="E266" s="22">
        <v>1530000</v>
      </c>
      <c r="F266" s="22">
        <v>28710</v>
      </c>
      <c r="G266" s="22">
        <v>996730000</v>
      </c>
      <c r="H266">
        <f>Sheet1[[#This Row],[Volume (24h)]]/Sheet1[[#This Row],[Circulating Supply]]</f>
        <v>2.8804189700320045E-5</v>
      </c>
      <c r="I266">
        <f>RANK(Sheet1[[#This Row],[Market Cap]],Sheet1[Market Cap],0)</f>
        <v>251</v>
      </c>
      <c r="J266" t="str">
        <f t="shared" si="16"/>
        <v>0-0.5</v>
      </c>
      <c r="K266" t="str">
        <f t="shared" si="17"/>
        <v>$0-$50</v>
      </c>
      <c r="L266">
        <f t="shared" si="18"/>
        <v>1.4875314131065145E-3</v>
      </c>
      <c r="M266" t="str">
        <f t="shared" si="19"/>
        <v>Up to $10</v>
      </c>
      <c r="N266" s="22">
        <v>24.55</v>
      </c>
      <c r="O266" s="22">
        <v>57.39</v>
      </c>
    </row>
    <row r="267" spans="1:15">
      <c r="A267" s="22" t="s">
        <v>188</v>
      </c>
      <c r="B267" s="22" t="s">
        <v>812</v>
      </c>
      <c r="C267" s="22">
        <v>0.10249999999999999</v>
      </c>
      <c r="D267" s="22">
        <v>0.12</v>
      </c>
      <c r="E267" s="22">
        <v>1530000</v>
      </c>
      <c r="F267" s="22">
        <v>155190</v>
      </c>
      <c r="G267" s="22">
        <v>14950000</v>
      </c>
      <c r="H267">
        <f>Sheet1[[#This Row],[Volume (24h)]]/Sheet1[[#This Row],[Circulating Supply]]</f>
        <v>1.0380602006688963E-2</v>
      </c>
      <c r="I267">
        <f>RANK(Sheet1[[#This Row],[Market Cap]],Sheet1[Market Cap],0)</f>
        <v>251</v>
      </c>
      <c r="J267" t="str">
        <f t="shared" si="16"/>
        <v>0-0.5</v>
      </c>
      <c r="K267" t="str">
        <f t="shared" si="17"/>
        <v>$0-$50</v>
      </c>
      <c r="L267">
        <f t="shared" si="18"/>
        <v>0.10237714742309227</v>
      </c>
      <c r="M267" t="str">
        <f t="shared" si="19"/>
        <v>Up to $10</v>
      </c>
      <c r="N267" s="22">
        <v>1.32</v>
      </c>
      <c r="O267" s="22">
        <v>17.04</v>
      </c>
    </row>
    <row r="268" spans="1:15">
      <c r="A268" s="22" t="s">
        <v>813</v>
      </c>
      <c r="B268" s="22" t="s">
        <v>814</v>
      </c>
      <c r="C268" s="22">
        <v>2.0300000000000001E-3</v>
      </c>
      <c r="D268" s="22">
        <v>0.02</v>
      </c>
      <c r="E268" s="22">
        <v>1530000</v>
      </c>
      <c r="F268" s="22">
        <v>131850</v>
      </c>
      <c r="G268" s="22">
        <v>754340000</v>
      </c>
      <c r="H268">
        <f>Sheet1[[#This Row],[Volume (24h)]]/Sheet1[[#This Row],[Circulating Supply]]</f>
        <v>1.7478855688416364E-4</v>
      </c>
      <c r="I268">
        <f>RANK(Sheet1[[#This Row],[Market Cap]],Sheet1[Market Cap],0)</f>
        <v>251</v>
      </c>
      <c r="J268" t="str">
        <f t="shared" si="16"/>
        <v>0-0.5</v>
      </c>
      <c r="K268" t="str">
        <f t="shared" si="17"/>
        <v>$0-$50</v>
      </c>
      <c r="L268">
        <f t="shared" si="18"/>
        <v>2.0295940811837633E-3</v>
      </c>
      <c r="M268" t="str">
        <f t="shared" si="19"/>
        <v>Up to $10</v>
      </c>
      <c r="N268" s="22">
        <v>0.75</v>
      </c>
      <c r="O268" s="22">
        <v>0.6</v>
      </c>
    </row>
    <row r="269" spans="1:15">
      <c r="A269" s="22" t="s">
        <v>815</v>
      </c>
      <c r="B269" s="22" t="s">
        <v>816</v>
      </c>
      <c r="C269" s="22">
        <v>8.4791000000000005E-2</v>
      </c>
      <c r="D269" s="22">
        <v>2.68</v>
      </c>
      <c r="E269" s="22">
        <v>1520000</v>
      </c>
      <c r="F269" s="22">
        <v>5790</v>
      </c>
      <c r="G269" s="23" t="s">
        <v>817</v>
      </c>
      <c r="H269">
        <f>Sheet1[[#This Row],[Volume (24h)]]/Sheet1[[#This Row],[Circulating Supply]]</f>
        <v>1.8190957931446164E-11</v>
      </c>
      <c r="I269">
        <f>RANK(Sheet1[[#This Row],[Market Cap]],Sheet1[Market Cap],0)</f>
        <v>254</v>
      </c>
      <c r="J269" t="str">
        <f t="shared" si="16"/>
        <v>0-0.5</v>
      </c>
      <c r="K269" t="str">
        <f t="shared" si="17"/>
        <v>Above $50</v>
      </c>
      <c r="L269">
        <f t="shared" si="18"/>
        <v>8.2577911959485786E-2</v>
      </c>
      <c r="M269" t="str">
        <f t="shared" si="19"/>
        <v>&gt;= $10</v>
      </c>
      <c r="N269" s="22">
        <v>2.2599999999999998</v>
      </c>
      <c r="O269" s="22">
        <v>3.2</v>
      </c>
    </row>
    <row r="270" spans="1:15">
      <c r="A270" s="22" t="s">
        <v>818</v>
      </c>
      <c r="B270" s="22" t="s">
        <v>819</v>
      </c>
      <c r="C270" s="22">
        <v>1.624E-3</v>
      </c>
      <c r="D270" s="22">
        <v>0.26</v>
      </c>
      <c r="E270" s="22">
        <v>1510000</v>
      </c>
      <c r="F270" s="22">
        <v>694850</v>
      </c>
      <c r="G270" s="22">
        <v>934960000</v>
      </c>
      <c r="H270">
        <f>Sheet1[[#This Row],[Volume (24h)]]/Sheet1[[#This Row],[Circulating Supply]]</f>
        <v>7.4318687430478304E-4</v>
      </c>
      <c r="I270">
        <f>RANK(Sheet1[[#This Row],[Market Cap]],Sheet1[Market Cap],0)</f>
        <v>255</v>
      </c>
      <c r="J270" t="str">
        <f t="shared" si="16"/>
        <v>0-0.5</v>
      </c>
      <c r="K270" t="str">
        <f t="shared" si="17"/>
        <v>$0-$50</v>
      </c>
      <c r="L270">
        <f t="shared" si="18"/>
        <v>1.6197885497705965E-3</v>
      </c>
      <c r="M270" t="str">
        <f t="shared" si="19"/>
        <v>Up to $10</v>
      </c>
      <c r="N270" s="22">
        <v>3.22</v>
      </c>
      <c r="O270" s="22">
        <v>10.039999999999999</v>
      </c>
    </row>
    <row r="271" spans="1:15">
      <c r="A271" s="22" t="s">
        <v>820</v>
      </c>
      <c r="B271" s="22" t="s">
        <v>821</v>
      </c>
      <c r="C271" s="22">
        <v>158.87</v>
      </c>
      <c r="D271" s="22">
        <v>0.32</v>
      </c>
      <c r="E271" s="22">
        <v>1510000</v>
      </c>
      <c r="F271" s="22">
        <v>1560000</v>
      </c>
      <c r="G271" s="22">
        <v>9550</v>
      </c>
      <c r="H271">
        <f>Sheet1[[#This Row],[Volume (24h)]]/Sheet1[[#This Row],[Circulating Supply]]</f>
        <v>163.35078534031413</v>
      </c>
      <c r="I271">
        <f>RANK(Sheet1[[#This Row],[Market Cap]],Sheet1[Market Cap],0)</f>
        <v>255</v>
      </c>
      <c r="J271" t="str">
        <f t="shared" si="16"/>
        <v>0-0.5</v>
      </c>
      <c r="K271" t="str">
        <f t="shared" si="17"/>
        <v>$0-$50</v>
      </c>
      <c r="L271">
        <f t="shared" si="18"/>
        <v>158.36323763955343</v>
      </c>
      <c r="M271" t="str">
        <f t="shared" si="19"/>
        <v>Up to $10</v>
      </c>
      <c r="N271" s="22">
        <v>0.08</v>
      </c>
      <c r="O271" s="22">
        <v>4.7</v>
      </c>
    </row>
    <row r="272" spans="1:15">
      <c r="A272" s="22" t="s">
        <v>822</v>
      </c>
      <c r="B272" s="22" t="s">
        <v>822</v>
      </c>
      <c r="C272" s="22">
        <v>9.8760000000000001E-2</v>
      </c>
      <c r="D272" s="22">
        <v>0.01</v>
      </c>
      <c r="E272" s="22">
        <v>1250000</v>
      </c>
      <c r="F272" s="22">
        <v>28830</v>
      </c>
      <c r="G272" s="22">
        <v>12650000</v>
      </c>
      <c r="H272">
        <f>Sheet1[[#This Row],[Volume (24h)]]/Sheet1[[#This Row],[Circulating Supply]]</f>
        <v>2.2790513833992093E-3</v>
      </c>
      <c r="I272">
        <f>RANK(Sheet1[[#This Row],[Market Cap]],Sheet1[Market Cap],0)</f>
        <v>257</v>
      </c>
      <c r="J272" t="str">
        <f t="shared" si="16"/>
        <v>0-0.5</v>
      </c>
      <c r="K272" t="str">
        <f t="shared" si="17"/>
        <v>$0-$50</v>
      </c>
      <c r="L272">
        <f t="shared" si="18"/>
        <v>9.8750124987501256E-2</v>
      </c>
      <c r="M272" t="str">
        <f t="shared" si="19"/>
        <v>Up to $10</v>
      </c>
      <c r="N272" s="22">
        <v>7.49</v>
      </c>
      <c r="O272" s="22">
        <v>15.36</v>
      </c>
    </row>
    <row r="273" spans="1:15">
      <c r="A273" s="22" t="s">
        <v>823</v>
      </c>
      <c r="B273" s="22" t="s">
        <v>824</v>
      </c>
      <c r="C273" s="22">
        <v>7.1909999999999997E-4</v>
      </c>
      <c r="D273" s="22">
        <v>0.01</v>
      </c>
      <c r="E273" s="22">
        <v>1240000</v>
      </c>
      <c r="F273" s="22">
        <v>15210</v>
      </c>
      <c r="G273" s="22">
        <v>1730000000</v>
      </c>
      <c r="H273">
        <f>Sheet1[[#This Row],[Volume (24h)]]/Sheet1[[#This Row],[Circulating Supply]]</f>
        <v>8.7919075144508667E-6</v>
      </c>
      <c r="I273">
        <f>RANK(Sheet1[[#This Row],[Market Cap]],Sheet1[Market Cap],0)</f>
        <v>258</v>
      </c>
      <c r="J273" t="str">
        <f t="shared" si="16"/>
        <v>0-0.5</v>
      </c>
      <c r="K273" t="str">
        <f t="shared" si="17"/>
        <v>$0-$50</v>
      </c>
      <c r="L273">
        <f t="shared" si="18"/>
        <v>7.1902809719028092E-4</v>
      </c>
      <c r="M273" t="str">
        <f t="shared" si="19"/>
        <v>Up to $10</v>
      </c>
      <c r="N273" s="22">
        <v>1.29</v>
      </c>
      <c r="O273" s="22">
        <v>2.31</v>
      </c>
    </row>
    <row r="274" spans="1:15">
      <c r="A274" s="22" t="s">
        <v>825</v>
      </c>
      <c r="B274" s="22" t="s">
        <v>826</v>
      </c>
      <c r="C274" s="22">
        <v>6.6930000000000002E-3</v>
      </c>
      <c r="D274" s="22">
        <v>0</v>
      </c>
      <c r="E274" s="22">
        <v>1240000</v>
      </c>
      <c r="F274" s="22">
        <v>11250</v>
      </c>
      <c r="G274" s="22">
        <v>185930000</v>
      </c>
      <c r="H274">
        <f>Sheet1[[#This Row],[Volume (24h)]]/Sheet1[[#This Row],[Circulating Supply]]</f>
        <v>6.0506642284730812E-5</v>
      </c>
      <c r="I274">
        <f>RANK(Sheet1[[#This Row],[Market Cap]],Sheet1[Market Cap],0)</f>
        <v>258</v>
      </c>
      <c r="J274" t="str">
        <f t="shared" si="16"/>
        <v>0-0.5</v>
      </c>
      <c r="K274" t="str">
        <f t="shared" si="17"/>
        <v>Above $50</v>
      </c>
      <c r="L274">
        <f t="shared" si="18"/>
        <v>6.6930000000000002E-3</v>
      </c>
      <c r="M274" t="str">
        <f t="shared" si="19"/>
        <v>&gt;= $10</v>
      </c>
      <c r="N274" s="22">
        <v>4.5</v>
      </c>
      <c r="O274" s="22">
        <v>28.68</v>
      </c>
    </row>
    <row r="275" spans="1:15">
      <c r="A275" s="22" t="s">
        <v>827</v>
      </c>
      <c r="B275" s="22" t="s">
        <v>828</v>
      </c>
      <c r="C275" s="22">
        <v>1.1599999999999999</v>
      </c>
      <c r="D275" s="22">
        <v>0.02</v>
      </c>
      <c r="E275" s="22">
        <v>1240000</v>
      </c>
      <c r="F275" s="22"/>
      <c r="G275" s="22">
        <v>1060000</v>
      </c>
      <c r="H275">
        <f>Sheet1[[#This Row],[Volume (24h)]]/Sheet1[[#This Row],[Circulating Supply]]</f>
        <v>0</v>
      </c>
      <c r="I275">
        <f>RANK(Sheet1[[#This Row],[Market Cap]],Sheet1[Market Cap],0)</f>
        <v>258</v>
      </c>
      <c r="J275" t="str">
        <f t="shared" si="16"/>
        <v>0-0.5</v>
      </c>
      <c r="K275" t="str">
        <f t="shared" si="17"/>
        <v>Above $50</v>
      </c>
      <c r="L275">
        <f t="shared" si="18"/>
        <v>1.1597680463907218</v>
      </c>
      <c r="M275" t="str">
        <f t="shared" si="19"/>
        <v>&gt;= $10</v>
      </c>
      <c r="N275" s="22">
        <v>0.18</v>
      </c>
      <c r="O275" s="22">
        <v>0.66</v>
      </c>
    </row>
    <row r="276" spans="1:15">
      <c r="A276" s="22" t="s">
        <v>829</v>
      </c>
      <c r="B276" s="22" t="s">
        <v>830</v>
      </c>
      <c r="C276" s="22">
        <v>710.69</v>
      </c>
      <c r="D276" s="22">
        <v>0.16</v>
      </c>
      <c r="E276" s="22">
        <v>1230000</v>
      </c>
      <c r="F276" s="22">
        <v>191590</v>
      </c>
      <c r="G276" s="22">
        <v>1740</v>
      </c>
      <c r="H276">
        <f>Sheet1[[#This Row],[Volume (24h)]]/Sheet1[[#This Row],[Circulating Supply]]</f>
        <v>110.10919540229885</v>
      </c>
      <c r="I276">
        <f>RANK(Sheet1[[#This Row],[Market Cap]],Sheet1[Market Cap],0)</f>
        <v>261</v>
      </c>
      <c r="J276" t="str">
        <f t="shared" si="16"/>
        <v>0-0.5</v>
      </c>
      <c r="K276" t="str">
        <f t="shared" si="17"/>
        <v>$0-$50</v>
      </c>
      <c r="L276">
        <f t="shared" si="18"/>
        <v>709.55471246006391</v>
      </c>
      <c r="M276" t="str">
        <f t="shared" si="19"/>
        <v>Up to $10</v>
      </c>
      <c r="N276" s="22">
        <v>0.28999999999999998</v>
      </c>
      <c r="O276" s="22">
        <v>1.9</v>
      </c>
    </row>
    <row r="277" spans="1:15">
      <c r="A277" s="22" t="s">
        <v>831</v>
      </c>
      <c r="B277" s="22" t="s">
        <v>832</v>
      </c>
      <c r="C277" s="22">
        <v>973.38</v>
      </c>
      <c r="D277" s="22">
        <v>0.01</v>
      </c>
      <c r="E277" s="22">
        <v>1230000</v>
      </c>
      <c r="F277" s="22">
        <v>4610000</v>
      </c>
      <c r="G277" s="22">
        <v>1260</v>
      </c>
      <c r="H277">
        <f>Sheet1[[#This Row],[Volume (24h)]]/Sheet1[[#This Row],[Circulating Supply]]</f>
        <v>3658.7301587301586</v>
      </c>
      <c r="I277">
        <f>RANK(Sheet1[[#This Row],[Market Cap]],Sheet1[Market Cap],0)</f>
        <v>261</v>
      </c>
      <c r="J277" t="str">
        <f t="shared" si="16"/>
        <v>0-0.5</v>
      </c>
      <c r="K277" t="str">
        <f t="shared" si="17"/>
        <v>Above $50</v>
      </c>
      <c r="L277">
        <f t="shared" si="18"/>
        <v>973.28267173282677</v>
      </c>
      <c r="M277" t="str">
        <f t="shared" si="19"/>
        <v>&gt;= $10</v>
      </c>
      <c r="N277" s="22">
        <v>1.87</v>
      </c>
      <c r="O277" s="22">
        <v>1.04</v>
      </c>
    </row>
    <row r="278" spans="1:15">
      <c r="A278" s="22" t="s">
        <v>833</v>
      </c>
      <c r="B278" s="22" t="s">
        <v>834</v>
      </c>
      <c r="C278" s="22">
        <v>1.2329999999999999E-3</v>
      </c>
      <c r="D278" s="22">
        <v>1.34</v>
      </c>
      <c r="E278" s="22">
        <v>1230000</v>
      </c>
      <c r="F278" s="22">
        <v>58370</v>
      </c>
      <c r="G278" s="22">
        <v>999980000</v>
      </c>
      <c r="H278">
        <f>Sheet1[[#This Row],[Volume (24h)]]/Sheet1[[#This Row],[Circulating Supply]]</f>
        <v>5.8371167423348467E-5</v>
      </c>
      <c r="I278">
        <f>RANK(Sheet1[[#This Row],[Market Cap]],Sheet1[Market Cap],0)</f>
        <v>261</v>
      </c>
      <c r="J278" t="str">
        <f t="shared" si="16"/>
        <v>0-0.5</v>
      </c>
      <c r="K278" t="str">
        <f t="shared" si="17"/>
        <v>$0-$50</v>
      </c>
      <c r="L278">
        <f t="shared" si="18"/>
        <v>1.2166962699822379E-3</v>
      </c>
      <c r="M278" t="str">
        <f t="shared" si="19"/>
        <v>Up to $10</v>
      </c>
      <c r="N278" s="22">
        <v>8.06</v>
      </c>
      <c r="O278" s="22">
        <v>38.26</v>
      </c>
    </row>
    <row r="279" spans="1:15">
      <c r="A279" s="22" t="s">
        <v>835</v>
      </c>
      <c r="B279" s="22" t="s">
        <v>836</v>
      </c>
      <c r="C279" s="22">
        <v>439.47</v>
      </c>
      <c r="D279" s="22">
        <v>0.43</v>
      </c>
      <c r="E279" s="22">
        <v>1230000</v>
      </c>
      <c r="F279" s="23" t="s">
        <v>837</v>
      </c>
      <c r="G279" s="22">
        <v>2800</v>
      </c>
      <c r="H279">
        <f>Sheet1[[#This Row],[Volume (24h)]]/Sheet1[[#This Row],[Circulating Supply]]</f>
        <v>45.989285714285714</v>
      </c>
      <c r="I279">
        <f>RANK(Sheet1[[#This Row],[Market Cap]],Sheet1[Market Cap],0)</f>
        <v>261</v>
      </c>
      <c r="J279" t="str">
        <f t="shared" si="16"/>
        <v>0-0.5</v>
      </c>
      <c r="K279" t="str">
        <f t="shared" si="17"/>
        <v>$0-$50</v>
      </c>
      <c r="L279">
        <f t="shared" si="18"/>
        <v>437.58837000896153</v>
      </c>
      <c r="M279" t="str">
        <f t="shared" si="19"/>
        <v>Up to $10</v>
      </c>
      <c r="N279" s="22">
        <v>1.25</v>
      </c>
      <c r="O279" s="22">
        <v>6.74</v>
      </c>
    </row>
    <row r="280" spans="1:15">
      <c r="A280" s="22" t="s">
        <v>838</v>
      </c>
      <c r="B280" s="22" t="s">
        <v>839</v>
      </c>
      <c r="C280" s="22">
        <v>1.2290000000000001E-3</v>
      </c>
      <c r="D280" s="22">
        <v>0</v>
      </c>
      <c r="E280" s="22">
        <v>1220000</v>
      </c>
      <c r="F280" s="22"/>
      <c r="G280" s="22">
        <v>1000000000</v>
      </c>
      <c r="H280">
        <f>Sheet1[[#This Row],[Volume (24h)]]/Sheet1[[#This Row],[Circulating Supply]]</f>
        <v>0</v>
      </c>
      <c r="I280">
        <f>RANK(Sheet1[[#This Row],[Market Cap]],Sheet1[Market Cap],0)</f>
        <v>265</v>
      </c>
      <c r="J280" t="str">
        <f t="shared" si="16"/>
        <v>0-0.5</v>
      </c>
      <c r="K280" t="str">
        <f t="shared" si="17"/>
        <v>$0-$50</v>
      </c>
      <c r="L280">
        <f t="shared" si="18"/>
        <v>1.2290000000000001E-3</v>
      </c>
      <c r="M280" t="str">
        <f t="shared" si="19"/>
        <v>Up to $10</v>
      </c>
      <c r="N280" s="22">
        <v>0.85</v>
      </c>
      <c r="O280" s="22">
        <v>32.39</v>
      </c>
    </row>
    <row r="281" spans="1:15">
      <c r="A281" s="22" t="s">
        <v>840</v>
      </c>
      <c r="B281" s="22" t="s">
        <v>841</v>
      </c>
      <c r="C281" s="22">
        <v>4.2610000000000002E-2</v>
      </c>
      <c r="D281" s="22">
        <v>0</v>
      </c>
      <c r="E281" s="22">
        <v>1220000</v>
      </c>
      <c r="F281" s="22"/>
      <c r="G281" s="22">
        <v>28710000</v>
      </c>
      <c r="H281">
        <f>Sheet1[[#This Row],[Volume (24h)]]/Sheet1[[#This Row],[Circulating Supply]]</f>
        <v>0</v>
      </c>
      <c r="I281">
        <f>RANK(Sheet1[[#This Row],[Market Cap]],Sheet1[Market Cap],0)</f>
        <v>265</v>
      </c>
      <c r="J281" t="str">
        <f t="shared" si="16"/>
        <v>0-0.5</v>
      </c>
      <c r="K281" t="str">
        <f t="shared" si="17"/>
        <v>$0-$50</v>
      </c>
      <c r="L281">
        <f t="shared" si="18"/>
        <v>4.2610000000000002E-2</v>
      </c>
      <c r="M281" t="str">
        <f t="shared" si="19"/>
        <v>Up to $10</v>
      </c>
      <c r="N281" s="22">
        <v>0.35</v>
      </c>
      <c r="O281" s="22">
        <v>13.77</v>
      </c>
    </row>
    <row r="282" spans="1:15">
      <c r="A282" s="22" t="s">
        <v>842</v>
      </c>
      <c r="B282" s="22" t="s">
        <v>842</v>
      </c>
      <c r="C282" s="22">
        <v>5.3339999999999995E-4</v>
      </c>
      <c r="D282" s="22">
        <v>0.01</v>
      </c>
      <c r="E282" s="22">
        <v>1210000</v>
      </c>
      <c r="F282" s="22">
        <v>149760</v>
      </c>
      <c r="G282" s="22">
        <v>2280000000</v>
      </c>
      <c r="H282">
        <f>Sheet1[[#This Row],[Volume (24h)]]/Sheet1[[#This Row],[Circulating Supply]]</f>
        <v>6.5684210526315785E-5</v>
      </c>
      <c r="I282">
        <f>RANK(Sheet1[[#This Row],[Market Cap]],Sheet1[Market Cap],0)</f>
        <v>267</v>
      </c>
      <c r="J282" t="str">
        <f t="shared" si="16"/>
        <v>0-0.5</v>
      </c>
      <c r="K282" t="str">
        <f t="shared" si="17"/>
        <v>$0-$50</v>
      </c>
      <c r="L282">
        <f t="shared" si="18"/>
        <v>5.3334666533346657E-4</v>
      </c>
      <c r="M282" t="str">
        <f t="shared" si="19"/>
        <v>Up to $10</v>
      </c>
      <c r="N282" s="22">
        <v>2.21</v>
      </c>
      <c r="O282" s="22">
        <v>13.37</v>
      </c>
    </row>
    <row r="283" spans="1:15">
      <c r="A283" s="22" t="s">
        <v>289</v>
      </c>
      <c r="B283" s="22" t="s">
        <v>289</v>
      </c>
      <c r="C283" s="22">
        <v>3.3980000000000003E-2</v>
      </c>
      <c r="D283" s="22">
        <v>0.01</v>
      </c>
      <c r="E283" s="22">
        <v>1210000</v>
      </c>
      <c r="F283" s="22"/>
      <c r="G283" s="22">
        <v>35890000</v>
      </c>
      <c r="H283">
        <f>Sheet1[[#This Row],[Volume (24h)]]/Sheet1[[#This Row],[Circulating Supply]]</f>
        <v>0</v>
      </c>
      <c r="I283">
        <f>RANK(Sheet1[[#This Row],[Market Cap]],Sheet1[Market Cap],0)</f>
        <v>267</v>
      </c>
      <c r="J283" t="str">
        <f t="shared" si="16"/>
        <v>0-0.5</v>
      </c>
      <c r="K283" t="str">
        <f t="shared" si="17"/>
        <v>$0-$50</v>
      </c>
      <c r="L283">
        <f t="shared" si="18"/>
        <v>3.3976602339766029E-2</v>
      </c>
      <c r="M283" t="str">
        <f t="shared" si="19"/>
        <v>Up to $10</v>
      </c>
      <c r="N283" s="22">
        <v>2.38</v>
      </c>
      <c r="O283" s="22">
        <v>4.95</v>
      </c>
    </row>
    <row r="284" spans="1:15">
      <c r="A284" s="22" t="s">
        <v>230</v>
      </c>
      <c r="B284" s="22" t="s">
        <v>843</v>
      </c>
      <c r="C284" s="22">
        <v>2.5229999999999999E-2</v>
      </c>
      <c r="D284" s="22">
        <v>0.01</v>
      </c>
      <c r="E284" s="22">
        <v>1210000</v>
      </c>
      <c r="F284" s="22">
        <v>2900</v>
      </c>
      <c r="G284" s="22">
        <v>48090000</v>
      </c>
      <c r="H284">
        <f>Sheet1[[#This Row],[Volume (24h)]]/Sheet1[[#This Row],[Circulating Supply]]</f>
        <v>6.030359742150135E-5</v>
      </c>
      <c r="I284">
        <f>RANK(Sheet1[[#This Row],[Market Cap]],Sheet1[Market Cap],0)</f>
        <v>267</v>
      </c>
      <c r="J284" t="str">
        <f t="shared" si="16"/>
        <v>0-0.5</v>
      </c>
      <c r="K284" t="str">
        <f t="shared" si="17"/>
        <v>$0-$50</v>
      </c>
      <c r="L284">
        <f t="shared" si="18"/>
        <v>2.5227477252274772E-2</v>
      </c>
      <c r="M284" t="str">
        <f t="shared" si="19"/>
        <v>Up to $10</v>
      </c>
      <c r="N284" s="22">
        <v>1.26</v>
      </c>
      <c r="O284" s="22">
        <v>14.21</v>
      </c>
    </row>
    <row r="285" spans="1:15">
      <c r="A285" s="22" t="s">
        <v>844</v>
      </c>
      <c r="B285" s="22" t="s">
        <v>845</v>
      </c>
      <c r="C285" s="22">
        <v>7.1887000000000006E-2</v>
      </c>
      <c r="D285" s="22">
        <v>0</v>
      </c>
      <c r="E285" s="22">
        <v>1210000</v>
      </c>
      <c r="F285" s="22"/>
      <c r="G285" s="23" t="s">
        <v>846</v>
      </c>
      <c r="H285">
        <f>Sheet1[[#This Row],[Volume (24h)]]/Sheet1[[#This Row],[Circulating Supply]]</f>
        <v>0</v>
      </c>
      <c r="I285">
        <f>RANK(Sheet1[[#This Row],[Market Cap]],Sheet1[Market Cap],0)</f>
        <v>267</v>
      </c>
      <c r="J285" t="str">
        <f t="shared" si="16"/>
        <v>0-0.5</v>
      </c>
      <c r="K285" t="str">
        <f t="shared" si="17"/>
        <v>$0-$50</v>
      </c>
      <c r="L285">
        <f t="shared" si="18"/>
        <v>7.1887000000000006E-2</v>
      </c>
      <c r="M285" t="str">
        <f t="shared" si="19"/>
        <v>Up to $10</v>
      </c>
      <c r="N285" s="22">
        <v>2.76</v>
      </c>
      <c r="O285" s="22">
        <v>31.02</v>
      </c>
    </row>
    <row r="286" spans="1:15">
      <c r="A286" s="22" t="s">
        <v>847</v>
      </c>
      <c r="B286" s="22" t="s">
        <v>848</v>
      </c>
      <c r="C286" s="22">
        <v>5.7289999999999997E-3</v>
      </c>
      <c r="D286" s="22">
        <v>0.49</v>
      </c>
      <c r="E286" s="22">
        <v>1210000</v>
      </c>
      <c r="F286" s="22">
        <v>163140</v>
      </c>
      <c r="G286" s="22">
        <v>211520000</v>
      </c>
      <c r="H286">
        <f>Sheet1[[#This Row],[Volume (24h)]]/Sheet1[[#This Row],[Circulating Supply]]</f>
        <v>7.7127458396369138E-4</v>
      </c>
      <c r="I286">
        <f>RANK(Sheet1[[#This Row],[Market Cap]],Sheet1[Market Cap],0)</f>
        <v>267</v>
      </c>
      <c r="J286" t="str">
        <f t="shared" si="16"/>
        <v>0-0.5</v>
      </c>
      <c r="K286" t="str">
        <f t="shared" si="17"/>
        <v>$0-$50</v>
      </c>
      <c r="L286">
        <f t="shared" si="18"/>
        <v>5.7010647825654296E-3</v>
      </c>
      <c r="M286" t="str">
        <f t="shared" si="19"/>
        <v>Up to $10</v>
      </c>
      <c r="N286" s="22">
        <v>1.54</v>
      </c>
      <c r="O286" s="22">
        <v>72.790000000000006</v>
      </c>
    </row>
    <row r="287" spans="1:15">
      <c r="A287" s="22" t="s">
        <v>849</v>
      </c>
      <c r="B287" s="22" t="s">
        <v>850</v>
      </c>
      <c r="C287" s="22">
        <v>0.38800000000000001</v>
      </c>
      <c r="D287" s="22">
        <v>0.23</v>
      </c>
      <c r="E287" s="22">
        <v>1040000</v>
      </c>
      <c r="F287" s="22"/>
      <c r="G287" s="22">
        <v>2700000</v>
      </c>
      <c r="H287">
        <f>Sheet1[[#This Row],[Volume (24h)]]/Sheet1[[#This Row],[Circulating Supply]]</f>
        <v>0</v>
      </c>
      <c r="I287">
        <f>RANK(Sheet1[[#This Row],[Market Cap]],Sheet1[Market Cap],0)</f>
        <v>272</v>
      </c>
      <c r="J287" t="str">
        <f t="shared" si="16"/>
        <v>0-0.5</v>
      </c>
      <c r="K287" t="str">
        <f t="shared" si="17"/>
        <v>$0-$50</v>
      </c>
      <c r="L287">
        <f t="shared" si="18"/>
        <v>0.38710964781003693</v>
      </c>
      <c r="M287" t="str">
        <f t="shared" si="19"/>
        <v>Up to $10</v>
      </c>
      <c r="N287" s="22">
        <v>1.1200000000000001</v>
      </c>
      <c r="O287" s="22">
        <v>43.32</v>
      </c>
    </row>
    <row r="288" spans="1:15">
      <c r="A288" s="22" t="s">
        <v>851</v>
      </c>
      <c r="B288" s="22" t="s">
        <v>852</v>
      </c>
      <c r="C288" s="22">
        <v>1.8929999999999999E-3</v>
      </c>
      <c r="D288" s="22">
        <v>0.26</v>
      </c>
      <c r="E288" s="22">
        <v>1040000</v>
      </c>
      <c r="F288" s="22">
        <v>6910</v>
      </c>
      <c r="G288" s="22">
        <v>552480000</v>
      </c>
      <c r="H288">
        <f>Sheet1[[#This Row],[Volume (24h)]]/Sheet1[[#This Row],[Circulating Supply]]</f>
        <v>1.2507240081088907E-5</v>
      </c>
      <c r="I288">
        <f>RANK(Sheet1[[#This Row],[Market Cap]],Sheet1[Market Cap],0)</f>
        <v>272</v>
      </c>
      <c r="J288" t="str">
        <f t="shared" si="16"/>
        <v>0-0.5</v>
      </c>
      <c r="K288" t="str">
        <f t="shared" si="17"/>
        <v>$0-$50</v>
      </c>
      <c r="L288">
        <f t="shared" si="18"/>
        <v>1.8880909634949132E-3</v>
      </c>
      <c r="M288" t="str">
        <f t="shared" si="19"/>
        <v>&gt;= $10</v>
      </c>
      <c r="N288" s="22">
        <v>3.81</v>
      </c>
      <c r="O288" s="22">
        <v>4</v>
      </c>
    </row>
    <row r="289" spans="1:15">
      <c r="A289" s="22" t="s">
        <v>853</v>
      </c>
      <c r="B289" s="22" t="s">
        <v>854</v>
      </c>
      <c r="C289" s="22">
        <v>1.044E-3</v>
      </c>
      <c r="D289" s="22">
        <v>0.03</v>
      </c>
      <c r="E289" s="22">
        <v>1040000</v>
      </c>
      <c r="F289" s="22">
        <v>1.26</v>
      </c>
      <c r="G289" s="22">
        <v>1000000000</v>
      </c>
      <c r="H289">
        <f>Sheet1[[#This Row],[Volume (24h)]]/Sheet1[[#This Row],[Circulating Supply]]</f>
        <v>1.26E-9</v>
      </c>
      <c r="I289">
        <f>RANK(Sheet1[[#This Row],[Market Cap]],Sheet1[Market Cap],0)</f>
        <v>272</v>
      </c>
      <c r="J289" t="str">
        <f t="shared" si="16"/>
        <v>0-0.5</v>
      </c>
      <c r="K289" t="str">
        <f t="shared" si="17"/>
        <v>Above $50</v>
      </c>
      <c r="L289">
        <f t="shared" si="18"/>
        <v>1.0436868939318205E-3</v>
      </c>
      <c r="M289" t="str">
        <f t="shared" si="19"/>
        <v>&gt;= $10</v>
      </c>
      <c r="N289" s="22">
        <v>0.33</v>
      </c>
      <c r="O289" s="22">
        <v>0.33</v>
      </c>
    </row>
    <row r="290" spans="1:15">
      <c r="A290" s="22" t="s">
        <v>855</v>
      </c>
      <c r="B290" s="22" t="s">
        <v>856</v>
      </c>
      <c r="C290" s="22">
        <v>10.06</v>
      </c>
      <c r="D290" s="22">
        <v>0.19</v>
      </c>
      <c r="E290" s="22">
        <v>1030000</v>
      </c>
      <c r="F290" s="22">
        <v>557250</v>
      </c>
      <c r="G290" s="22">
        <v>103080</v>
      </c>
      <c r="H290">
        <f>Sheet1[[#This Row],[Volume (24h)]]/Sheet1[[#This Row],[Circulating Supply]]</f>
        <v>5.4059953434225845</v>
      </c>
      <c r="I290">
        <f>RANK(Sheet1[[#This Row],[Market Cap]],Sheet1[Market Cap],0)</f>
        <v>275</v>
      </c>
      <c r="J290" t="str">
        <f t="shared" si="16"/>
        <v>0-0.5</v>
      </c>
      <c r="K290" t="str">
        <f t="shared" si="17"/>
        <v>$0-$50</v>
      </c>
      <c r="L290">
        <f t="shared" si="18"/>
        <v>10.040922247729315</v>
      </c>
      <c r="M290" t="str">
        <f t="shared" si="19"/>
        <v>Up to $10</v>
      </c>
      <c r="N290" s="22">
        <v>0.12</v>
      </c>
      <c r="O290" s="22">
        <v>5.85</v>
      </c>
    </row>
    <row r="291" spans="1:15">
      <c r="A291" s="22" t="s">
        <v>857</v>
      </c>
      <c r="B291" s="22" t="s">
        <v>858</v>
      </c>
      <c r="C291" s="22">
        <v>63.35</v>
      </c>
      <c r="D291" s="22">
        <v>0.22</v>
      </c>
      <c r="E291" s="22">
        <v>1030000</v>
      </c>
      <c r="F291" s="22">
        <v>1130000</v>
      </c>
      <c r="G291" s="22">
        <v>16360</v>
      </c>
      <c r="H291">
        <f>Sheet1[[#This Row],[Volume (24h)]]/Sheet1[[#This Row],[Circulating Supply]]</f>
        <v>69.070904645476773</v>
      </c>
      <c r="I291">
        <f>RANK(Sheet1[[#This Row],[Market Cap]],Sheet1[Market Cap],0)</f>
        <v>275</v>
      </c>
      <c r="J291" t="str">
        <f t="shared" si="16"/>
        <v>0-0.5</v>
      </c>
      <c r="K291" t="str">
        <f t="shared" si="17"/>
        <v>Above $50</v>
      </c>
      <c r="L291">
        <f t="shared" si="18"/>
        <v>63.210935940929957</v>
      </c>
      <c r="M291" t="str">
        <f t="shared" si="19"/>
        <v>&gt;= $10</v>
      </c>
      <c r="N291" s="22">
        <v>5.56</v>
      </c>
      <c r="O291" s="22">
        <v>9.69</v>
      </c>
    </row>
    <row r="292" spans="1:15">
      <c r="A292" s="22" t="s">
        <v>859</v>
      </c>
      <c r="B292" s="22" t="s">
        <v>860</v>
      </c>
      <c r="C292" s="22">
        <v>2.1530000000000001E-2</v>
      </c>
      <c r="D292" s="22">
        <v>0.9</v>
      </c>
      <c r="E292" s="22">
        <v>1030000</v>
      </c>
      <c r="F292" s="22">
        <v>272.37</v>
      </c>
      <c r="G292" s="22">
        <v>47890000</v>
      </c>
      <c r="H292">
        <f>Sheet1[[#This Row],[Volume (24h)]]/Sheet1[[#This Row],[Circulating Supply]]</f>
        <v>5.6874086448110251E-6</v>
      </c>
      <c r="I292">
        <f>RANK(Sheet1[[#This Row],[Market Cap]],Sheet1[Market Cap],0)</f>
        <v>275</v>
      </c>
      <c r="J292" t="str">
        <f t="shared" si="16"/>
        <v>0-0.5</v>
      </c>
      <c r="K292" t="str">
        <f t="shared" si="17"/>
        <v>Above $50</v>
      </c>
      <c r="L292">
        <f t="shared" si="18"/>
        <v>2.1337958374628346E-2</v>
      </c>
      <c r="M292" t="str">
        <f t="shared" si="19"/>
        <v>&gt;= $10</v>
      </c>
      <c r="N292" s="22">
        <v>17.86</v>
      </c>
      <c r="O292" s="22">
        <v>47.17</v>
      </c>
    </row>
    <row r="293" spans="1:15">
      <c r="A293" s="22" t="s">
        <v>861</v>
      </c>
      <c r="B293" s="22" t="s">
        <v>862</v>
      </c>
      <c r="C293" s="22">
        <v>78.67</v>
      </c>
      <c r="D293" s="22">
        <v>0.04</v>
      </c>
      <c r="E293" s="22">
        <v>1030000</v>
      </c>
      <c r="F293" s="22">
        <v>162320</v>
      </c>
      <c r="G293" s="22">
        <v>13090</v>
      </c>
      <c r="H293">
        <f>Sheet1[[#This Row],[Volume (24h)]]/Sheet1[[#This Row],[Circulating Supply]]</f>
        <v>12.400305576776166</v>
      </c>
      <c r="I293">
        <f>RANK(Sheet1[[#This Row],[Market Cap]],Sheet1[Market Cap],0)</f>
        <v>275</v>
      </c>
      <c r="J293" t="str">
        <f t="shared" si="16"/>
        <v>0-0.5</v>
      </c>
      <c r="K293" t="str">
        <f t="shared" si="17"/>
        <v>Above $50</v>
      </c>
      <c r="L293">
        <f t="shared" si="18"/>
        <v>78.638544582167142</v>
      </c>
      <c r="M293" t="str">
        <f t="shared" si="19"/>
        <v>&gt;= $10</v>
      </c>
      <c r="N293" s="22">
        <v>0.28000000000000003</v>
      </c>
      <c r="O293" s="22">
        <v>1.6</v>
      </c>
    </row>
    <row r="294" spans="1:15">
      <c r="A294" s="22" t="s">
        <v>863</v>
      </c>
      <c r="B294" s="22" t="s">
        <v>864</v>
      </c>
      <c r="C294" s="22">
        <v>111.75</v>
      </c>
      <c r="D294" s="22">
        <v>0.02</v>
      </c>
      <c r="E294" s="22">
        <v>1020000</v>
      </c>
      <c r="F294" s="22">
        <v>221800</v>
      </c>
      <c r="G294" s="22">
        <v>9200</v>
      </c>
      <c r="H294">
        <f>Sheet1[[#This Row],[Volume (24h)]]/Sheet1[[#This Row],[Circulating Supply]]</f>
        <v>24.108695652173914</v>
      </c>
      <c r="I294">
        <f>RANK(Sheet1[[#This Row],[Market Cap]],Sheet1[Market Cap],0)</f>
        <v>279</v>
      </c>
      <c r="J294" t="str">
        <f t="shared" si="16"/>
        <v>0-0.5</v>
      </c>
      <c r="K294" t="str">
        <f t="shared" si="17"/>
        <v>$0-$50</v>
      </c>
      <c r="L294">
        <f t="shared" si="18"/>
        <v>111.72765446910618</v>
      </c>
      <c r="M294" t="str">
        <f t="shared" si="19"/>
        <v>Up to $10</v>
      </c>
      <c r="N294" s="22">
        <v>2.63</v>
      </c>
      <c r="O294" s="22">
        <v>6.26</v>
      </c>
    </row>
    <row r="295" spans="1:15">
      <c r="A295" s="22" t="s">
        <v>865</v>
      </c>
      <c r="B295" s="22" t="s">
        <v>866</v>
      </c>
      <c r="C295" s="22">
        <v>102.68</v>
      </c>
      <c r="D295" s="22">
        <v>0</v>
      </c>
      <c r="E295" s="22">
        <v>1020000</v>
      </c>
      <c r="F295" s="22"/>
      <c r="G295" s="22">
        <v>10000</v>
      </c>
      <c r="H295">
        <f>Sheet1[[#This Row],[Volume (24h)]]/Sheet1[[#This Row],[Circulating Supply]]</f>
        <v>0</v>
      </c>
      <c r="I295">
        <f>RANK(Sheet1[[#This Row],[Market Cap]],Sheet1[Market Cap],0)</f>
        <v>279</v>
      </c>
      <c r="J295" t="str">
        <f t="shared" si="16"/>
        <v>0-0.5</v>
      </c>
      <c r="K295" t="str">
        <f t="shared" si="17"/>
        <v>$0-$50</v>
      </c>
      <c r="L295">
        <f t="shared" si="18"/>
        <v>102.68</v>
      </c>
      <c r="M295" t="str">
        <f t="shared" si="19"/>
        <v>Up to $10</v>
      </c>
      <c r="N295" s="22">
        <v>1.1200000000000001</v>
      </c>
      <c r="O295" s="22">
        <v>2.86</v>
      </c>
    </row>
    <row r="296" spans="1:15">
      <c r="A296" s="22" t="s">
        <v>867</v>
      </c>
      <c r="B296" s="22" t="s">
        <v>868</v>
      </c>
      <c r="C296" s="22">
        <v>3.5349999999999997E-4</v>
      </c>
      <c r="D296" s="22">
        <v>0</v>
      </c>
      <c r="E296" s="22">
        <v>1020000</v>
      </c>
      <c r="F296" s="22"/>
      <c r="G296" s="22">
        <v>2900000000</v>
      </c>
      <c r="H296">
        <f>Sheet1[[#This Row],[Volume (24h)]]/Sheet1[[#This Row],[Circulating Supply]]</f>
        <v>0</v>
      </c>
      <c r="I296">
        <f>RANK(Sheet1[[#This Row],[Market Cap]],Sheet1[Market Cap],0)</f>
        <v>279</v>
      </c>
      <c r="J296" t="str">
        <f t="shared" si="16"/>
        <v>0-0.5</v>
      </c>
      <c r="K296" t="str">
        <f t="shared" si="17"/>
        <v>$0-$50</v>
      </c>
      <c r="L296">
        <f t="shared" si="18"/>
        <v>3.5349999999999997E-4</v>
      </c>
      <c r="M296" t="str">
        <f t="shared" si="19"/>
        <v>Up to $10</v>
      </c>
      <c r="N296" s="22">
        <v>1.36</v>
      </c>
      <c r="O296" s="22">
        <v>29.87</v>
      </c>
    </row>
    <row r="297" spans="1:15">
      <c r="A297" s="22" t="s">
        <v>869</v>
      </c>
      <c r="B297" s="22" t="s">
        <v>870</v>
      </c>
      <c r="C297" s="22">
        <v>8.2010000000000004E-4</v>
      </c>
      <c r="D297" s="22">
        <v>0.01</v>
      </c>
      <c r="E297" s="22">
        <v>1020000</v>
      </c>
      <c r="F297" s="22">
        <v>1310</v>
      </c>
      <c r="G297" s="22">
        <v>1240000000</v>
      </c>
      <c r="H297">
        <f>Sheet1[[#This Row],[Volume (24h)]]/Sheet1[[#This Row],[Circulating Supply]]</f>
        <v>1.0564516129032257E-6</v>
      </c>
      <c r="I297">
        <f>RANK(Sheet1[[#This Row],[Market Cap]],Sheet1[Market Cap],0)</f>
        <v>279</v>
      </c>
      <c r="J297" t="str">
        <f t="shared" si="16"/>
        <v>0-0.5</v>
      </c>
      <c r="K297" t="str">
        <f t="shared" si="17"/>
        <v>$0-$50</v>
      </c>
      <c r="L297">
        <f t="shared" si="18"/>
        <v>8.2001799820017999E-4</v>
      </c>
      <c r="M297" t="str">
        <f t="shared" si="19"/>
        <v>Up to $10</v>
      </c>
      <c r="N297" s="22">
        <v>2.04</v>
      </c>
      <c r="O297" s="22">
        <v>42.26</v>
      </c>
    </row>
    <row r="298" spans="1:15">
      <c r="A298" s="22" t="s">
        <v>871</v>
      </c>
      <c r="B298" s="22" t="s">
        <v>872</v>
      </c>
      <c r="C298" s="22">
        <v>5.0970000000000001E-2</v>
      </c>
      <c r="D298" s="22">
        <v>0</v>
      </c>
      <c r="E298" s="22">
        <v>1010000</v>
      </c>
      <c r="F298" s="22"/>
      <c r="G298" s="22">
        <v>19950000</v>
      </c>
      <c r="H298">
        <f>Sheet1[[#This Row],[Volume (24h)]]/Sheet1[[#This Row],[Circulating Supply]]</f>
        <v>0</v>
      </c>
      <c r="I298">
        <f>RANK(Sheet1[[#This Row],[Market Cap]],Sheet1[Market Cap],0)</f>
        <v>283</v>
      </c>
      <c r="J298" t="str">
        <f t="shared" si="16"/>
        <v>0-0.5</v>
      </c>
      <c r="K298" t="str">
        <f t="shared" si="17"/>
        <v>$0-$50</v>
      </c>
      <c r="L298">
        <f t="shared" si="18"/>
        <v>5.0970000000000001E-2</v>
      </c>
      <c r="M298" t="str">
        <f t="shared" si="19"/>
        <v>Up to $10</v>
      </c>
      <c r="N298" s="22">
        <v>4.46</v>
      </c>
      <c r="O298" s="22">
        <v>45.49</v>
      </c>
    </row>
    <row r="299" spans="1:15">
      <c r="A299" s="22" t="s">
        <v>873</v>
      </c>
      <c r="B299" s="22" t="s">
        <v>874</v>
      </c>
      <c r="C299" s="22">
        <v>1.56E-4</v>
      </c>
      <c r="D299" s="22">
        <v>0.02</v>
      </c>
      <c r="E299" s="22">
        <v>1010000</v>
      </c>
      <c r="F299" s="22">
        <v>10650</v>
      </c>
      <c r="G299" s="22">
        <v>6510000000</v>
      </c>
      <c r="H299">
        <f>Sheet1[[#This Row],[Volume (24h)]]/Sheet1[[#This Row],[Circulating Supply]]</f>
        <v>1.6359447004608296E-6</v>
      </c>
      <c r="I299">
        <f>RANK(Sheet1[[#This Row],[Market Cap]],Sheet1[Market Cap],0)</f>
        <v>283</v>
      </c>
      <c r="J299" t="str">
        <f t="shared" si="16"/>
        <v>0-0.5</v>
      </c>
      <c r="K299" t="str">
        <f t="shared" si="17"/>
        <v>$0-$50</v>
      </c>
      <c r="L299">
        <f t="shared" si="18"/>
        <v>1.5596880623875225E-4</v>
      </c>
      <c r="M299" t="str">
        <f t="shared" si="19"/>
        <v>Up to $10</v>
      </c>
      <c r="N299" s="22">
        <v>12.88</v>
      </c>
      <c r="O299" s="22">
        <v>10.49</v>
      </c>
    </row>
    <row r="300" spans="1:15">
      <c r="A300" s="22" t="s">
        <v>875</v>
      </c>
      <c r="B300" s="22" t="s">
        <v>876</v>
      </c>
      <c r="C300" s="22">
        <v>0.2024</v>
      </c>
      <c r="D300" s="22">
        <v>0.02</v>
      </c>
      <c r="E300" s="22">
        <v>1010000</v>
      </c>
      <c r="F300" s="22">
        <v>1180</v>
      </c>
      <c r="G300" s="22">
        <v>5000000</v>
      </c>
      <c r="H300">
        <f>Sheet1[[#This Row],[Volume (24h)]]/Sheet1[[#This Row],[Circulating Supply]]</f>
        <v>2.3599999999999999E-4</v>
      </c>
      <c r="I300">
        <f>RANK(Sheet1[[#This Row],[Market Cap]],Sheet1[Market Cap],0)</f>
        <v>283</v>
      </c>
      <c r="J300" t="str">
        <f t="shared" si="16"/>
        <v>0-0.5</v>
      </c>
      <c r="K300" t="str">
        <f t="shared" si="17"/>
        <v>$0-$50</v>
      </c>
      <c r="L300">
        <f t="shared" si="18"/>
        <v>0.20235952809438112</v>
      </c>
      <c r="M300" t="str">
        <f t="shared" si="19"/>
        <v>Up to $10</v>
      </c>
      <c r="N300" s="22">
        <v>0.03</v>
      </c>
      <c r="O300" s="22">
        <v>0.06</v>
      </c>
    </row>
    <row r="301" spans="1:15">
      <c r="A301" s="22" t="s">
        <v>877</v>
      </c>
      <c r="B301" s="22" t="s">
        <v>878</v>
      </c>
      <c r="C301" s="22">
        <v>1.0089999999999999E-3</v>
      </c>
      <c r="D301" s="22">
        <v>0.55000000000000004</v>
      </c>
      <c r="E301" s="22">
        <v>1000000</v>
      </c>
      <c r="F301" s="22">
        <v>69140</v>
      </c>
      <c r="G301" s="22">
        <v>999920000</v>
      </c>
      <c r="H301">
        <f>Sheet1[[#This Row],[Volume (24h)]]/Sheet1[[#This Row],[Circulating Supply]]</f>
        <v>6.9145531642531406E-5</v>
      </c>
      <c r="I301">
        <f>RANK(Sheet1[[#This Row],[Market Cap]],Sheet1[Market Cap],0)</f>
        <v>286</v>
      </c>
      <c r="J301" t="str">
        <f t="shared" si="16"/>
        <v>0-0.5</v>
      </c>
      <c r="K301" t="str">
        <f t="shared" si="17"/>
        <v>$0-$50</v>
      </c>
      <c r="L301">
        <f t="shared" si="18"/>
        <v>1.0034808552958725E-3</v>
      </c>
      <c r="M301" t="str">
        <f t="shared" si="19"/>
        <v>Up to $10</v>
      </c>
      <c r="N301" s="22">
        <v>4.22</v>
      </c>
      <c r="O301" s="22">
        <v>35.78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246"/>
  <sheetViews>
    <sheetView workbookViewId="0">
      <selection activeCell="B282" sqref="B282"/>
    </sheetView>
  </sheetViews>
  <sheetFormatPr defaultColWidth="9" defaultRowHeight="14.4"/>
  <cols>
    <col min="1" max="1" width="45.33203125" customWidth="1"/>
    <col min="2" max="2" width="19.109375" customWidth="1"/>
  </cols>
  <sheetData>
    <row r="1" spans="1:2">
      <c r="A1" t="s">
        <v>0</v>
      </c>
      <c r="B1" t="s">
        <v>1</v>
      </c>
    </row>
    <row r="3" spans="1:2">
      <c r="A3" t="s">
        <v>2</v>
      </c>
      <c r="B3" t="s">
        <v>3</v>
      </c>
    </row>
    <row r="4" spans="1:2">
      <c r="A4" s="2" t="s">
        <v>4</v>
      </c>
      <c r="B4">
        <v>56830000000</v>
      </c>
    </row>
    <row r="5" spans="1:2">
      <c r="A5" s="2" t="s">
        <v>5</v>
      </c>
      <c r="B5">
        <v>30990000000</v>
      </c>
    </row>
    <row r="6" spans="1:2">
      <c r="A6" s="2" t="s">
        <v>6</v>
      </c>
      <c r="B6">
        <v>1230000000</v>
      </c>
    </row>
    <row r="7" spans="1:2">
      <c r="A7" s="2" t="s">
        <v>7</v>
      </c>
      <c r="B7">
        <v>1160000000</v>
      </c>
    </row>
    <row r="8" spans="1:2">
      <c r="A8" s="2" t="s">
        <v>8</v>
      </c>
      <c r="B8">
        <v>663280000</v>
      </c>
    </row>
    <row r="9" spans="1:2">
      <c r="A9" s="2" t="s">
        <v>9</v>
      </c>
      <c r="B9">
        <v>473310000</v>
      </c>
    </row>
    <row r="10" spans="1:2">
      <c r="A10" s="2" t="s">
        <v>10</v>
      </c>
      <c r="B10">
        <v>385760000</v>
      </c>
    </row>
    <row r="11" spans="1:2">
      <c r="A11" s="2" t="s">
        <v>11</v>
      </c>
      <c r="B11">
        <v>318820000</v>
      </c>
    </row>
    <row r="12" spans="1:2">
      <c r="A12" s="2" t="s">
        <v>12</v>
      </c>
      <c r="B12">
        <v>285310000</v>
      </c>
    </row>
    <row r="13" spans="1:2">
      <c r="A13" s="2" t="s">
        <v>13</v>
      </c>
      <c r="B13">
        <v>93100000</v>
      </c>
    </row>
    <row r="14" spans="1:2">
      <c r="A14" s="2" t="s">
        <v>14</v>
      </c>
      <c r="B14">
        <v>87220000</v>
      </c>
    </row>
    <row r="15" spans="1:2">
      <c r="A15" s="2" t="s">
        <v>15</v>
      </c>
      <c r="B15">
        <v>74140000</v>
      </c>
    </row>
    <row r="16" spans="1:2">
      <c r="A16" s="2" t="s">
        <v>16</v>
      </c>
      <c r="B16">
        <v>53800000</v>
      </c>
    </row>
    <row r="17" spans="1:2">
      <c r="A17" s="2" t="s">
        <v>17</v>
      </c>
      <c r="B17">
        <v>36270000</v>
      </c>
    </row>
    <row r="18" spans="1:2">
      <c r="A18" s="2" t="s">
        <v>18</v>
      </c>
      <c r="B18">
        <v>33610000</v>
      </c>
    </row>
    <row r="19" spans="1:2">
      <c r="A19" s="2" t="s">
        <v>19</v>
      </c>
      <c r="B19">
        <v>28930000</v>
      </c>
    </row>
    <row r="20" spans="1:2">
      <c r="A20" s="2" t="s">
        <v>20</v>
      </c>
      <c r="B20">
        <v>27530000</v>
      </c>
    </row>
    <row r="21" spans="1:2">
      <c r="A21" s="2" t="s">
        <v>21</v>
      </c>
      <c r="B21">
        <v>25600000</v>
      </c>
    </row>
    <row r="22" spans="1:2">
      <c r="A22" s="2" t="s">
        <v>22</v>
      </c>
      <c r="B22">
        <v>24540000</v>
      </c>
    </row>
    <row r="23" spans="1:2">
      <c r="A23" s="2" t="s">
        <v>23</v>
      </c>
      <c r="B23">
        <v>24390000</v>
      </c>
    </row>
    <row r="24" spans="1:2">
      <c r="A24" s="2" t="s">
        <v>24</v>
      </c>
      <c r="B24">
        <v>23780000</v>
      </c>
    </row>
    <row r="25" spans="1:2">
      <c r="A25" s="2" t="s">
        <v>25</v>
      </c>
      <c r="B25">
        <v>19250000</v>
      </c>
    </row>
    <row r="26" spans="1:2">
      <c r="A26" s="2" t="s">
        <v>26</v>
      </c>
      <c r="B26">
        <v>16650000</v>
      </c>
    </row>
    <row r="27" spans="1:2">
      <c r="A27" s="2" t="s">
        <v>27</v>
      </c>
      <c r="B27">
        <v>14480000</v>
      </c>
    </row>
    <row r="28" spans="1:2">
      <c r="A28" s="2" t="s">
        <v>28</v>
      </c>
      <c r="B28">
        <v>14190000</v>
      </c>
    </row>
    <row r="29" spans="1:2">
      <c r="A29" s="2" t="s">
        <v>29</v>
      </c>
      <c r="B29">
        <v>14140000</v>
      </c>
    </row>
    <row r="30" spans="1:2">
      <c r="A30" s="2" t="s">
        <v>30</v>
      </c>
      <c r="B30">
        <v>14040000</v>
      </c>
    </row>
    <row r="31" spans="1:2">
      <c r="A31" s="2" t="s">
        <v>31</v>
      </c>
      <c r="B31">
        <v>11920000</v>
      </c>
    </row>
    <row r="32" spans="1:2">
      <c r="A32" s="2" t="s">
        <v>32</v>
      </c>
      <c r="B32">
        <v>10400000</v>
      </c>
    </row>
    <row r="33" spans="1:2">
      <c r="A33" s="2" t="s">
        <v>33</v>
      </c>
      <c r="B33">
        <v>9280000</v>
      </c>
    </row>
    <row r="34" spans="1:2">
      <c r="A34" s="2" t="s">
        <v>34</v>
      </c>
      <c r="B34">
        <v>9000000</v>
      </c>
    </row>
    <row r="35" spans="1:2">
      <c r="A35" s="2" t="s">
        <v>35</v>
      </c>
      <c r="B35">
        <v>8600000</v>
      </c>
    </row>
    <row r="36" spans="1:2">
      <c r="A36" s="2" t="s">
        <v>36</v>
      </c>
      <c r="B36">
        <v>8520000</v>
      </c>
    </row>
    <row r="37" spans="1:2">
      <c r="A37" s="2" t="s">
        <v>37</v>
      </c>
      <c r="B37">
        <v>8450000</v>
      </c>
    </row>
    <row r="38" spans="1:2">
      <c r="A38" s="2" t="s">
        <v>38</v>
      </c>
      <c r="B38">
        <v>7750000</v>
      </c>
    </row>
    <row r="39" spans="1:2">
      <c r="A39" s="2" t="s">
        <v>39</v>
      </c>
      <c r="B39">
        <v>7520000</v>
      </c>
    </row>
    <row r="40" spans="1:2">
      <c r="A40" s="2" t="s">
        <v>40</v>
      </c>
      <c r="B40">
        <v>7470000</v>
      </c>
    </row>
    <row r="41" spans="1:2">
      <c r="A41" s="2" t="s">
        <v>41</v>
      </c>
      <c r="B41">
        <v>7410000</v>
      </c>
    </row>
    <row r="42" spans="1:2">
      <c r="A42" s="2" t="s">
        <v>42</v>
      </c>
      <c r="B42">
        <v>7340000</v>
      </c>
    </row>
    <row r="43" spans="1:2">
      <c r="A43" s="2" t="s">
        <v>43</v>
      </c>
      <c r="B43">
        <v>7320000</v>
      </c>
    </row>
    <row r="44" spans="1:2">
      <c r="A44" s="2" t="s">
        <v>44</v>
      </c>
      <c r="B44">
        <v>7220000</v>
      </c>
    </row>
    <row r="45" spans="1:2">
      <c r="A45" s="2" t="s">
        <v>45</v>
      </c>
      <c r="B45">
        <v>7170000</v>
      </c>
    </row>
    <row r="46" spans="1:2">
      <c r="A46" s="2" t="s">
        <v>46</v>
      </c>
      <c r="B46">
        <v>6900000</v>
      </c>
    </row>
    <row r="47" spans="1:2">
      <c r="A47" s="2" t="s">
        <v>47</v>
      </c>
      <c r="B47">
        <v>6720000</v>
      </c>
    </row>
    <row r="48" spans="1:2">
      <c r="A48" s="2" t="s">
        <v>48</v>
      </c>
      <c r="B48">
        <v>6580000</v>
      </c>
    </row>
    <row r="49" spans="1:2">
      <c r="A49" s="2" t="s">
        <v>49</v>
      </c>
      <c r="B49">
        <v>6260000</v>
      </c>
    </row>
    <row r="50" spans="1:2">
      <c r="A50" s="2" t="s">
        <v>50</v>
      </c>
      <c r="B50">
        <v>6070000</v>
      </c>
    </row>
    <row r="51" spans="1:2">
      <c r="A51" s="2" t="s">
        <v>51</v>
      </c>
      <c r="B51">
        <v>5970000</v>
      </c>
    </row>
    <row r="52" spans="1:2">
      <c r="A52" s="2" t="s">
        <v>52</v>
      </c>
      <c r="B52">
        <v>5440000</v>
      </c>
    </row>
    <row r="53" spans="1:2">
      <c r="A53" s="2" t="s">
        <v>53</v>
      </c>
      <c r="B53">
        <v>5360000</v>
      </c>
    </row>
    <row r="54" spans="1:2">
      <c r="A54" s="2" t="s">
        <v>54</v>
      </c>
      <c r="B54">
        <v>5170000</v>
      </c>
    </row>
    <row r="55" spans="1:2">
      <c r="A55" s="2" t="s">
        <v>55</v>
      </c>
      <c r="B55">
        <v>5090000</v>
      </c>
    </row>
    <row r="56" spans="1:2">
      <c r="A56" s="2" t="s">
        <v>56</v>
      </c>
      <c r="B56">
        <v>5090000</v>
      </c>
    </row>
    <row r="57" spans="1:2">
      <c r="A57" s="2" t="s">
        <v>57</v>
      </c>
      <c r="B57">
        <v>4940000</v>
      </c>
    </row>
    <row r="58" spans="1:2">
      <c r="A58" s="2" t="s">
        <v>58</v>
      </c>
      <c r="B58">
        <v>4740000</v>
      </c>
    </row>
    <row r="59" spans="1:2">
      <c r="A59" s="2" t="s">
        <v>59</v>
      </c>
      <c r="B59">
        <v>4730000</v>
      </c>
    </row>
    <row r="60" spans="1:2">
      <c r="A60" s="2" t="s">
        <v>60</v>
      </c>
      <c r="B60">
        <v>4450000</v>
      </c>
    </row>
    <row r="61" spans="1:2">
      <c r="A61" s="2" t="s">
        <v>61</v>
      </c>
      <c r="B61">
        <v>4330000</v>
      </c>
    </row>
    <row r="62" spans="1:2">
      <c r="A62" s="2" t="s">
        <v>62</v>
      </c>
      <c r="B62">
        <v>4290000</v>
      </c>
    </row>
    <row r="63" spans="1:2">
      <c r="A63" s="2" t="s">
        <v>63</v>
      </c>
      <c r="B63">
        <v>4240000</v>
      </c>
    </row>
    <row r="64" spans="1:2">
      <c r="A64" s="2" t="s">
        <v>64</v>
      </c>
      <c r="B64">
        <v>4120000</v>
      </c>
    </row>
    <row r="65" spans="1:2">
      <c r="A65" s="2" t="s">
        <v>65</v>
      </c>
      <c r="B65">
        <v>4110000</v>
      </c>
    </row>
    <row r="66" spans="1:2">
      <c r="A66" s="2" t="s">
        <v>66</v>
      </c>
      <c r="B66">
        <v>3830000</v>
      </c>
    </row>
    <row r="67" spans="1:2">
      <c r="A67" s="2" t="s">
        <v>67</v>
      </c>
      <c r="B67">
        <v>3640000</v>
      </c>
    </row>
    <row r="68" spans="1:2">
      <c r="A68" s="2" t="s">
        <v>68</v>
      </c>
      <c r="B68">
        <v>3450000</v>
      </c>
    </row>
    <row r="69" spans="1:2">
      <c r="A69" s="2" t="s">
        <v>69</v>
      </c>
      <c r="B69">
        <v>3350000</v>
      </c>
    </row>
    <row r="70" spans="1:2">
      <c r="A70" s="2" t="s">
        <v>70</v>
      </c>
      <c r="B70">
        <v>3260000</v>
      </c>
    </row>
    <row r="71" spans="1:2">
      <c r="A71" s="2" t="s">
        <v>71</v>
      </c>
      <c r="B71">
        <v>3250000</v>
      </c>
    </row>
    <row r="72" spans="1:2">
      <c r="A72" s="2" t="s">
        <v>72</v>
      </c>
      <c r="B72">
        <v>3140000</v>
      </c>
    </row>
    <row r="73" spans="1:2">
      <c r="A73" s="2" t="s">
        <v>73</v>
      </c>
      <c r="B73">
        <v>3100000</v>
      </c>
    </row>
    <row r="74" spans="1:2">
      <c r="A74" s="2" t="s">
        <v>74</v>
      </c>
      <c r="B74">
        <v>3070000</v>
      </c>
    </row>
    <row r="75" spans="1:2">
      <c r="A75" s="2" t="s">
        <v>75</v>
      </c>
      <c r="B75">
        <v>3050000</v>
      </c>
    </row>
    <row r="76" spans="1:2">
      <c r="A76" s="2" t="s">
        <v>76</v>
      </c>
      <c r="B76">
        <v>3020000</v>
      </c>
    </row>
    <row r="77" spans="1:2">
      <c r="A77" s="2" t="s">
        <v>77</v>
      </c>
      <c r="B77">
        <v>3020000</v>
      </c>
    </row>
    <row r="78" spans="1:2">
      <c r="A78" s="2" t="s">
        <v>78</v>
      </c>
      <c r="B78">
        <v>2810000</v>
      </c>
    </row>
    <row r="79" spans="1:2">
      <c r="A79" s="2" t="s">
        <v>79</v>
      </c>
      <c r="B79">
        <v>2800000</v>
      </c>
    </row>
    <row r="80" spans="1:2">
      <c r="A80" s="2" t="s">
        <v>80</v>
      </c>
      <c r="B80">
        <v>2570000</v>
      </c>
    </row>
    <row r="81" spans="1:2">
      <c r="A81" s="2" t="s">
        <v>81</v>
      </c>
      <c r="B81">
        <v>2500000</v>
      </c>
    </row>
    <row r="82" spans="1:2">
      <c r="A82" s="2" t="s">
        <v>82</v>
      </c>
      <c r="B82">
        <v>2490000</v>
      </c>
    </row>
    <row r="83" spans="1:2">
      <c r="A83" s="2" t="s">
        <v>83</v>
      </c>
      <c r="B83">
        <v>2390000</v>
      </c>
    </row>
    <row r="84" spans="1:2">
      <c r="A84" s="2" t="s">
        <v>84</v>
      </c>
      <c r="B84">
        <v>2370000</v>
      </c>
    </row>
    <row r="85" spans="1:2">
      <c r="A85" s="2" t="s">
        <v>85</v>
      </c>
      <c r="B85">
        <v>2350000</v>
      </c>
    </row>
    <row r="86" spans="1:2">
      <c r="A86" s="2" t="s">
        <v>86</v>
      </c>
      <c r="B86">
        <v>2330000</v>
      </c>
    </row>
    <row r="87" spans="1:2">
      <c r="A87" s="2" t="s">
        <v>87</v>
      </c>
      <c r="B87">
        <v>2320000</v>
      </c>
    </row>
    <row r="88" spans="1:2">
      <c r="A88" s="2" t="s">
        <v>88</v>
      </c>
      <c r="B88">
        <v>2220000</v>
      </c>
    </row>
    <row r="89" spans="1:2">
      <c r="A89" s="2" t="s">
        <v>89</v>
      </c>
      <c r="B89">
        <v>2210000</v>
      </c>
    </row>
    <row r="90" spans="1:2">
      <c r="A90" s="2" t="s">
        <v>90</v>
      </c>
      <c r="B90">
        <v>2150000</v>
      </c>
    </row>
    <row r="91" spans="1:2">
      <c r="A91" s="2" t="s">
        <v>91</v>
      </c>
      <c r="B91">
        <v>2130000</v>
      </c>
    </row>
    <row r="92" spans="1:2">
      <c r="A92" s="2" t="s">
        <v>92</v>
      </c>
      <c r="B92">
        <v>2010000</v>
      </c>
    </row>
    <row r="93" spans="1:2">
      <c r="A93" s="2" t="s">
        <v>93</v>
      </c>
      <c r="B93">
        <v>1950000</v>
      </c>
    </row>
    <row r="94" spans="1:2">
      <c r="A94" s="2" t="s">
        <v>94</v>
      </c>
      <c r="B94">
        <v>1870000</v>
      </c>
    </row>
    <row r="95" spans="1:2">
      <c r="A95" s="2" t="s">
        <v>95</v>
      </c>
      <c r="B95">
        <v>1870000</v>
      </c>
    </row>
    <row r="96" spans="1:2">
      <c r="A96" s="2" t="s">
        <v>96</v>
      </c>
      <c r="B96">
        <v>1820000</v>
      </c>
    </row>
    <row r="97" spans="1:2">
      <c r="A97" s="2" t="s">
        <v>97</v>
      </c>
      <c r="B97">
        <v>1810000</v>
      </c>
    </row>
    <row r="98" spans="1:2">
      <c r="A98" s="2" t="s">
        <v>98</v>
      </c>
      <c r="B98">
        <v>1810000</v>
      </c>
    </row>
    <row r="99" spans="1:2">
      <c r="A99" s="2" t="s">
        <v>99</v>
      </c>
      <c r="B99">
        <v>1800000</v>
      </c>
    </row>
    <row r="100" spans="1:2">
      <c r="A100" s="2" t="s">
        <v>100</v>
      </c>
      <c r="B100">
        <v>1770000</v>
      </c>
    </row>
    <row r="101" spans="1:2">
      <c r="A101" s="2" t="s">
        <v>101</v>
      </c>
      <c r="B101">
        <v>1740000</v>
      </c>
    </row>
    <row r="102" spans="1:2">
      <c r="A102" s="2" t="s">
        <v>102</v>
      </c>
      <c r="B102">
        <v>1700000</v>
      </c>
    </row>
    <row r="103" spans="1:2">
      <c r="A103" s="2" t="s">
        <v>103</v>
      </c>
      <c r="B103">
        <v>1670000</v>
      </c>
    </row>
    <row r="104" spans="1:2">
      <c r="A104" s="2" t="s">
        <v>104</v>
      </c>
      <c r="B104">
        <v>1650000</v>
      </c>
    </row>
    <row r="105" spans="1:2">
      <c r="A105" s="2" t="s">
        <v>105</v>
      </c>
      <c r="B105">
        <v>1640000</v>
      </c>
    </row>
    <row r="106" spans="1:2">
      <c r="A106" s="2" t="s">
        <v>106</v>
      </c>
      <c r="B106">
        <v>1620000</v>
      </c>
    </row>
    <row r="107" spans="1:2">
      <c r="A107" s="2" t="s">
        <v>107</v>
      </c>
      <c r="B107">
        <v>1600000</v>
      </c>
    </row>
    <row r="108" spans="1:2">
      <c r="A108" s="2" t="s">
        <v>108</v>
      </c>
      <c r="B108">
        <v>1530000</v>
      </c>
    </row>
    <row r="109" spans="1:2">
      <c r="A109" s="2" t="s">
        <v>109</v>
      </c>
      <c r="B109">
        <v>1410000</v>
      </c>
    </row>
    <row r="110" spans="1:2">
      <c r="A110" s="2" t="s">
        <v>110</v>
      </c>
      <c r="B110">
        <v>1400000</v>
      </c>
    </row>
    <row r="111" spans="1:2">
      <c r="A111" s="2" t="s">
        <v>111</v>
      </c>
      <c r="B111">
        <v>1350000</v>
      </c>
    </row>
    <row r="112" spans="1:2">
      <c r="A112" s="2" t="s">
        <v>112</v>
      </c>
      <c r="B112">
        <v>1330000</v>
      </c>
    </row>
    <row r="113" spans="1:2">
      <c r="A113" s="2" t="s">
        <v>113</v>
      </c>
      <c r="B113">
        <v>1320000</v>
      </c>
    </row>
    <row r="114" spans="1:2">
      <c r="A114" s="2" t="s">
        <v>114</v>
      </c>
      <c r="B114">
        <v>1320000</v>
      </c>
    </row>
    <row r="115" spans="1:2">
      <c r="A115" s="2" t="s">
        <v>115</v>
      </c>
      <c r="B115">
        <v>1290000</v>
      </c>
    </row>
    <row r="116" spans="1:2">
      <c r="A116" s="2" t="s">
        <v>116</v>
      </c>
      <c r="B116">
        <v>1280000</v>
      </c>
    </row>
    <row r="117" spans="1:2">
      <c r="A117" s="2" t="s">
        <v>117</v>
      </c>
      <c r="B117">
        <v>1270000</v>
      </c>
    </row>
    <row r="118" spans="1:2">
      <c r="A118" s="2" t="s">
        <v>118</v>
      </c>
      <c r="B118">
        <v>1240000</v>
      </c>
    </row>
    <row r="119" spans="1:2">
      <c r="A119" s="2" t="s">
        <v>119</v>
      </c>
      <c r="B119">
        <v>1150000</v>
      </c>
    </row>
    <row r="120" spans="1:2">
      <c r="A120" s="2" t="s">
        <v>120</v>
      </c>
      <c r="B120">
        <v>1140000</v>
      </c>
    </row>
    <row r="121" spans="1:2">
      <c r="A121" s="2" t="s">
        <v>121</v>
      </c>
      <c r="B121">
        <v>1130000</v>
      </c>
    </row>
    <row r="122" spans="1:2">
      <c r="A122" s="2" t="s">
        <v>122</v>
      </c>
      <c r="B122">
        <v>1100000</v>
      </c>
    </row>
    <row r="123" spans="1:2">
      <c r="A123" s="2" t="s">
        <v>123</v>
      </c>
      <c r="B123">
        <v>1080000</v>
      </c>
    </row>
    <row r="124" spans="1:2">
      <c r="A124" s="2" t="s">
        <v>124</v>
      </c>
      <c r="B124">
        <v>1050000</v>
      </c>
    </row>
    <row r="125" spans="1:2">
      <c r="A125" s="2" t="s">
        <v>125</v>
      </c>
      <c r="B125">
        <v>1040000</v>
      </c>
    </row>
    <row r="126" spans="1:2">
      <c r="A126" s="2" t="s">
        <v>126</v>
      </c>
      <c r="B126">
        <v>1000000</v>
      </c>
    </row>
    <row r="127" spans="1:2">
      <c r="A127" s="2" t="s">
        <v>127</v>
      </c>
      <c r="B127">
        <v>1000000</v>
      </c>
    </row>
    <row r="128" spans="1:2">
      <c r="A128" s="2" t="s">
        <v>128</v>
      </c>
      <c r="B128">
        <v>806990</v>
      </c>
    </row>
    <row r="129" spans="1:2">
      <c r="A129" s="2" t="s">
        <v>129</v>
      </c>
      <c r="B129">
        <v>798580</v>
      </c>
    </row>
    <row r="130" spans="1:2">
      <c r="A130" s="2" t="s">
        <v>130</v>
      </c>
      <c r="B130">
        <v>786200</v>
      </c>
    </row>
    <row r="131" spans="1:2">
      <c r="A131" s="2" t="s">
        <v>131</v>
      </c>
      <c r="B131">
        <v>773890</v>
      </c>
    </row>
    <row r="132" spans="1:2">
      <c r="A132" s="2" t="s">
        <v>132</v>
      </c>
      <c r="B132">
        <v>762630</v>
      </c>
    </row>
    <row r="133" spans="1:2">
      <c r="A133" s="2" t="s">
        <v>133</v>
      </c>
      <c r="B133">
        <v>698800</v>
      </c>
    </row>
    <row r="134" spans="1:2">
      <c r="A134" s="2" t="s">
        <v>134</v>
      </c>
      <c r="B134">
        <v>692530</v>
      </c>
    </row>
    <row r="135" spans="1:2">
      <c r="A135" s="2" t="s">
        <v>135</v>
      </c>
      <c r="B135">
        <v>671970</v>
      </c>
    </row>
    <row r="136" spans="1:2">
      <c r="A136" s="2" t="s">
        <v>136</v>
      </c>
      <c r="B136">
        <v>667300</v>
      </c>
    </row>
    <row r="137" spans="1:2">
      <c r="A137" s="2" t="s">
        <v>137</v>
      </c>
      <c r="B137">
        <v>587510</v>
      </c>
    </row>
    <row r="138" spans="1:2">
      <c r="A138" s="2" t="s">
        <v>138</v>
      </c>
      <c r="B138">
        <v>581340</v>
      </c>
    </row>
    <row r="139" spans="1:2">
      <c r="A139" s="2" t="s">
        <v>139</v>
      </c>
      <c r="B139">
        <v>549860</v>
      </c>
    </row>
    <row r="140" spans="1:2">
      <c r="A140" s="2" t="s">
        <v>140</v>
      </c>
      <c r="B140">
        <v>540150</v>
      </c>
    </row>
    <row r="141" spans="1:2">
      <c r="A141" s="2" t="s">
        <v>141</v>
      </c>
      <c r="B141">
        <v>520190</v>
      </c>
    </row>
    <row r="142" spans="1:2">
      <c r="A142" s="2" t="s">
        <v>142</v>
      </c>
      <c r="B142">
        <v>504730</v>
      </c>
    </row>
    <row r="143" spans="1:2">
      <c r="A143" s="2" t="s">
        <v>143</v>
      </c>
      <c r="B143">
        <v>477190</v>
      </c>
    </row>
    <row r="144" spans="1:2">
      <c r="A144" s="2" t="s">
        <v>144</v>
      </c>
      <c r="B144">
        <v>474110</v>
      </c>
    </row>
    <row r="145" spans="1:2">
      <c r="A145" s="2" t="s">
        <v>145</v>
      </c>
      <c r="B145">
        <v>468100</v>
      </c>
    </row>
    <row r="146" spans="1:2">
      <c r="A146" s="2" t="s">
        <v>146</v>
      </c>
      <c r="B146">
        <v>463990</v>
      </c>
    </row>
    <row r="147" spans="1:2">
      <c r="A147" s="2" t="s">
        <v>147</v>
      </c>
      <c r="B147">
        <v>448520</v>
      </c>
    </row>
    <row r="148" spans="1:2">
      <c r="A148" s="2" t="s">
        <v>148</v>
      </c>
      <c r="B148">
        <v>441790</v>
      </c>
    </row>
    <row r="149" spans="1:2">
      <c r="A149" s="2" t="s">
        <v>149</v>
      </c>
      <c r="B149">
        <v>432160</v>
      </c>
    </row>
    <row r="150" spans="1:2">
      <c r="A150" s="2" t="s">
        <v>150</v>
      </c>
      <c r="B150">
        <v>430670</v>
      </c>
    </row>
    <row r="151" spans="1:2">
      <c r="A151" s="2" t="s">
        <v>151</v>
      </c>
      <c r="B151">
        <v>430340</v>
      </c>
    </row>
    <row r="152" spans="1:2">
      <c r="A152" s="2" t="s">
        <v>152</v>
      </c>
      <c r="B152">
        <v>384890</v>
      </c>
    </row>
    <row r="153" spans="1:2">
      <c r="A153" s="2" t="s">
        <v>153</v>
      </c>
      <c r="B153">
        <v>375690</v>
      </c>
    </row>
    <row r="154" spans="1:2">
      <c r="A154" s="2" t="s">
        <v>154</v>
      </c>
      <c r="B154">
        <v>305210</v>
      </c>
    </row>
    <row r="155" spans="1:2">
      <c r="A155" s="2" t="s">
        <v>155</v>
      </c>
      <c r="B155">
        <v>301660</v>
      </c>
    </row>
    <row r="156" spans="1:2">
      <c r="A156" s="2" t="s">
        <v>156</v>
      </c>
      <c r="B156">
        <v>279310</v>
      </c>
    </row>
    <row r="157" spans="1:2">
      <c r="A157" s="2" t="s">
        <v>157</v>
      </c>
      <c r="B157">
        <v>277200</v>
      </c>
    </row>
    <row r="158" spans="1:2">
      <c r="A158" s="2" t="s">
        <v>158</v>
      </c>
      <c r="B158">
        <v>267140</v>
      </c>
    </row>
    <row r="159" spans="1:2">
      <c r="A159" s="2" t="s">
        <v>159</v>
      </c>
      <c r="B159">
        <v>260720</v>
      </c>
    </row>
    <row r="160" spans="1:2">
      <c r="A160" s="2" t="s">
        <v>160</v>
      </c>
      <c r="B160">
        <v>256790</v>
      </c>
    </row>
    <row r="161" spans="1:2">
      <c r="A161" s="2" t="s">
        <v>161</v>
      </c>
      <c r="B161">
        <v>249700</v>
      </c>
    </row>
    <row r="162" spans="1:2">
      <c r="A162" s="2" t="s">
        <v>162</v>
      </c>
      <c r="B162">
        <v>249160</v>
      </c>
    </row>
    <row r="163" spans="1:2">
      <c r="A163" s="2" t="s">
        <v>163</v>
      </c>
      <c r="B163">
        <v>247740</v>
      </c>
    </row>
    <row r="164" spans="1:2">
      <c r="A164" s="2" t="s">
        <v>164</v>
      </c>
      <c r="B164">
        <v>239490</v>
      </c>
    </row>
    <row r="165" spans="1:2">
      <c r="A165" s="2" t="s">
        <v>165</v>
      </c>
      <c r="B165">
        <v>236610</v>
      </c>
    </row>
    <row r="166" spans="1:2">
      <c r="A166" s="2" t="s">
        <v>166</v>
      </c>
      <c r="B166">
        <v>232440</v>
      </c>
    </row>
    <row r="167" spans="1:2">
      <c r="A167" s="2" t="s">
        <v>167</v>
      </c>
      <c r="B167">
        <v>230710</v>
      </c>
    </row>
    <row r="168" spans="1:2">
      <c r="A168" s="2" t="s">
        <v>168</v>
      </c>
      <c r="B168">
        <v>223200</v>
      </c>
    </row>
    <row r="169" spans="1:2">
      <c r="A169" s="2" t="s">
        <v>169</v>
      </c>
      <c r="B169">
        <v>221390</v>
      </c>
    </row>
    <row r="170" spans="1:2">
      <c r="A170" s="2" t="s">
        <v>170</v>
      </c>
      <c r="B170">
        <v>218630</v>
      </c>
    </row>
    <row r="171" spans="1:2">
      <c r="A171" s="2" t="s">
        <v>171</v>
      </c>
      <c r="B171">
        <v>202940</v>
      </c>
    </row>
    <row r="172" spans="1:2">
      <c r="A172" s="2" t="s">
        <v>172</v>
      </c>
      <c r="B172">
        <v>187120</v>
      </c>
    </row>
    <row r="173" spans="1:2">
      <c r="A173" s="2" t="s">
        <v>173</v>
      </c>
      <c r="B173">
        <v>182740</v>
      </c>
    </row>
    <row r="174" spans="1:2">
      <c r="A174" s="2" t="s">
        <v>174</v>
      </c>
      <c r="B174">
        <v>175590</v>
      </c>
    </row>
    <row r="175" spans="1:2">
      <c r="A175" s="2" t="s">
        <v>175</v>
      </c>
      <c r="B175">
        <v>169600</v>
      </c>
    </row>
    <row r="176" spans="1:2">
      <c r="A176" s="2" t="s">
        <v>176</v>
      </c>
      <c r="B176">
        <v>162880</v>
      </c>
    </row>
    <row r="177" spans="1:2">
      <c r="A177" s="2" t="s">
        <v>177</v>
      </c>
      <c r="B177">
        <v>156510</v>
      </c>
    </row>
    <row r="178" spans="1:2">
      <c r="A178" s="2" t="s">
        <v>178</v>
      </c>
      <c r="B178">
        <v>155200</v>
      </c>
    </row>
    <row r="179" spans="1:2">
      <c r="A179" s="2" t="s">
        <v>179</v>
      </c>
      <c r="B179">
        <v>152840</v>
      </c>
    </row>
    <row r="180" spans="1:2">
      <c r="A180" s="2" t="s">
        <v>180</v>
      </c>
      <c r="B180">
        <v>151140</v>
      </c>
    </row>
    <row r="181" spans="1:2">
      <c r="A181" s="2" t="s">
        <v>181</v>
      </c>
      <c r="B181">
        <v>148500</v>
      </c>
    </row>
    <row r="182" spans="1:2">
      <c r="A182" s="2" t="s">
        <v>182</v>
      </c>
      <c r="B182">
        <v>138940</v>
      </c>
    </row>
    <row r="183" spans="1:2">
      <c r="A183" s="2" t="s">
        <v>183</v>
      </c>
      <c r="B183">
        <v>118180</v>
      </c>
    </row>
    <row r="184" spans="1:2">
      <c r="A184" s="2" t="s">
        <v>184</v>
      </c>
      <c r="B184">
        <v>115470</v>
      </c>
    </row>
    <row r="185" spans="1:2">
      <c r="A185" s="2" t="s">
        <v>185</v>
      </c>
      <c r="B185">
        <v>112920</v>
      </c>
    </row>
    <row r="186" spans="1:2">
      <c r="A186" s="2" t="s">
        <v>186</v>
      </c>
      <c r="B186">
        <v>109700</v>
      </c>
    </row>
    <row r="187" spans="1:2">
      <c r="A187" s="2" t="s">
        <v>187</v>
      </c>
      <c r="B187">
        <v>100520</v>
      </c>
    </row>
    <row r="188" spans="1:2">
      <c r="A188" s="2" t="s">
        <v>188</v>
      </c>
      <c r="B188">
        <v>95060</v>
      </c>
    </row>
    <row r="189" spans="1:2">
      <c r="A189" s="2" t="s">
        <v>189</v>
      </c>
      <c r="B189">
        <v>92400</v>
      </c>
    </row>
    <row r="190" spans="1:2">
      <c r="A190" s="2" t="s">
        <v>190</v>
      </c>
      <c r="B190">
        <v>92100</v>
      </c>
    </row>
    <row r="191" spans="1:2">
      <c r="A191" s="2" t="s">
        <v>191</v>
      </c>
      <c r="B191">
        <v>87390</v>
      </c>
    </row>
    <row r="192" spans="1:2">
      <c r="A192" s="2" t="s">
        <v>192</v>
      </c>
      <c r="B192">
        <v>84600</v>
      </c>
    </row>
    <row r="193" spans="1:2">
      <c r="A193" s="2" t="s">
        <v>193</v>
      </c>
      <c r="B193">
        <v>78790</v>
      </c>
    </row>
    <row r="194" spans="1:2">
      <c r="A194" s="2" t="s">
        <v>194</v>
      </c>
      <c r="B194">
        <v>75990</v>
      </c>
    </row>
    <row r="195" spans="1:2">
      <c r="A195" s="2" t="s">
        <v>195</v>
      </c>
      <c r="B195">
        <v>75080</v>
      </c>
    </row>
    <row r="196" spans="1:2">
      <c r="A196" s="2" t="s">
        <v>196</v>
      </c>
      <c r="B196">
        <v>64330</v>
      </c>
    </row>
    <row r="197" spans="1:2">
      <c r="A197" s="2" t="s">
        <v>197</v>
      </c>
      <c r="B197">
        <v>56030</v>
      </c>
    </row>
    <row r="198" spans="1:2">
      <c r="A198" s="2" t="s">
        <v>198</v>
      </c>
      <c r="B198">
        <v>54550</v>
      </c>
    </row>
    <row r="199" spans="1:2">
      <c r="A199" s="2" t="s">
        <v>199</v>
      </c>
      <c r="B199">
        <v>49670</v>
      </c>
    </row>
    <row r="200" spans="1:2">
      <c r="A200" s="2" t="s">
        <v>200</v>
      </c>
      <c r="B200">
        <v>45910</v>
      </c>
    </row>
    <row r="201" spans="1:2">
      <c r="A201" s="2" t="s">
        <v>201</v>
      </c>
      <c r="B201">
        <v>41040</v>
      </c>
    </row>
    <row r="202" spans="1:2">
      <c r="A202" s="2" t="s">
        <v>202</v>
      </c>
      <c r="B202">
        <v>39030</v>
      </c>
    </row>
    <row r="203" spans="1:2">
      <c r="A203" s="2" t="s">
        <v>203</v>
      </c>
      <c r="B203">
        <v>36950</v>
      </c>
    </row>
    <row r="204" spans="1:2">
      <c r="A204" s="2" t="s">
        <v>204</v>
      </c>
      <c r="B204">
        <v>36490</v>
      </c>
    </row>
    <row r="205" spans="1:2">
      <c r="A205" s="2" t="s">
        <v>205</v>
      </c>
      <c r="B205">
        <v>30710</v>
      </c>
    </row>
    <row r="206" spans="1:2">
      <c r="A206" s="2" t="s">
        <v>206</v>
      </c>
      <c r="B206">
        <v>30220</v>
      </c>
    </row>
    <row r="207" spans="1:2">
      <c r="A207" s="2" t="s">
        <v>207</v>
      </c>
      <c r="B207">
        <v>25090</v>
      </c>
    </row>
    <row r="208" spans="1:2">
      <c r="A208" s="2" t="s">
        <v>208</v>
      </c>
      <c r="B208">
        <v>23600</v>
      </c>
    </row>
    <row r="209" spans="1:2">
      <c r="A209" s="2" t="s">
        <v>209</v>
      </c>
      <c r="B209">
        <v>23570</v>
      </c>
    </row>
    <row r="210" spans="1:2">
      <c r="A210" s="2" t="s">
        <v>210</v>
      </c>
      <c r="B210">
        <v>23440</v>
      </c>
    </row>
    <row r="211" spans="1:2">
      <c r="A211" s="2" t="s">
        <v>211</v>
      </c>
      <c r="B211">
        <v>23390</v>
      </c>
    </row>
    <row r="212" spans="1:2">
      <c r="A212" s="2" t="s">
        <v>212</v>
      </c>
      <c r="B212">
        <v>23360</v>
      </c>
    </row>
    <row r="213" spans="1:2">
      <c r="A213" s="2" t="s">
        <v>213</v>
      </c>
      <c r="B213">
        <v>18490</v>
      </c>
    </row>
    <row r="214" spans="1:2">
      <c r="A214" s="2" t="s">
        <v>214</v>
      </c>
      <c r="B214">
        <v>17920</v>
      </c>
    </row>
    <row r="215" spans="1:2">
      <c r="A215" s="2" t="s">
        <v>215</v>
      </c>
      <c r="B215">
        <v>15290</v>
      </c>
    </row>
    <row r="216" spans="1:2">
      <c r="A216" s="2" t="s">
        <v>216</v>
      </c>
      <c r="B216">
        <v>13730</v>
      </c>
    </row>
    <row r="217" spans="1:2">
      <c r="A217" s="2" t="s">
        <v>217</v>
      </c>
      <c r="B217">
        <v>13630</v>
      </c>
    </row>
    <row r="218" spans="1:2">
      <c r="A218" s="2" t="s">
        <v>218</v>
      </c>
      <c r="B218">
        <v>11550</v>
      </c>
    </row>
    <row r="219" spans="1:2">
      <c r="A219" s="2" t="s">
        <v>219</v>
      </c>
      <c r="B219">
        <v>10970</v>
      </c>
    </row>
    <row r="220" spans="1:2">
      <c r="A220" s="2" t="s">
        <v>220</v>
      </c>
      <c r="B220">
        <v>9890</v>
      </c>
    </row>
    <row r="221" spans="1:2">
      <c r="A221" s="2" t="s">
        <v>221</v>
      </c>
      <c r="B221">
        <v>8870</v>
      </c>
    </row>
    <row r="222" spans="1:2">
      <c r="A222" s="2" t="s">
        <v>222</v>
      </c>
      <c r="B222">
        <v>8440</v>
      </c>
    </row>
    <row r="223" spans="1:2">
      <c r="A223" s="2" t="s">
        <v>223</v>
      </c>
      <c r="B223">
        <v>8210</v>
      </c>
    </row>
    <row r="224" spans="1:2">
      <c r="A224" s="2" t="s">
        <v>224</v>
      </c>
      <c r="B224">
        <v>7690</v>
      </c>
    </row>
    <row r="225" spans="1:2">
      <c r="A225" s="2" t="s">
        <v>225</v>
      </c>
      <c r="B225">
        <v>5610</v>
      </c>
    </row>
    <row r="226" spans="1:2">
      <c r="A226" s="2" t="s">
        <v>226</v>
      </c>
      <c r="B226">
        <v>5290</v>
      </c>
    </row>
    <row r="227" spans="1:2">
      <c r="A227" s="2" t="s">
        <v>227</v>
      </c>
      <c r="B227">
        <v>4450</v>
      </c>
    </row>
    <row r="228" spans="1:2">
      <c r="A228" s="2" t="s">
        <v>228</v>
      </c>
      <c r="B228">
        <v>4330</v>
      </c>
    </row>
    <row r="229" spans="1:2">
      <c r="A229" s="2" t="s">
        <v>229</v>
      </c>
      <c r="B229">
        <v>3740</v>
      </c>
    </row>
    <row r="230" spans="1:2">
      <c r="A230" s="2" t="s">
        <v>230</v>
      </c>
      <c r="B230">
        <v>3260</v>
      </c>
    </row>
    <row r="231" spans="1:2">
      <c r="A231" s="2" t="s">
        <v>231</v>
      </c>
      <c r="B231">
        <v>2500</v>
      </c>
    </row>
    <row r="232" spans="1:2">
      <c r="A232" s="2" t="s">
        <v>232</v>
      </c>
      <c r="B232">
        <v>2020</v>
      </c>
    </row>
    <row r="233" spans="1:2">
      <c r="A233" s="2" t="s">
        <v>233</v>
      </c>
      <c r="B233">
        <v>1760</v>
      </c>
    </row>
    <row r="234" spans="1:2">
      <c r="A234" s="2" t="s">
        <v>234</v>
      </c>
      <c r="B234">
        <v>1130</v>
      </c>
    </row>
    <row r="235" spans="1:2">
      <c r="A235" s="2" t="s">
        <v>235</v>
      </c>
      <c r="B235">
        <v>917.45</v>
      </c>
    </row>
    <row r="236" spans="1:2">
      <c r="A236" s="2" t="s">
        <v>236</v>
      </c>
      <c r="B236">
        <v>838.91</v>
      </c>
    </row>
    <row r="237" spans="1:2">
      <c r="A237" s="2" t="s">
        <v>237</v>
      </c>
      <c r="B237">
        <v>826.89</v>
      </c>
    </row>
    <row r="238" spans="1:2">
      <c r="A238" s="2" t="s">
        <v>238</v>
      </c>
      <c r="B238">
        <v>445.59</v>
      </c>
    </row>
    <row r="239" spans="1:2">
      <c r="A239" s="2" t="s">
        <v>239</v>
      </c>
      <c r="B239">
        <v>385.44</v>
      </c>
    </row>
    <row r="240" spans="1:2">
      <c r="A240" s="2" t="s">
        <v>240</v>
      </c>
      <c r="B240">
        <v>335.35</v>
      </c>
    </row>
    <row r="241" spans="1:2">
      <c r="A241" s="2" t="s">
        <v>241</v>
      </c>
      <c r="B241">
        <v>326.52999999999997</v>
      </c>
    </row>
    <row r="242" spans="1:2">
      <c r="A242" s="2" t="s">
        <v>242</v>
      </c>
      <c r="B242">
        <v>150.33000000000001</v>
      </c>
    </row>
    <row r="243" spans="1:2">
      <c r="A243" s="2" t="s">
        <v>243</v>
      </c>
      <c r="B243">
        <v>101.67</v>
      </c>
    </row>
    <row r="244" spans="1:2">
      <c r="A244" s="2" t="s">
        <v>244</v>
      </c>
      <c r="B244">
        <v>76.069999999999993</v>
      </c>
    </row>
    <row r="245" spans="1:2">
      <c r="A245" s="2" t="s">
        <v>245</v>
      </c>
      <c r="B245">
        <v>44.18</v>
      </c>
    </row>
    <row r="246" spans="1:2">
      <c r="A246" s="2" t="s">
        <v>246</v>
      </c>
      <c r="B246">
        <v>93340790018.410004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B9"/>
  <sheetViews>
    <sheetView workbookViewId="0">
      <selection activeCell="B5" sqref="B5"/>
    </sheetView>
  </sheetViews>
  <sheetFormatPr defaultColWidth="9" defaultRowHeight="14.4"/>
  <cols>
    <col min="1" max="1" width="12.77734375" customWidth="1"/>
    <col min="2" max="2" width="19.109375" customWidth="1"/>
  </cols>
  <sheetData>
    <row r="1" spans="1:2">
      <c r="A1" t="s">
        <v>0</v>
      </c>
      <c r="B1" t="s">
        <v>1</v>
      </c>
    </row>
    <row r="3" spans="1:2">
      <c r="A3" t="s">
        <v>2</v>
      </c>
      <c r="B3" t="s">
        <v>3</v>
      </c>
    </row>
    <row r="4" spans="1:2">
      <c r="A4" s="2" t="s">
        <v>5</v>
      </c>
      <c r="B4">
        <v>30990000000</v>
      </c>
    </row>
    <row r="5" spans="1:2">
      <c r="A5" s="2" t="s">
        <v>8</v>
      </c>
      <c r="B5">
        <v>663280000</v>
      </c>
    </row>
    <row r="6" spans="1:2">
      <c r="A6" s="2" t="s">
        <v>6</v>
      </c>
      <c r="B6">
        <v>1230000000</v>
      </c>
    </row>
    <row r="7" spans="1:2">
      <c r="A7" s="2" t="s">
        <v>4</v>
      </c>
      <c r="B7">
        <v>56830000000</v>
      </c>
    </row>
    <row r="8" spans="1:2">
      <c r="A8" s="2" t="s">
        <v>7</v>
      </c>
      <c r="B8">
        <v>1160000000</v>
      </c>
    </row>
    <row r="9" spans="1:2">
      <c r="A9" s="2" t="s">
        <v>246</v>
      </c>
      <c r="B9">
        <v>90873280000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3:C304"/>
  <sheetViews>
    <sheetView topLeftCell="A2" workbookViewId="0">
      <selection activeCell="A3" sqref="A3"/>
    </sheetView>
  </sheetViews>
  <sheetFormatPr defaultColWidth="9" defaultRowHeight="14.4"/>
  <cols>
    <col min="1" max="1" width="52.109375" bestFit="1" customWidth="1"/>
    <col min="2" max="2" width="17" customWidth="1"/>
    <col min="3" max="3" width="19.77734375" customWidth="1"/>
  </cols>
  <sheetData>
    <row r="3" spans="1:3">
      <c r="A3" s="26" t="s">
        <v>2</v>
      </c>
      <c r="B3" t="s">
        <v>247</v>
      </c>
      <c r="C3" t="s">
        <v>248</v>
      </c>
    </row>
    <row r="4" spans="1:3">
      <c r="A4" s="2" t="s">
        <v>58</v>
      </c>
      <c r="B4">
        <v>462.54</v>
      </c>
      <c r="C4">
        <v>0.21</v>
      </c>
    </row>
    <row r="5" spans="1:3">
      <c r="A5" s="2" t="s">
        <v>48</v>
      </c>
      <c r="B5">
        <v>6.2762999999999999E-2</v>
      </c>
      <c r="C5">
        <v>0.23</v>
      </c>
    </row>
    <row r="6" spans="1:3">
      <c r="A6" s="2" t="s">
        <v>177</v>
      </c>
      <c r="B6">
        <v>9.1970000000000003E-3</v>
      </c>
      <c r="C6">
        <v>5.71</v>
      </c>
    </row>
    <row r="7" spans="1:3">
      <c r="A7" s="2" t="s">
        <v>104</v>
      </c>
      <c r="B7">
        <v>1.184E-2</v>
      </c>
      <c r="C7">
        <v>1.46</v>
      </c>
    </row>
    <row r="8" spans="1:3">
      <c r="A8" s="2" t="s">
        <v>152</v>
      </c>
      <c r="B8">
        <v>0.121</v>
      </c>
      <c r="C8">
        <v>0.06</v>
      </c>
    </row>
    <row r="9" spans="1:3">
      <c r="A9" s="2" t="s">
        <v>31</v>
      </c>
      <c r="B9">
        <v>8.3150000000000002E-2</v>
      </c>
      <c r="C9">
        <v>0.09</v>
      </c>
    </row>
    <row r="10" spans="1:3">
      <c r="A10" s="2" t="s">
        <v>210</v>
      </c>
      <c r="B10">
        <v>2.174E-4</v>
      </c>
      <c r="C10">
        <v>0.01</v>
      </c>
    </row>
    <row r="11" spans="1:3">
      <c r="A11" s="2" t="s">
        <v>5</v>
      </c>
      <c r="B11">
        <v>80509.13</v>
      </c>
      <c r="C11">
        <v>0.18</v>
      </c>
    </row>
    <row r="12" spans="1:3">
      <c r="A12" s="2" t="s">
        <v>60</v>
      </c>
      <c r="B12">
        <v>6.2956999999999999E-2</v>
      </c>
      <c r="C12">
        <v>0.08</v>
      </c>
    </row>
    <row r="13" spans="1:3">
      <c r="A13" s="2" t="s">
        <v>8</v>
      </c>
      <c r="B13">
        <v>9.6890000000000004E-2</v>
      </c>
      <c r="C13">
        <v>0.93</v>
      </c>
    </row>
    <row r="14" spans="1:3">
      <c r="A14" s="2" t="s">
        <v>6</v>
      </c>
      <c r="B14">
        <v>713.29</v>
      </c>
      <c r="C14">
        <v>0.5</v>
      </c>
    </row>
    <row r="15" spans="1:3">
      <c r="A15" s="2" t="s">
        <v>18</v>
      </c>
      <c r="B15">
        <v>5.3266000000000001E-2</v>
      </c>
      <c r="C15">
        <v>1.98</v>
      </c>
    </row>
    <row r="16" spans="1:3">
      <c r="A16" s="2" t="s">
        <v>256</v>
      </c>
      <c r="B16">
        <v>0</v>
      </c>
      <c r="C16">
        <v>0.01</v>
      </c>
    </row>
    <row r="17" spans="1:3">
      <c r="A17" s="2" t="s">
        <v>27</v>
      </c>
      <c r="B17">
        <v>0.22070000000000001</v>
      </c>
      <c r="C17">
        <v>0.62</v>
      </c>
    </row>
    <row r="18" spans="1:3">
      <c r="A18" s="2" t="s">
        <v>260</v>
      </c>
      <c r="B18">
        <v>165.6</v>
      </c>
      <c r="C18">
        <v>7.0000000000000007E-2</v>
      </c>
    </row>
    <row r="19" spans="1:3">
      <c r="A19" s="2" t="s">
        <v>14</v>
      </c>
      <c r="B19">
        <v>5.0340000000000003E-2</v>
      </c>
      <c r="C19">
        <v>0.04</v>
      </c>
    </row>
    <row r="20" spans="1:3">
      <c r="A20" s="2" t="s">
        <v>165</v>
      </c>
      <c r="B20">
        <v>0.59330000000000005</v>
      </c>
      <c r="C20">
        <v>0.12</v>
      </c>
    </row>
    <row r="21" spans="1:3">
      <c r="A21" s="2" t="s">
        <v>264</v>
      </c>
      <c r="B21">
        <v>9.2090000000000005E-2</v>
      </c>
      <c r="C21">
        <v>0.72</v>
      </c>
    </row>
    <row r="22" spans="1:3">
      <c r="A22" s="2" t="s">
        <v>80</v>
      </c>
      <c r="B22">
        <v>2.3949999999999999E-2</v>
      </c>
      <c r="C22">
        <v>0.45</v>
      </c>
    </row>
    <row r="23" spans="1:3">
      <c r="A23" s="2" t="s">
        <v>133</v>
      </c>
      <c r="B23">
        <v>1.0410000000000001E-2</v>
      </c>
      <c r="C23">
        <v>0.99</v>
      </c>
    </row>
    <row r="24" spans="1:3">
      <c r="A24" s="2" t="s">
        <v>266</v>
      </c>
      <c r="B24">
        <v>0.27900000000000003</v>
      </c>
      <c r="C24">
        <v>0.03</v>
      </c>
    </row>
    <row r="25" spans="1:3">
      <c r="A25" s="2" t="s">
        <v>267</v>
      </c>
      <c r="B25">
        <v>2502.7199999999998</v>
      </c>
      <c r="C25">
        <v>0.12</v>
      </c>
    </row>
    <row r="26" spans="1:3">
      <c r="A26" s="2" t="s">
        <v>137</v>
      </c>
      <c r="B26">
        <v>0.99529999999999996</v>
      </c>
      <c r="C26">
        <v>0.08</v>
      </c>
    </row>
    <row r="27" spans="1:3">
      <c r="A27" s="2" t="s">
        <v>161</v>
      </c>
      <c r="B27">
        <v>0.68469999999999998</v>
      </c>
      <c r="C27">
        <v>0.06</v>
      </c>
    </row>
    <row r="28" spans="1:3">
      <c r="A28" s="2" t="s">
        <v>188</v>
      </c>
      <c r="B28">
        <v>0.10249999999999999</v>
      </c>
      <c r="C28">
        <v>0.12</v>
      </c>
    </row>
    <row r="29" spans="1:3">
      <c r="A29" s="2" t="s">
        <v>111</v>
      </c>
      <c r="B29">
        <v>0.99860000000000004</v>
      </c>
      <c r="C29">
        <v>0.02</v>
      </c>
    </row>
    <row r="30" spans="1:3">
      <c r="A30" s="2" t="s">
        <v>36</v>
      </c>
      <c r="B30">
        <v>7.4009999999999996E-3</v>
      </c>
      <c r="C30">
        <v>1.07</v>
      </c>
    </row>
    <row r="31" spans="1:3">
      <c r="A31" s="2" t="s">
        <v>201</v>
      </c>
      <c r="B31">
        <v>5.3672999999999998E-2</v>
      </c>
      <c r="C31">
        <v>0.15</v>
      </c>
    </row>
    <row r="32" spans="1:3">
      <c r="A32" s="2" t="s">
        <v>193</v>
      </c>
      <c r="B32">
        <v>1.1690000000000001E-2</v>
      </c>
      <c r="C32">
        <v>0</v>
      </c>
    </row>
    <row r="33" spans="1:3">
      <c r="A33" s="2" t="s">
        <v>17</v>
      </c>
      <c r="B33">
        <v>5.1766E-2</v>
      </c>
      <c r="C33">
        <v>0.03</v>
      </c>
    </row>
    <row r="34" spans="1:3">
      <c r="A34" s="2" t="s">
        <v>10</v>
      </c>
      <c r="B34">
        <v>80.900000000000006</v>
      </c>
      <c r="C34">
        <v>0.26</v>
      </c>
    </row>
    <row r="35" spans="1:3">
      <c r="A35" s="2" t="s">
        <v>32</v>
      </c>
      <c r="B35">
        <v>0.1331</v>
      </c>
      <c r="C35">
        <v>1.1299999999999999</v>
      </c>
    </row>
    <row r="36" spans="1:3">
      <c r="A36" s="2" t="s">
        <v>116</v>
      </c>
      <c r="B36">
        <v>6.62E-3</v>
      </c>
      <c r="C36">
        <v>0.24</v>
      </c>
    </row>
    <row r="37" spans="1:3">
      <c r="A37" s="2" t="s">
        <v>45</v>
      </c>
      <c r="B37">
        <v>1.7440000000000001E-2</v>
      </c>
      <c r="C37">
        <v>30.91</v>
      </c>
    </row>
    <row r="38" spans="1:3">
      <c r="A38" s="2" t="s">
        <v>21</v>
      </c>
      <c r="B38">
        <v>0.57689999999999997</v>
      </c>
      <c r="C38">
        <v>1.85</v>
      </c>
    </row>
    <row r="39" spans="1:3">
      <c r="A39" s="2" t="s">
        <v>91</v>
      </c>
      <c r="B39">
        <v>4.41</v>
      </c>
      <c r="C39">
        <v>0.31</v>
      </c>
    </row>
    <row r="40" spans="1:3">
      <c r="A40" s="2" t="s">
        <v>176</v>
      </c>
      <c r="B40">
        <v>1.055E-2</v>
      </c>
      <c r="C40">
        <v>0.06</v>
      </c>
    </row>
    <row r="41" spans="1:3">
      <c r="A41" s="2" t="s">
        <v>119</v>
      </c>
      <c r="B41">
        <v>0.22650000000000001</v>
      </c>
      <c r="C41">
        <v>0.91</v>
      </c>
    </row>
    <row r="42" spans="1:3">
      <c r="A42" s="2" t="s">
        <v>13</v>
      </c>
      <c r="B42">
        <v>445.16</v>
      </c>
      <c r="C42">
        <v>1.21</v>
      </c>
    </row>
    <row r="43" spans="1:3">
      <c r="A43" s="2" t="s">
        <v>50</v>
      </c>
      <c r="B43">
        <v>216.99</v>
      </c>
      <c r="C43">
        <v>0.22</v>
      </c>
    </row>
    <row r="44" spans="1:3">
      <c r="A44" s="2" t="s">
        <v>234</v>
      </c>
      <c r="B44">
        <v>1.239E-2</v>
      </c>
      <c r="C44">
        <v>2.91</v>
      </c>
    </row>
    <row r="45" spans="1:3">
      <c r="A45" s="2" t="s">
        <v>148</v>
      </c>
      <c r="B45">
        <v>8.3160000000000005E-4</v>
      </c>
      <c r="C45">
        <v>0.73</v>
      </c>
    </row>
    <row r="46" spans="1:3">
      <c r="A46" s="2" t="s">
        <v>140</v>
      </c>
      <c r="B46">
        <v>1.1399999999999999</v>
      </c>
      <c r="C46">
        <v>0.02</v>
      </c>
    </row>
    <row r="47" spans="1:3">
      <c r="A47" s="2" t="s">
        <v>205</v>
      </c>
      <c r="B47">
        <v>8.7274000000000004E-2</v>
      </c>
      <c r="C47">
        <v>1.42</v>
      </c>
    </row>
    <row r="48" spans="1:3">
      <c r="A48" s="2" t="s">
        <v>23</v>
      </c>
      <c r="B48">
        <v>1.79</v>
      </c>
      <c r="C48">
        <v>1.63</v>
      </c>
    </row>
    <row r="49" spans="1:3">
      <c r="A49" s="2" t="s">
        <v>213</v>
      </c>
      <c r="B49">
        <v>1.2879999999999999E-4</v>
      </c>
      <c r="C49">
        <v>0.05</v>
      </c>
    </row>
    <row r="50" spans="1:3">
      <c r="A50" s="2" t="s">
        <v>107</v>
      </c>
      <c r="B50">
        <v>5.6280000000000002E-4</v>
      </c>
      <c r="C50">
        <v>0.19</v>
      </c>
    </row>
    <row r="51" spans="1:3">
      <c r="A51" s="2" t="s">
        <v>284</v>
      </c>
      <c r="B51">
        <v>70.16</v>
      </c>
      <c r="C51">
        <v>0.33</v>
      </c>
    </row>
    <row r="52" spans="1:3">
      <c r="A52" s="2" t="s">
        <v>163</v>
      </c>
      <c r="B52">
        <v>8.5000000000000006E-3</v>
      </c>
      <c r="C52">
        <v>2.8</v>
      </c>
    </row>
    <row r="53" spans="1:3">
      <c r="A53" s="2" t="s">
        <v>20</v>
      </c>
      <c r="B53">
        <v>1.468E-2</v>
      </c>
      <c r="C53">
        <v>0.2</v>
      </c>
    </row>
    <row r="54" spans="1:3">
      <c r="A54" s="2" t="s">
        <v>289</v>
      </c>
      <c r="B54">
        <v>3.3980000000000003E-2</v>
      </c>
      <c r="C54">
        <v>0.01</v>
      </c>
    </row>
    <row r="55" spans="1:3">
      <c r="A55" s="2" t="s">
        <v>230</v>
      </c>
      <c r="B55">
        <v>2.5229999999999999E-2</v>
      </c>
      <c r="C55">
        <v>0.01</v>
      </c>
    </row>
    <row r="56" spans="1:3">
      <c r="A56" s="2" t="s">
        <v>162</v>
      </c>
      <c r="B56">
        <v>18.420000000000002</v>
      </c>
      <c r="C56">
        <v>0.28999999999999998</v>
      </c>
    </row>
    <row r="57" spans="1:3">
      <c r="A57" s="2" t="s">
        <v>295</v>
      </c>
      <c r="B57">
        <v>101.09</v>
      </c>
      <c r="C57">
        <v>0.62</v>
      </c>
    </row>
    <row r="58" spans="1:3">
      <c r="A58" s="2" t="s">
        <v>24</v>
      </c>
      <c r="B58">
        <v>1</v>
      </c>
      <c r="C58">
        <v>0.01</v>
      </c>
    </row>
    <row r="59" spans="1:3">
      <c r="A59" s="2" t="s">
        <v>103</v>
      </c>
      <c r="B59">
        <v>2.503E-2</v>
      </c>
      <c r="C59">
        <v>1.18</v>
      </c>
    </row>
    <row r="60" spans="1:3">
      <c r="A60" s="2" t="s">
        <v>4</v>
      </c>
      <c r="B60">
        <v>0.99960000000000004</v>
      </c>
      <c r="C60">
        <v>0.01</v>
      </c>
    </row>
    <row r="61" spans="1:3">
      <c r="A61" s="2" t="s">
        <v>57</v>
      </c>
      <c r="B61">
        <v>0.23350000000000001</v>
      </c>
      <c r="C61">
        <v>0.75</v>
      </c>
    </row>
    <row r="62" spans="1:3">
      <c r="A62" s="2" t="s">
        <v>35</v>
      </c>
      <c r="B62">
        <v>3.7659999999999998E-3</v>
      </c>
      <c r="C62">
        <v>0.28000000000000003</v>
      </c>
    </row>
    <row r="63" spans="1:3">
      <c r="A63" s="2" t="s">
        <v>9</v>
      </c>
      <c r="B63">
        <v>0.34449999999999997</v>
      </c>
      <c r="C63">
        <v>0.03</v>
      </c>
    </row>
    <row r="64" spans="1:3">
      <c r="A64" s="2" t="s">
        <v>28</v>
      </c>
      <c r="B64">
        <v>0.12909999999999999</v>
      </c>
      <c r="C64">
        <v>2.34</v>
      </c>
    </row>
    <row r="65" spans="1:3">
      <c r="A65" s="2" t="s">
        <v>300</v>
      </c>
      <c r="B65">
        <v>9.35</v>
      </c>
      <c r="C65">
        <v>0.06</v>
      </c>
    </row>
    <row r="66" spans="1:3">
      <c r="A66" s="2" t="s">
        <v>225</v>
      </c>
      <c r="B66">
        <v>0.99990000000000001</v>
      </c>
      <c r="C66">
        <v>0.01</v>
      </c>
    </row>
    <row r="67" spans="1:3">
      <c r="A67" s="2" t="s">
        <v>301</v>
      </c>
      <c r="B67">
        <v>0.99990000000000001</v>
      </c>
      <c r="C67">
        <v>0</v>
      </c>
    </row>
    <row r="68" spans="1:3">
      <c r="A68" s="2" t="s">
        <v>30</v>
      </c>
      <c r="B68">
        <v>1</v>
      </c>
      <c r="C68">
        <v>0</v>
      </c>
    </row>
    <row r="69" spans="1:3">
      <c r="A69" s="2" t="s">
        <v>204</v>
      </c>
      <c r="B69">
        <v>0.99870000000000003</v>
      </c>
      <c r="C69">
        <v>0.01</v>
      </c>
    </row>
    <row r="70" spans="1:3">
      <c r="A70" s="2" t="s">
        <v>306</v>
      </c>
      <c r="B70">
        <v>0.27279999999999999</v>
      </c>
      <c r="C70">
        <v>0.7</v>
      </c>
    </row>
    <row r="71" spans="1:3">
      <c r="A71" s="2" t="s">
        <v>7</v>
      </c>
      <c r="B71">
        <v>1.5</v>
      </c>
      <c r="C71">
        <v>0.97</v>
      </c>
    </row>
    <row r="72" spans="1:3">
      <c r="A72" s="2" t="s">
        <v>12</v>
      </c>
      <c r="B72">
        <v>848.04</v>
      </c>
      <c r="C72">
        <v>0.64</v>
      </c>
    </row>
    <row r="73" spans="1:3">
      <c r="A73" s="2" t="s">
        <v>339</v>
      </c>
      <c r="B73">
        <v>11.76</v>
      </c>
      <c r="C73">
        <v>0.17</v>
      </c>
    </row>
    <row r="74" spans="1:3">
      <c r="A74" s="2" t="s">
        <v>344</v>
      </c>
      <c r="B74">
        <v>124.1</v>
      </c>
      <c r="C74">
        <v>0.45</v>
      </c>
    </row>
    <row r="75" spans="1:3">
      <c r="A75" s="2" t="s">
        <v>346</v>
      </c>
      <c r="B75">
        <v>0.37619999999999998</v>
      </c>
      <c r="C75">
        <v>1.66</v>
      </c>
    </row>
    <row r="76" spans="1:3">
      <c r="A76" s="2" t="s">
        <v>349</v>
      </c>
      <c r="B76">
        <v>0</v>
      </c>
      <c r="C76">
        <v>1.37</v>
      </c>
    </row>
    <row r="77" spans="1:3">
      <c r="A77" s="2" t="s">
        <v>353</v>
      </c>
      <c r="B77">
        <v>1.02</v>
      </c>
      <c r="C77">
        <v>0.26</v>
      </c>
    </row>
    <row r="78" spans="1:3">
      <c r="A78" s="2" t="s">
        <v>360</v>
      </c>
      <c r="B78">
        <v>9.0190000000000006E-2</v>
      </c>
      <c r="C78">
        <v>1.69</v>
      </c>
    </row>
    <row r="79" spans="1:3">
      <c r="A79" s="2" t="s">
        <v>364</v>
      </c>
      <c r="B79">
        <v>9.8059999999999994E-2</v>
      </c>
      <c r="C79">
        <v>0.91</v>
      </c>
    </row>
    <row r="80" spans="1:3">
      <c r="A80" s="2" t="s">
        <v>368</v>
      </c>
      <c r="B80">
        <v>0</v>
      </c>
      <c r="C80">
        <v>1.36</v>
      </c>
    </row>
    <row r="81" spans="1:3">
      <c r="A81" s="2" t="s">
        <v>377</v>
      </c>
      <c r="B81">
        <v>0.45639999999999997</v>
      </c>
      <c r="C81">
        <v>0.32</v>
      </c>
    </row>
    <row r="82" spans="1:3">
      <c r="A82" s="2" t="s">
        <v>387</v>
      </c>
      <c r="B82">
        <v>8.9980000000000004E-2</v>
      </c>
      <c r="C82">
        <v>5.64</v>
      </c>
    </row>
    <row r="83" spans="1:3">
      <c r="A83" s="2" t="s">
        <v>389</v>
      </c>
      <c r="B83">
        <v>1638.11</v>
      </c>
      <c r="C83">
        <v>0.48</v>
      </c>
    </row>
    <row r="84" spans="1:3">
      <c r="A84" s="2" t="s">
        <v>391</v>
      </c>
      <c r="B84">
        <v>2.2159999999999999E-4</v>
      </c>
      <c r="C84">
        <v>2.36</v>
      </c>
    </row>
    <row r="85" spans="1:3">
      <c r="A85" s="2" t="s">
        <v>394</v>
      </c>
      <c r="B85">
        <v>0.99950000000000006</v>
      </c>
      <c r="C85">
        <v>0</v>
      </c>
    </row>
    <row r="86" spans="1:3">
      <c r="A86" s="2" t="s">
        <v>396</v>
      </c>
      <c r="B86">
        <v>9.7219999999999997E-3</v>
      </c>
      <c r="C86">
        <v>0.69</v>
      </c>
    </row>
    <row r="87" spans="1:3">
      <c r="A87" s="2" t="s">
        <v>398</v>
      </c>
      <c r="B87">
        <v>0.20619999999999999</v>
      </c>
      <c r="C87">
        <v>0.47</v>
      </c>
    </row>
    <row r="88" spans="1:3">
      <c r="A88" s="2" t="s">
        <v>400</v>
      </c>
      <c r="B88">
        <v>2.4729999999999999E-2</v>
      </c>
      <c r="C88">
        <v>0.78</v>
      </c>
    </row>
    <row r="89" spans="1:3">
      <c r="A89" s="2" t="s">
        <v>402</v>
      </c>
      <c r="B89">
        <v>6.2579999999999997E-2</v>
      </c>
      <c r="C89">
        <v>1.2</v>
      </c>
    </row>
    <row r="90" spans="1:3">
      <c r="A90" s="2" t="s">
        <v>404</v>
      </c>
      <c r="B90">
        <v>6.1429999999999998E-2</v>
      </c>
      <c r="C90">
        <v>0.36</v>
      </c>
    </row>
    <row r="91" spans="1:3">
      <c r="A91" s="2" t="s">
        <v>406</v>
      </c>
      <c r="B91">
        <v>0.2203</v>
      </c>
      <c r="C91">
        <v>5.35</v>
      </c>
    </row>
    <row r="92" spans="1:3">
      <c r="A92" s="2" t="s">
        <v>408</v>
      </c>
      <c r="B92">
        <v>13.79</v>
      </c>
      <c r="C92">
        <v>0.63</v>
      </c>
    </row>
    <row r="93" spans="1:3">
      <c r="A93" s="2" t="s">
        <v>410</v>
      </c>
      <c r="B93">
        <v>3.54</v>
      </c>
      <c r="C93">
        <v>0.14000000000000001</v>
      </c>
    </row>
    <row r="94" spans="1:3">
      <c r="A94" s="2" t="s">
        <v>412</v>
      </c>
      <c r="B94">
        <v>0.999</v>
      </c>
      <c r="C94">
        <v>0.01</v>
      </c>
    </row>
    <row r="95" spans="1:3">
      <c r="A95" s="2" t="s">
        <v>414</v>
      </c>
      <c r="B95">
        <v>2.2349999999999998E-2</v>
      </c>
      <c r="C95">
        <v>0.03</v>
      </c>
    </row>
    <row r="96" spans="1:3">
      <c r="A96" s="2" t="s">
        <v>416</v>
      </c>
      <c r="B96">
        <v>6.4241000000000006E-2</v>
      </c>
      <c r="C96">
        <v>0.38</v>
      </c>
    </row>
    <row r="97" spans="1:3">
      <c r="A97" s="2" t="s">
        <v>419</v>
      </c>
      <c r="B97">
        <v>0.43259999999999998</v>
      </c>
      <c r="C97">
        <v>0.21</v>
      </c>
    </row>
    <row r="98" spans="1:3">
      <c r="A98" s="2" t="s">
        <v>421</v>
      </c>
      <c r="B98">
        <v>3.9129999999999998E-3</v>
      </c>
      <c r="C98">
        <v>0.5</v>
      </c>
    </row>
    <row r="99" spans="1:3">
      <c r="A99" s="2" t="s">
        <v>423</v>
      </c>
      <c r="B99">
        <v>2.19</v>
      </c>
      <c r="C99">
        <v>0.36</v>
      </c>
    </row>
    <row r="100" spans="1:3">
      <c r="A100" s="2" t="s">
        <v>425</v>
      </c>
      <c r="B100">
        <v>0.12989999999999999</v>
      </c>
      <c r="C100">
        <v>1.88</v>
      </c>
    </row>
    <row r="101" spans="1:3">
      <c r="A101" s="2" t="s">
        <v>428</v>
      </c>
      <c r="B101">
        <v>7.718E-3</v>
      </c>
      <c r="C101">
        <v>0.75</v>
      </c>
    </row>
    <row r="102" spans="1:3">
      <c r="A102" s="2" t="s">
        <v>430</v>
      </c>
      <c r="B102">
        <v>1.489E-2</v>
      </c>
      <c r="C102">
        <v>7.0000000000000007E-2</v>
      </c>
    </row>
    <row r="103" spans="1:3">
      <c r="A103" s="2" t="s">
        <v>432</v>
      </c>
      <c r="B103">
        <v>2.594E-3</v>
      </c>
      <c r="C103">
        <v>0.84</v>
      </c>
    </row>
    <row r="104" spans="1:3">
      <c r="A104" s="2" t="s">
        <v>434</v>
      </c>
      <c r="B104">
        <v>7.2410000000000002E-2</v>
      </c>
      <c r="C104">
        <v>0.34</v>
      </c>
    </row>
    <row r="105" spans="1:3">
      <c r="A105" s="2" t="s">
        <v>436</v>
      </c>
      <c r="B105">
        <v>2.68</v>
      </c>
      <c r="C105">
        <v>1.33</v>
      </c>
    </row>
    <row r="106" spans="1:3">
      <c r="A106" s="2" t="s">
        <v>438</v>
      </c>
      <c r="B106">
        <v>0.1208</v>
      </c>
      <c r="C106">
        <v>1.19</v>
      </c>
    </row>
    <row r="107" spans="1:3">
      <c r="A107" s="2" t="s">
        <v>440</v>
      </c>
      <c r="B107">
        <v>1.24</v>
      </c>
      <c r="C107">
        <v>0.02</v>
      </c>
    </row>
    <row r="108" spans="1:3">
      <c r="A108" s="2" t="s">
        <v>442</v>
      </c>
      <c r="B108">
        <v>0.28749999999999998</v>
      </c>
      <c r="C108">
        <v>1.3</v>
      </c>
    </row>
    <row r="109" spans="1:3">
      <c r="A109" s="2" t="s">
        <v>445</v>
      </c>
      <c r="B109">
        <v>4.1990000000000001E-4</v>
      </c>
      <c r="C109">
        <v>0.51</v>
      </c>
    </row>
    <row r="110" spans="1:3">
      <c r="A110" s="2" t="s">
        <v>447</v>
      </c>
      <c r="B110">
        <v>7.37</v>
      </c>
      <c r="C110">
        <v>1.5</v>
      </c>
    </row>
    <row r="111" spans="1:3">
      <c r="A111" s="2" t="s">
        <v>449</v>
      </c>
      <c r="B111">
        <v>1.02</v>
      </c>
      <c r="C111">
        <v>0.5</v>
      </c>
    </row>
    <row r="112" spans="1:3">
      <c r="A112" s="2" t="s">
        <v>451</v>
      </c>
      <c r="B112">
        <v>0.99960000000000004</v>
      </c>
      <c r="C112">
        <v>0.01</v>
      </c>
    </row>
    <row r="113" spans="1:3">
      <c r="A113" s="2" t="s">
        <v>452</v>
      </c>
      <c r="B113">
        <v>3.5490000000000001E-2</v>
      </c>
      <c r="C113">
        <v>0.11</v>
      </c>
    </row>
    <row r="114" spans="1:3">
      <c r="A114" s="2" t="s">
        <v>454</v>
      </c>
      <c r="B114">
        <v>6.93E-2</v>
      </c>
      <c r="C114">
        <v>0.8</v>
      </c>
    </row>
    <row r="115" spans="1:3">
      <c r="A115" s="2" t="s">
        <v>456</v>
      </c>
      <c r="B115">
        <v>6.8320000000000004E-3</v>
      </c>
      <c r="C115">
        <v>2.2799999999999998</v>
      </c>
    </row>
    <row r="116" spans="1:3">
      <c r="A116" s="2" t="s">
        <v>457</v>
      </c>
      <c r="B116">
        <v>7.61</v>
      </c>
      <c r="C116">
        <v>0.7</v>
      </c>
    </row>
    <row r="117" spans="1:3">
      <c r="A117" s="2" t="s">
        <v>459</v>
      </c>
      <c r="B117">
        <v>5.4539999999999996E-3</v>
      </c>
      <c r="C117">
        <v>1.22</v>
      </c>
    </row>
    <row r="118" spans="1:3">
      <c r="A118" s="2" t="s">
        <v>461</v>
      </c>
      <c r="B118">
        <v>0.27939999999999998</v>
      </c>
      <c r="C118">
        <v>0.37</v>
      </c>
    </row>
    <row r="119" spans="1:3">
      <c r="A119" s="2" t="s">
        <v>463</v>
      </c>
      <c r="B119">
        <v>0.2215</v>
      </c>
      <c r="C119">
        <v>7.0000000000000007E-2</v>
      </c>
    </row>
    <row r="120" spans="1:3">
      <c r="A120" s="2" t="s">
        <v>465</v>
      </c>
      <c r="B120">
        <v>1.3480000000000001E-2</v>
      </c>
      <c r="C120">
        <v>1.3</v>
      </c>
    </row>
    <row r="121" spans="1:3">
      <c r="A121" s="2" t="s">
        <v>467</v>
      </c>
      <c r="B121">
        <v>8.3149999999999995E-3</v>
      </c>
      <c r="C121">
        <v>0.8</v>
      </c>
    </row>
    <row r="122" spans="1:3">
      <c r="A122" s="2" t="s">
        <v>471</v>
      </c>
      <c r="B122">
        <v>6.1570000000000001E-3</v>
      </c>
      <c r="C122">
        <v>0.38</v>
      </c>
    </row>
    <row r="123" spans="1:3">
      <c r="A123" s="2" t="s">
        <v>473</v>
      </c>
      <c r="B123">
        <v>9.8820000000000006E-4</v>
      </c>
      <c r="C123">
        <v>0</v>
      </c>
    </row>
    <row r="124" spans="1:3">
      <c r="A124" s="2" t="s">
        <v>475</v>
      </c>
      <c r="B124">
        <v>4.9919999999999999E-4</v>
      </c>
      <c r="C124">
        <v>1.2</v>
      </c>
    </row>
    <row r="125" spans="1:3">
      <c r="A125" s="2" t="s">
        <v>477</v>
      </c>
      <c r="B125">
        <v>5.092E-2</v>
      </c>
      <c r="C125">
        <v>0.1</v>
      </c>
    </row>
    <row r="126" spans="1:3">
      <c r="A126" s="2" t="s">
        <v>480</v>
      </c>
      <c r="B126">
        <v>0.22869999999999999</v>
      </c>
      <c r="C126">
        <v>0.05</v>
      </c>
    </row>
    <row r="127" spans="1:3">
      <c r="A127" s="2" t="s">
        <v>482</v>
      </c>
      <c r="B127">
        <v>1.196E-2</v>
      </c>
      <c r="C127">
        <v>1.44</v>
      </c>
    </row>
    <row r="128" spans="1:3">
      <c r="A128" s="2" t="s">
        <v>484</v>
      </c>
      <c r="B128">
        <v>8.8480000000000003E-2</v>
      </c>
      <c r="C128">
        <v>0.35</v>
      </c>
    </row>
    <row r="129" spans="1:3">
      <c r="A129" s="2" t="s">
        <v>486</v>
      </c>
      <c r="B129">
        <v>0.1595</v>
      </c>
      <c r="C129">
        <v>0.37</v>
      </c>
    </row>
    <row r="130" spans="1:3">
      <c r="A130" s="2" t="s">
        <v>488</v>
      </c>
      <c r="B130">
        <v>3.24</v>
      </c>
      <c r="C130">
        <v>0.61</v>
      </c>
    </row>
    <row r="131" spans="1:3">
      <c r="A131" s="2" t="s">
        <v>490</v>
      </c>
      <c r="B131">
        <v>223.04</v>
      </c>
      <c r="C131">
        <v>0.13</v>
      </c>
    </row>
    <row r="132" spans="1:3">
      <c r="A132" s="2" t="s">
        <v>492</v>
      </c>
      <c r="B132">
        <v>764.74</v>
      </c>
      <c r="C132">
        <v>0.06</v>
      </c>
    </row>
    <row r="133" spans="1:3">
      <c r="A133" s="2" t="s">
        <v>494</v>
      </c>
      <c r="B133">
        <v>2.84</v>
      </c>
      <c r="C133">
        <v>0.34</v>
      </c>
    </row>
    <row r="134" spans="1:3">
      <c r="A134" s="2" t="s">
        <v>496</v>
      </c>
      <c r="B134">
        <v>1.174E-2</v>
      </c>
      <c r="C134">
        <v>0.7</v>
      </c>
    </row>
    <row r="135" spans="1:3">
      <c r="A135" s="2" t="s">
        <v>497</v>
      </c>
      <c r="B135">
        <v>2.99</v>
      </c>
      <c r="C135">
        <v>0.39</v>
      </c>
    </row>
    <row r="136" spans="1:3">
      <c r="A136" s="2" t="s">
        <v>498</v>
      </c>
      <c r="B136">
        <v>0.26469999999999999</v>
      </c>
      <c r="C136">
        <v>0.77</v>
      </c>
    </row>
    <row r="137" spans="1:3">
      <c r="A137" s="2" t="s">
        <v>500</v>
      </c>
      <c r="B137">
        <v>0.26550000000000001</v>
      </c>
      <c r="C137">
        <v>0.02</v>
      </c>
    </row>
    <row r="138" spans="1:3">
      <c r="A138" s="2" t="s">
        <v>502</v>
      </c>
      <c r="B138">
        <v>0.64970000000000006</v>
      </c>
      <c r="C138">
        <v>0</v>
      </c>
    </row>
    <row r="139" spans="1:3">
      <c r="A139" s="2" t="s">
        <v>504</v>
      </c>
      <c r="B139">
        <v>5.4050000000000001E-2</v>
      </c>
      <c r="C139">
        <v>0.19</v>
      </c>
    </row>
    <row r="140" spans="1:3">
      <c r="A140" s="2" t="s">
        <v>506</v>
      </c>
      <c r="B140">
        <v>148.4</v>
      </c>
      <c r="C140">
        <v>0</v>
      </c>
    </row>
    <row r="141" spans="1:3">
      <c r="A141" s="2" t="s">
        <v>509</v>
      </c>
      <c r="B141">
        <v>0.84640000000000004</v>
      </c>
      <c r="C141">
        <v>0.93</v>
      </c>
    </row>
    <row r="142" spans="1:3">
      <c r="A142" s="2" t="s">
        <v>511</v>
      </c>
      <c r="B142">
        <v>0.17349999999999999</v>
      </c>
      <c r="C142">
        <v>0.05</v>
      </c>
    </row>
    <row r="143" spans="1:3">
      <c r="A143" s="2" t="s">
        <v>513</v>
      </c>
      <c r="B143">
        <v>6.9309999999999997E-3</v>
      </c>
      <c r="C143">
        <v>0.97</v>
      </c>
    </row>
    <row r="144" spans="1:3">
      <c r="A144" s="2" t="s">
        <v>515</v>
      </c>
      <c r="B144">
        <v>4631.91</v>
      </c>
      <c r="C144">
        <v>0.14000000000000001</v>
      </c>
    </row>
    <row r="145" spans="1:3">
      <c r="A145" s="2" t="s">
        <v>517</v>
      </c>
      <c r="B145">
        <v>0</v>
      </c>
      <c r="C145">
        <v>0.38</v>
      </c>
    </row>
    <row r="146" spans="1:3">
      <c r="A146" s="2" t="s">
        <v>521</v>
      </c>
      <c r="B146">
        <v>1.1599999999999999</v>
      </c>
      <c r="C146">
        <v>0.21</v>
      </c>
    </row>
    <row r="147" spans="1:3">
      <c r="A147" s="2" t="s">
        <v>523</v>
      </c>
      <c r="B147">
        <v>7.3509999999999999E-3</v>
      </c>
      <c r="C147">
        <v>0.17</v>
      </c>
    </row>
    <row r="148" spans="1:3">
      <c r="A148" s="2" t="s">
        <v>525</v>
      </c>
      <c r="B148">
        <v>2.8680000000000001E-2</v>
      </c>
      <c r="C148">
        <v>0.13</v>
      </c>
    </row>
    <row r="149" spans="1:3">
      <c r="A149" s="2" t="s">
        <v>527</v>
      </c>
      <c r="B149">
        <v>1.243E-2</v>
      </c>
      <c r="C149">
        <v>0.46</v>
      </c>
    </row>
    <row r="150" spans="1:3">
      <c r="A150" s="2" t="s">
        <v>529</v>
      </c>
      <c r="B150">
        <v>2.5420000000000002E-2</v>
      </c>
      <c r="C150">
        <v>0.15</v>
      </c>
    </row>
    <row r="151" spans="1:3">
      <c r="A151" s="2" t="s">
        <v>531</v>
      </c>
      <c r="B151">
        <v>4.6640000000000001E-2</v>
      </c>
      <c r="C151">
        <v>0.05</v>
      </c>
    </row>
    <row r="152" spans="1:3">
      <c r="A152" s="2" t="s">
        <v>535</v>
      </c>
      <c r="B152">
        <v>5.6610000000000001E-2</v>
      </c>
      <c r="C152">
        <v>0.31</v>
      </c>
    </row>
    <row r="153" spans="1:3">
      <c r="A153" s="2" t="s">
        <v>536</v>
      </c>
      <c r="B153">
        <v>89.53</v>
      </c>
      <c r="C153">
        <v>0.75</v>
      </c>
    </row>
    <row r="154" spans="1:3">
      <c r="A154" s="2" t="s">
        <v>539</v>
      </c>
      <c r="B154">
        <v>1.452E-2</v>
      </c>
      <c r="C154">
        <v>0.15</v>
      </c>
    </row>
    <row r="155" spans="1:3">
      <c r="A155" s="2" t="s">
        <v>542</v>
      </c>
      <c r="B155">
        <v>4.1480000000000003E-2</v>
      </c>
      <c r="C155">
        <v>0.61</v>
      </c>
    </row>
    <row r="156" spans="1:3">
      <c r="A156" s="2" t="s">
        <v>544</v>
      </c>
      <c r="B156">
        <v>6.5549999999999997E-2</v>
      </c>
      <c r="C156">
        <v>0.31</v>
      </c>
    </row>
    <row r="157" spans="1:3">
      <c r="A157" s="2" t="s">
        <v>546</v>
      </c>
      <c r="B157">
        <v>2.7989999999999998E-3</v>
      </c>
      <c r="C157">
        <v>7.0000000000000007E-2</v>
      </c>
    </row>
    <row r="158" spans="1:3">
      <c r="A158" s="2" t="s">
        <v>548</v>
      </c>
      <c r="B158">
        <v>6.2030000000000002E-3</v>
      </c>
      <c r="C158">
        <v>0.18</v>
      </c>
    </row>
    <row r="159" spans="1:3">
      <c r="A159" s="2" t="s">
        <v>550</v>
      </c>
      <c r="B159">
        <v>0.1943</v>
      </c>
      <c r="C159">
        <v>0.02</v>
      </c>
    </row>
    <row r="160" spans="1:3">
      <c r="A160" s="2" t="s">
        <v>554</v>
      </c>
      <c r="B160">
        <v>6.5919999999999998E-4</v>
      </c>
      <c r="C160">
        <v>0.9</v>
      </c>
    </row>
    <row r="161" spans="1:3">
      <c r="A161" s="2" t="s">
        <v>556</v>
      </c>
      <c r="B161">
        <v>5.0619999999999997E-3</v>
      </c>
      <c r="C161">
        <v>0.01</v>
      </c>
    </row>
    <row r="162" spans="1:3">
      <c r="A162" s="2" t="s">
        <v>557</v>
      </c>
      <c r="B162">
        <v>2.214E-2</v>
      </c>
      <c r="C162">
        <v>0</v>
      </c>
    </row>
    <row r="163" spans="1:3">
      <c r="A163" s="2" t="s">
        <v>559</v>
      </c>
      <c r="B163">
        <v>8.0329999999999999E-2</v>
      </c>
      <c r="C163">
        <v>1.05</v>
      </c>
    </row>
    <row r="164" spans="1:3">
      <c r="A164" s="2" t="s">
        <v>562</v>
      </c>
      <c r="B164">
        <v>1.4409999999999999E-2</v>
      </c>
      <c r="C164">
        <v>6.1</v>
      </c>
    </row>
    <row r="165" spans="1:3">
      <c r="A165" s="2" t="s">
        <v>564</v>
      </c>
      <c r="B165">
        <v>3.503E-3</v>
      </c>
      <c r="C165">
        <v>1.26</v>
      </c>
    </row>
    <row r="166" spans="1:3">
      <c r="A166" s="2" t="s">
        <v>566</v>
      </c>
      <c r="B166">
        <v>0.12770000000000001</v>
      </c>
      <c r="C166">
        <v>0.64</v>
      </c>
    </row>
    <row r="167" spans="1:3">
      <c r="A167" s="2" t="s">
        <v>568</v>
      </c>
      <c r="B167">
        <v>1.255E-2</v>
      </c>
      <c r="C167">
        <v>0.71</v>
      </c>
    </row>
    <row r="168" spans="1:3">
      <c r="A168" s="2" t="s">
        <v>570</v>
      </c>
      <c r="B168">
        <v>2.869E-2</v>
      </c>
      <c r="C168">
        <v>0.37</v>
      </c>
    </row>
    <row r="169" spans="1:3">
      <c r="A169" s="2" t="s">
        <v>572</v>
      </c>
      <c r="B169">
        <v>4.9010000000000004E-4</v>
      </c>
      <c r="C169">
        <v>8.0399999999999991</v>
      </c>
    </row>
    <row r="170" spans="1:3">
      <c r="A170" s="2" t="s">
        <v>574</v>
      </c>
      <c r="B170">
        <v>7.1730000000000002E-2</v>
      </c>
      <c r="C170">
        <v>0.77</v>
      </c>
    </row>
    <row r="171" spans="1:3">
      <c r="A171" s="2" t="s">
        <v>576</v>
      </c>
      <c r="B171">
        <v>0.13439999999999999</v>
      </c>
      <c r="C171">
        <v>0.46</v>
      </c>
    </row>
    <row r="172" spans="1:3">
      <c r="A172" s="2" t="s">
        <v>578</v>
      </c>
      <c r="B172">
        <v>1.0789999999999999E-2</v>
      </c>
      <c r="C172">
        <v>1.21</v>
      </c>
    </row>
    <row r="173" spans="1:3">
      <c r="A173" s="2" t="s">
        <v>580</v>
      </c>
      <c r="B173">
        <v>1.4080000000000001E-2</v>
      </c>
      <c r="C173">
        <v>3.23</v>
      </c>
    </row>
    <row r="174" spans="1:3">
      <c r="A174" s="2" t="s">
        <v>582</v>
      </c>
      <c r="B174">
        <v>3.2539999999999999E-3</v>
      </c>
      <c r="C174">
        <v>0.55000000000000004</v>
      </c>
    </row>
    <row r="175" spans="1:3">
      <c r="A175" s="2" t="s">
        <v>584</v>
      </c>
      <c r="B175">
        <v>8.7129999999999999E-2</v>
      </c>
      <c r="C175">
        <v>0.28000000000000003</v>
      </c>
    </row>
    <row r="176" spans="1:3">
      <c r="A176" s="2" t="s">
        <v>588</v>
      </c>
      <c r="B176">
        <v>0.50009999999999999</v>
      </c>
      <c r="C176">
        <v>0.15</v>
      </c>
    </row>
    <row r="177" spans="1:3">
      <c r="A177" s="2" t="s">
        <v>590</v>
      </c>
      <c r="B177">
        <v>562.74</v>
      </c>
      <c r="C177">
        <v>0.04</v>
      </c>
    </row>
    <row r="178" spans="1:3">
      <c r="A178" s="2" t="s">
        <v>593</v>
      </c>
      <c r="B178">
        <v>2.457E-3</v>
      </c>
      <c r="C178">
        <v>0.64</v>
      </c>
    </row>
    <row r="179" spans="1:3">
      <c r="A179" s="2" t="s">
        <v>595</v>
      </c>
      <c r="B179">
        <v>9.1539999999999996E-2</v>
      </c>
      <c r="C179">
        <v>0</v>
      </c>
    </row>
    <row r="180" spans="1:3">
      <c r="A180" s="2" t="s">
        <v>597</v>
      </c>
      <c r="B180">
        <v>310.51</v>
      </c>
      <c r="C180">
        <v>0.1</v>
      </c>
    </row>
    <row r="181" spans="1:3">
      <c r="A181" s="2" t="s">
        <v>599</v>
      </c>
      <c r="B181">
        <v>0.2319</v>
      </c>
      <c r="C181">
        <v>0.5</v>
      </c>
    </row>
    <row r="182" spans="1:3">
      <c r="A182" s="2" t="s">
        <v>602</v>
      </c>
      <c r="B182">
        <v>0.2727</v>
      </c>
      <c r="C182">
        <v>0.14000000000000001</v>
      </c>
    </row>
    <row r="183" spans="1:3">
      <c r="A183" s="2" t="s">
        <v>605</v>
      </c>
      <c r="B183">
        <v>6.3909999999999995E-2</v>
      </c>
      <c r="C183">
        <v>0.03</v>
      </c>
    </row>
    <row r="184" spans="1:3">
      <c r="A184" s="2" t="s">
        <v>609</v>
      </c>
      <c r="B184">
        <v>0.1162</v>
      </c>
      <c r="C184">
        <v>0.13</v>
      </c>
    </row>
    <row r="185" spans="1:3">
      <c r="A185" s="2" t="s">
        <v>612</v>
      </c>
      <c r="B185">
        <v>0.1085</v>
      </c>
      <c r="C185">
        <v>0.4</v>
      </c>
    </row>
    <row r="186" spans="1:3">
      <c r="A186" s="2" t="s">
        <v>614</v>
      </c>
      <c r="B186">
        <v>3.0630000000000002E-4</v>
      </c>
      <c r="C186">
        <v>1.79</v>
      </c>
    </row>
    <row r="187" spans="1:3">
      <c r="A187" s="2" t="s">
        <v>617</v>
      </c>
      <c r="B187">
        <v>7.1664000000000005E-2</v>
      </c>
      <c r="C187">
        <v>0.11</v>
      </c>
    </row>
    <row r="188" spans="1:3">
      <c r="A188" s="2" t="s">
        <v>620</v>
      </c>
      <c r="B188">
        <v>7.26E-3</v>
      </c>
      <c r="C188">
        <v>0.33</v>
      </c>
    </row>
    <row r="189" spans="1:3">
      <c r="A189" s="2" t="s">
        <v>622</v>
      </c>
      <c r="B189">
        <v>1.7069999999999998E-2</v>
      </c>
      <c r="C189">
        <v>0.3</v>
      </c>
    </row>
    <row r="190" spans="1:3">
      <c r="A190" s="2" t="s">
        <v>624</v>
      </c>
      <c r="B190">
        <v>1.9330000000000001E-4</v>
      </c>
      <c r="C190">
        <v>0.13</v>
      </c>
    </row>
    <row r="191" spans="1:3">
      <c r="A191" s="2" t="s">
        <v>626</v>
      </c>
      <c r="B191">
        <v>6.8585999999999994E-2</v>
      </c>
      <c r="C191">
        <v>0</v>
      </c>
    </row>
    <row r="192" spans="1:3">
      <c r="A192" s="2" t="s">
        <v>630</v>
      </c>
      <c r="B192">
        <v>0.50060000000000004</v>
      </c>
      <c r="C192">
        <v>0.89</v>
      </c>
    </row>
    <row r="193" spans="1:3">
      <c r="A193" s="2" t="s">
        <v>633</v>
      </c>
      <c r="B193">
        <v>7.9390000000000005E-4</v>
      </c>
      <c r="C193">
        <v>1.67</v>
      </c>
    </row>
    <row r="194" spans="1:3">
      <c r="A194" s="2" t="s">
        <v>636</v>
      </c>
      <c r="B194">
        <v>926.42</v>
      </c>
      <c r="C194">
        <v>0.37</v>
      </c>
    </row>
    <row r="195" spans="1:3">
      <c r="A195" s="2" t="s">
        <v>638</v>
      </c>
      <c r="B195">
        <v>2.3040000000000001E-2</v>
      </c>
      <c r="C195">
        <v>0.09</v>
      </c>
    </row>
    <row r="196" spans="1:3">
      <c r="A196" s="2" t="s">
        <v>640</v>
      </c>
      <c r="B196">
        <v>1.25E-3</v>
      </c>
      <c r="C196">
        <v>4.9800000000000004</v>
      </c>
    </row>
    <row r="197" spans="1:3">
      <c r="A197" s="2" t="s">
        <v>642</v>
      </c>
      <c r="B197">
        <v>7.7980000000000002E-3</v>
      </c>
      <c r="C197">
        <v>1.0900000000000001</v>
      </c>
    </row>
    <row r="198" spans="1:3">
      <c r="A198" s="2" t="s">
        <v>644</v>
      </c>
      <c r="B198">
        <v>6.3629999999999997E-3</v>
      </c>
      <c r="C198">
        <v>0.61</v>
      </c>
    </row>
    <row r="199" spans="1:3">
      <c r="A199" s="2" t="s">
        <v>646</v>
      </c>
      <c r="B199">
        <v>6.3449999999999999E-3</v>
      </c>
      <c r="C199">
        <v>7.0000000000000007E-2</v>
      </c>
    </row>
    <row r="200" spans="1:3">
      <c r="A200" s="2" t="s">
        <v>648</v>
      </c>
      <c r="B200">
        <v>5.4739999999999997E-3</v>
      </c>
      <c r="C200">
        <v>4.33</v>
      </c>
    </row>
    <row r="201" spans="1:3">
      <c r="A201" s="2" t="s">
        <v>650</v>
      </c>
      <c r="B201">
        <v>1.044E-2</v>
      </c>
      <c r="C201">
        <v>0.35</v>
      </c>
    </row>
    <row r="202" spans="1:3">
      <c r="A202" s="2" t="s">
        <v>652</v>
      </c>
      <c r="B202">
        <v>0.32829999999999998</v>
      </c>
      <c r="C202">
        <v>0.02</v>
      </c>
    </row>
    <row r="203" spans="1:3">
      <c r="A203" s="2" t="s">
        <v>654</v>
      </c>
      <c r="B203">
        <v>2.4729999999999999E-4</v>
      </c>
      <c r="C203">
        <v>0.22</v>
      </c>
    </row>
    <row r="204" spans="1:3">
      <c r="A204" s="2" t="s">
        <v>656</v>
      </c>
      <c r="B204">
        <v>0.39600000000000002</v>
      </c>
      <c r="C204">
        <v>0.1</v>
      </c>
    </row>
    <row r="205" spans="1:3">
      <c r="A205" s="2" t="s">
        <v>658</v>
      </c>
      <c r="B205">
        <v>1.0790000000000001E-3</v>
      </c>
      <c r="C205">
        <v>0.01</v>
      </c>
    </row>
    <row r="206" spans="1:3">
      <c r="A206" s="2" t="s">
        <v>660</v>
      </c>
      <c r="B206">
        <v>0.372</v>
      </c>
      <c r="C206">
        <v>0.08</v>
      </c>
    </row>
    <row r="207" spans="1:3">
      <c r="A207" s="2" t="s">
        <v>662</v>
      </c>
      <c r="B207">
        <v>1.3429999999999999E-2</v>
      </c>
      <c r="C207">
        <v>0.22</v>
      </c>
    </row>
    <row r="208" spans="1:3">
      <c r="A208" s="2" t="s">
        <v>667</v>
      </c>
      <c r="B208">
        <v>7.5779999999999997E-3</v>
      </c>
      <c r="C208">
        <v>19.54</v>
      </c>
    </row>
    <row r="209" spans="1:3">
      <c r="A209" s="2" t="s">
        <v>669</v>
      </c>
      <c r="B209">
        <v>0.1288</v>
      </c>
      <c r="C209">
        <v>0</v>
      </c>
    </row>
    <row r="210" spans="1:3">
      <c r="A210" s="2" t="s">
        <v>672</v>
      </c>
      <c r="B210">
        <v>3.6450000000000003E-2</v>
      </c>
      <c r="C210">
        <v>0.06</v>
      </c>
    </row>
    <row r="211" spans="1:3">
      <c r="A211" s="2" t="s">
        <v>674</v>
      </c>
      <c r="B211">
        <v>116.08</v>
      </c>
      <c r="C211">
        <v>0.76</v>
      </c>
    </row>
    <row r="212" spans="1:3">
      <c r="A212" s="2" t="s">
        <v>676</v>
      </c>
      <c r="B212">
        <v>2.809E-2</v>
      </c>
      <c r="C212">
        <v>0.51</v>
      </c>
    </row>
    <row r="213" spans="1:3">
      <c r="A213" s="2" t="s">
        <v>678</v>
      </c>
      <c r="B213">
        <v>3.3399999999999999E-4</v>
      </c>
      <c r="C213">
        <v>1.72</v>
      </c>
    </row>
    <row r="214" spans="1:3">
      <c r="A214" s="2" t="s">
        <v>680</v>
      </c>
      <c r="B214">
        <v>0.17150000000000001</v>
      </c>
      <c r="C214">
        <v>0.13</v>
      </c>
    </row>
    <row r="215" spans="1:3">
      <c r="A215" s="2" t="s">
        <v>682</v>
      </c>
      <c r="B215">
        <v>3.9649999999999998E-3</v>
      </c>
      <c r="C215">
        <v>0.42</v>
      </c>
    </row>
    <row r="216" spans="1:3">
      <c r="A216" s="2" t="s">
        <v>683</v>
      </c>
      <c r="B216">
        <v>6.4800000000000003E-4</v>
      </c>
      <c r="C216">
        <v>1.45</v>
      </c>
    </row>
    <row r="217" spans="1:3">
      <c r="A217" s="2" t="s">
        <v>685</v>
      </c>
      <c r="B217">
        <v>462.24</v>
      </c>
      <c r="C217">
        <v>0.18</v>
      </c>
    </row>
    <row r="218" spans="1:3">
      <c r="A218" s="2" t="s">
        <v>688</v>
      </c>
      <c r="B218">
        <v>3.9370000000000004E-3</v>
      </c>
      <c r="C218">
        <v>0.44</v>
      </c>
    </row>
    <row r="219" spans="1:3">
      <c r="A219" s="2" t="s">
        <v>690</v>
      </c>
      <c r="B219">
        <v>1.341E-2</v>
      </c>
      <c r="C219">
        <v>2.08</v>
      </c>
    </row>
    <row r="220" spans="1:3">
      <c r="A220" s="2" t="s">
        <v>693</v>
      </c>
      <c r="B220">
        <v>3.9170000000000003E-2</v>
      </c>
      <c r="C220">
        <v>0.21</v>
      </c>
    </row>
    <row r="221" spans="1:3">
      <c r="A221" s="2" t="s">
        <v>695</v>
      </c>
      <c r="B221">
        <v>1.1809999999999999E-2</v>
      </c>
      <c r="C221">
        <v>0.05</v>
      </c>
    </row>
    <row r="222" spans="1:3">
      <c r="A222" s="2" t="s">
        <v>697</v>
      </c>
      <c r="B222">
        <v>5.237E-2</v>
      </c>
      <c r="C222">
        <v>0.09</v>
      </c>
    </row>
    <row r="223" spans="1:3">
      <c r="A223" s="2" t="s">
        <v>699</v>
      </c>
      <c r="B223">
        <v>9.0090000000000003E-2</v>
      </c>
      <c r="C223">
        <v>0</v>
      </c>
    </row>
    <row r="224" spans="1:3">
      <c r="A224" s="2" t="s">
        <v>701</v>
      </c>
      <c r="B224">
        <v>1.091E-2</v>
      </c>
      <c r="C224">
        <v>0.45</v>
      </c>
    </row>
    <row r="225" spans="1:3">
      <c r="A225" s="2" t="s">
        <v>703</v>
      </c>
      <c r="B225">
        <v>6.411E-3</v>
      </c>
      <c r="C225">
        <v>0.25</v>
      </c>
    </row>
    <row r="226" spans="1:3">
      <c r="A226" s="2" t="s">
        <v>706</v>
      </c>
      <c r="B226">
        <v>1.306E-2</v>
      </c>
      <c r="C226">
        <v>4.4000000000000004</v>
      </c>
    </row>
    <row r="227" spans="1:3">
      <c r="A227" s="2" t="s">
        <v>708</v>
      </c>
      <c r="B227">
        <v>77.069999999999993</v>
      </c>
      <c r="C227">
        <v>0.01</v>
      </c>
    </row>
    <row r="228" spans="1:3">
      <c r="A228" s="2" t="s">
        <v>711</v>
      </c>
      <c r="B228">
        <v>7.2610000000000003E-4</v>
      </c>
      <c r="C228">
        <v>0</v>
      </c>
    </row>
    <row r="229" spans="1:3">
      <c r="A229" s="2" t="s">
        <v>713</v>
      </c>
      <c r="B229">
        <v>5.5449999999999998E-4</v>
      </c>
      <c r="C229">
        <v>0.45</v>
      </c>
    </row>
    <row r="230" spans="1:3">
      <c r="A230" s="2" t="s">
        <v>715</v>
      </c>
      <c r="B230">
        <v>8.0579999999999996E-4</v>
      </c>
      <c r="C230">
        <v>0.09</v>
      </c>
    </row>
    <row r="231" spans="1:3">
      <c r="A231" s="2" t="s">
        <v>719</v>
      </c>
      <c r="B231">
        <v>1.038E-2</v>
      </c>
      <c r="C231">
        <v>1.56</v>
      </c>
    </row>
    <row r="232" spans="1:3">
      <c r="A232" s="2" t="s">
        <v>721</v>
      </c>
      <c r="B232">
        <v>0.3377</v>
      </c>
      <c r="C232">
        <v>45.45</v>
      </c>
    </row>
    <row r="233" spans="1:3">
      <c r="A233" s="2" t="s">
        <v>723</v>
      </c>
      <c r="B233">
        <v>1.866E-2</v>
      </c>
      <c r="C233">
        <v>3.55</v>
      </c>
    </row>
    <row r="234" spans="1:3">
      <c r="A234" s="2" t="s">
        <v>725</v>
      </c>
      <c r="B234">
        <v>0</v>
      </c>
      <c r="C234">
        <v>0.9</v>
      </c>
    </row>
    <row r="235" spans="1:3">
      <c r="A235" s="2" t="s">
        <v>728</v>
      </c>
      <c r="B235">
        <v>1.2689999999999999E-4</v>
      </c>
      <c r="C235">
        <v>0.77</v>
      </c>
    </row>
    <row r="236" spans="1:3">
      <c r="A236" s="2" t="s">
        <v>730</v>
      </c>
      <c r="B236">
        <v>3.0019999999999999E-3</v>
      </c>
      <c r="C236">
        <v>9.58</v>
      </c>
    </row>
    <row r="237" spans="1:3">
      <c r="A237" s="2" t="s">
        <v>734</v>
      </c>
      <c r="B237">
        <v>48.05</v>
      </c>
      <c r="C237">
        <v>0.2</v>
      </c>
    </row>
    <row r="238" spans="1:3">
      <c r="A238" s="2" t="s">
        <v>736</v>
      </c>
      <c r="B238">
        <v>2.3149999999999998E-3</v>
      </c>
      <c r="C238">
        <v>1.89</v>
      </c>
    </row>
    <row r="239" spans="1:3">
      <c r="A239" s="2" t="s">
        <v>739</v>
      </c>
      <c r="B239">
        <v>4.1139999999999996E-3</v>
      </c>
      <c r="C239">
        <v>3.52</v>
      </c>
    </row>
    <row r="240" spans="1:3">
      <c r="A240" s="2" t="s">
        <v>741</v>
      </c>
      <c r="B240">
        <v>55.62</v>
      </c>
      <c r="C240">
        <v>7.0000000000000007E-2</v>
      </c>
    </row>
    <row r="241" spans="1:3">
      <c r="A241" s="2" t="s">
        <v>743</v>
      </c>
      <c r="B241">
        <v>143.54</v>
      </c>
      <c r="C241">
        <v>0.01</v>
      </c>
    </row>
    <row r="242" spans="1:3">
      <c r="A242" s="2" t="s">
        <v>745</v>
      </c>
      <c r="B242">
        <v>2.7899999999999999E-3</v>
      </c>
      <c r="C242">
        <v>0.01</v>
      </c>
    </row>
    <row r="243" spans="1:3">
      <c r="A243" s="2" t="s">
        <v>747</v>
      </c>
      <c r="B243">
        <v>0.46960000000000002</v>
      </c>
      <c r="C243">
        <v>0.21</v>
      </c>
    </row>
    <row r="244" spans="1:3">
      <c r="A244" s="2" t="s">
        <v>749</v>
      </c>
      <c r="B244">
        <v>9.6659999999999992E-3</v>
      </c>
      <c r="C244">
        <v>0.89</v>
      </c>
    </row>
    <row r="245" spans="1:3">
      <c r="A245" s="2" t="s">
        <v>751</v>
      </c>
      <c r="B245">
        <v>2.4559999999999998E-3</v>
      </c>
      <c r="C245">
        <v>5.14</v>
      </c>
    </row>
    <row r="246" spans="1:3">
      <c r="A246" s="2" t="s">
        <v>753</v>
      </c>
      <c r="B246">
        <v>2.5579999999999999E-3</v>
      </c>
      <c r="C246">
        <v>0.1</v>
      </c>
    </row>
    <row r="247" spans="1:3">
      <c r="A247" s="2" t="s">
        <v>755</v>
      </c>
      <c r="B247">
        <v>2.9520000000000002E-3</v>
      </c>
      <c r="C247">
        <v>1.41</v>
      </c>
    </row>
    <row r="248" spans="1:3">
      <c r="A248" s="2" t="s">
        <v>757</v>
      </c>
      <c r="B248">
        <v>8.9669999999999993E-3</v>
      </c>
      <c r="C248">
        <v>0.72</v>
      </c>
    </row>
    <row r="249" spans="1:3">
      <c r="A249" s="2" t="s">
        <v>759</v>
      </c>
      <c r="B249">
        <v>2.49E-3</v>
      </c>
      <c r="C249">
        <v>0.61</v>
      </c>
    </row>
    <row r="250" spans="1:3">
      <c r="A250" s="2" t="s">
        <v>761</v>
      </c>
      <c r="B250">
        <v>0.18490000000000001</v>
      </c>
      <c r="C250">
        <v>0</v>
      </c>
    </row>
    <row r="251" spans="1:3">
      <c r="A251" s="2" t="s">
        <v>763</v>
      </c>
      <c r="B251">
        <v>2.7299999999999998E-3</v>
      </c>
      <c r="C251">
        <v>1.67</v>
      </c>
    </row>
    <row r="252" spans="1:3">
      <c r="A252" s="2" t="s">
        <v>766</v>
      </c>
      <c r="B252">
        <v>1.931E-3</v>
      </c>
      <c r="C252">
        <v>0.78</v>
      </c>
    </row>
    <row r="253" spans="1:3">
      <c r="A253" s="2" t="s">
        <v>767</v>
      </c>
      <c r="B253">
        <v>5.296E-2</v>
      </c>
      <c r="C253">
        <v>0</v>
      </c>
    </row>
    <row r="254" spans="1:3">
      <c r="A254" s="2" t="s">
        <v>769</v>
      </c>
      <c r="B254">
        <v>4.9899999999999996E-3</v>
      </c>
      <c r="C254">
        <v>0.03</v>
      </c>
    </row>
    <row r="255" spans="1:3">
      <c r="A255" s="2" t="s">
        <v>771</v>
      </c>
      <c r="B255">
        <v>7.5439999999999993E-2</v>
      </c>
      <c r="C255">
        <v>0.8</v>
      </c>
    </row>
    <row r="256" spans="1:3">
      <c r="A256" s="2" t="s">
        <v>775</v>
      </c>
      <c r="B256">
        <v>2.5660000000000001E-3</v>
      </c>
      <c r="C256">
        <v>1.38</v>
      </c>
    </row>
    <row r="257" spans="1:3">
      <c r="A257" s="2" t="s">
        <v>777</v>
      </c>
      <c r="B257">
        <v>0</v>
      </c>
      <c r="C257">
        <v>0.11</v>
      </c>
    </row>
    <row r="258" spans="1:3">
      <c r="A258" s="2" t="s">
        <v>780</v>
      </c>
      <c r="B258">
        <v>1.89E-3</v>
      </c>
      <c r="C258">
        <v>1.86</v>
      </c>
    </row>
    <row r="259" spans="1:3">
      <c r="A259" s="2" t="s">
        <v>782</v>
      </c>
      <c r="B259">
        <v>40.44</v>
      </c>
      <c r="C259">
        <v>0.21</v>
      </c>
    </row>
    <row r="260" spans="1:3">
      <c r="A260" s="2" t="s">
        <v>784</v>
      </c>
      <c r="B260">
        <v>24.92</v>
      </c>
      <c r="C260">
        <v>0.2</v>
      </c>
    </row>
    <row r="261" spans="1:3">
      <c r="A261" s="2" t="s">
        <v>786</v>
      </c>
      <c r="B261">
        <v>6.2940000000000001E-3</v>
      </c>
      <c r="C261">
        <v>0</v>
      </c>
    </row>
    <row r="262" spans="1:3">
      <c r="A262" s="2" t="s">
        <v>788</v>
      </c>
      <c r="B262">
        <v>10.050000000000001</v>
      </c>
      <c r="C262">
        <v>0.12</v>
      </c>
    </row>
    <row r="263" spans="1:3">
      <c r="A263" s="2" t="s">
        <v>790</v>
      </c>
      <c r="B263">
        <v>2.3480000000000001E-2</v>
      </c>
      <c r="C263">
        <v>0</v>
      </c>
    </row>
    <row r="264" spans="1:3">
      <c r="A264" s="2" t="s">
        <v>792</v>
      </c>
      <c r="B264">
        <v>1111.68</v>
      </c>
      <c r="C264">
        <v>0.02</v>
      </c>
    </row>
    <row r="265" spans="1:3">
      <c r="A265" s="2" t="s">
        <v>794</v>
      </c>
      <c r="B265">
        <v>9.5359999999999998E-4</v>
      </c>
      <c r="C265">
        <v>0.08</v>
      </c>
    </row>
    <row r="266" spans="1:3">
      <c r="A266" s="2" t="s">
        <v>796</v>
      </c>
      <c r="B266">
        <v>2.6289999999999999E-4</v>
      </c>
      <c r="C266">
        <v>0.27</v>
      </c>
    </row>
    <row r="267" spans="1:3">
      <c r="A267" s="2" t="s">
        <v>798</v>
      </c>
      <c r="B267">
        <v>1.5690000000000001E-3</v>
      </c>
      <c r="C267">
        <v>5.65</v>
      </c>
    </row>
    <row r="268" spans="1:3">
      <c r="A268" s="2" t="s">
        <v>800</v>
      </c>
      <c r="B268">
        <v>4.6309999999999997E-2</v>
      </c>
      <c r="C268">
        <v>0.14000000000000001</v>
      </c>
    </row>
    <row r="269" spans="1:3">
      <c r="A269" s="2" t="s">
        <v>803</v>
      </c>
      <c r="B269">
        <v>309.61</v>
      </c>
      <c r="C269">
        <v>0.24</v>
      </c>
    </row>
    <row r="270" spans="1:3">
      <c r="A270" s="2" t="s">
        <v>808</v>
      </c>
      <c r="B270">
        <v>1.5410000000000001E-3</v>
      </c>
      <c r="C270">
        <v>0.24</v>
      </c>
    </row>
    <row r="271" spans="1:3">
      <c r="A271" s="2" t="s">
        <v>810</v>
      </c>
      <c r="B271">
        <v>1.539E-3</v>
      </c>
      <c r="C271">
        <v>3.46</v>
      </c>
    </row>
    <row r="272" spans="1:3">
      <c r="A272" s="2" t="s">
        <v>813</v>
      </c>
      <c r="B272">
        <v>2.0300000000000001E-3</v>
      </c>
      <c r="C272">
        <v>0.02</v>
      </c>
    </row>
    <row r="273" spans="1:3">
      <c r="A273" s="2" t="s">
        <v>815</v>
      </c>
      <c r="B273">
        <v>8.4791000000000005E-2</v>
      </c>
      <c r="C273">
        <v>2.68</v>
      </c>
    </row>
    <row r="274" spans="1:3">
      <c r="A274" s="2" t="s">
        <v>818</v>
      </c>
      <c r="B274">
        <v>1.624E-3</v>
      </c>
      <c r="C274">
        <v>0.26</v>
      </c>
    </row>
    <row r="275" spans="1:3">
      <c r="A275" s="2" t="s">
        <v>820</v>
      </c>
      <c r="B275">
        <v>158.87</v>
      </c>
      <c r="C275">
        <v>0.32</v>
      </c>
    </row>
    <row r="276" spans="1:3">
      <c r="A276" s="2" t="s">
        <v>822</v>
      </c>
      <c r="B276">
        <v>9.8760000000000001E-2</v>
      </c>
      <c r="C276">
        <v>0.01</v>
      </c>
    </row>
    <row r="277" spans="1:3">
      <c r="A277" s="2" t="s">
        <v>823</v>
      </c>
      <c r="B277">
        <v>7.1909999999999997E-4</v>
      </c>
      <c r="C277">
        <v>0.01</v>
      </c>
    </row>
    <row r="278" spans="1:3">
      <c r="A278" s="2" t="s">
        <v>825</v>
      </c>
      <c r="B278">
        <v>6.6930000000000002E-3</v>
      </c>
      <c r="C278">
        <v>0</v>
      </c>
    </row>
    <row r="279" spans="1:3">
      <c r="A279" s="2" t="s">
        <v>827</v>
      </c>
      <c r="B279">
        <v>1.1599999999999999</v>
      </c>
      <c r="C279">
        <v>0.02</v>
      </c>
    </row>
    <row r="280" spans="1:3">
      <c r="A280" s="2" t="s">
        <v>829</v>
      </c>
      <c r="B280">
        <v>710.69</v>
      </c>
      <c r="C280">
        <v>0.16</v>
      </c>
    </row>
    <row r="281" spans="1:3">
      <c r="A281" s="2" t="s">
        <v>831</v>
      </c>
      <c r="B281">
        <v>973.38</v>
      </c>
      <c r="C281">
        <v>0.01</v>
      </c>
    </row>
    <row r="282" spans="1:3">
      <c r="A282" s="2" t="s">
        <v>833</v>
      </c>
      <c r="B282">
        <v>1.2329999999999999E-3</v>
      </c>
      <c r="C282">
        <v>1.34</v>
      </c>
    </row>
    <row r="283" spans="1:3">
      <c r="A283" s="2" t="s">
        <v>835</v>
      </c>
      <c r="B283">
        <v>439.47</v>
      </c>
      <c r="C283">
        <v>0.43</v>
      </c>
    </row>
    <row r="284" spans="1:3">
      <c r="A284" s="2" t="s">
        <v>838</v>
      </c>
      <c r="B284">
        <v>1.2290000000000001E-3</v>
      </c>
      <c r="C284">
        <v>0</v>
      </c>
    </row>
    <row r="285" spans="1:3">
      <c r="A285" s="2" t="s">
        <v>840</v>
      </c>
      <c r="B285">
        <v>4.2610000000000002E-2</v>
      </c>
      <c r="C285">
        <v>0</v>
      </c>
    </row>
    <row r="286" spans="1:3">
      <c r="A286" s="2" t="s">
        <v>842</v>
      </c>
      <c r="B286">
        <v>5.3339999999999995E-4</v>
      </c>
      <c r="C286">
        <v>0.01</v>
      </c>
    </row>
    <row r="287" spans="1:3">
      <c r="A287" s="2" t="s">
        <v>844</v>
      </c>
      <c r="B287">
        <v>7.1887000000000006E-2</v>
      </c>
      <c r="C287">
        <v>0</v>
      </c>
    </row>
    <row r="288" spans="1:3">
      <c r="A288" s="2" t="s">
        <v>847</v>
      </c>
      <c r="B288">
        <v>5.7289999999999997E-3</v>
      </c>
      <c r="C288">
        <v>0.49</v>
      </c>
    </row>
    <row r="289" spans="1:3">
      <c r="A289" s="2" t="s">
        <v>849</v>
      </c>
      <c r="B289">
        <v>0.38800000000000001</v>
      </c>
      <c r="C289">
        <v>0.23</v>
      </c>
    </row>
    <row r="290" spans="1:3">
      <c r="A290" s="2" t="s">
        <v>851</v>
      </c>
      <c r="B290">
        <v>1.8929999999999999E-3</v>
      </c>
      <c r="C290">
        <v>0.26</v>
      </c>
    </row>
    <row r="291" spans="1:3">
      <c r="A291" s="2" t="s">
        <v>853</v>
      </c>
      <c r="B291">
        <v>1.044E-3</v>
      </c>
      <c r="C291">
        <v>0.03</v>
      </c>
    </row>
    <row r="292" spans="1:3">
      <c r="A292" s="2" t="s">
        <v>855</v>
      </c>
      <c r="B292">
        <v>10.06</v>
      </c>
      <c r="C292">
        <v>0.19</v>
      </c>
    </row>
    <row r="293" spans="1:3">
      <c r="A293" s="2" t="s">
        <v>857</v>
      </c>
      <c r="B293">
        <v>63.35</v>
      </c>
      <c r="C293">
        <v>0.22</v>
      </c>
    </row>
    <row r="294" spans="1:3">
      <c r="A294" s="2" t="s">
        <v>859</v>
      </c>
      <c r="B294">
        <v>2.1530000000000001E-2</v>
      </c>
      <c r="C294">
        <v>0.9</v>
      </c>
    </row>
    <row r="295" spans="1:3">
      <c r="A295" s="2" t="s">
        <v>861</v>
      </c>
      <c r="B295">
        <v>78.67</v>
      </c>
      <c r="C295">
        <v>0.04</v>
      </c>
    </row>
    <row r="296" spans="1:3">
      <c r="A296" s="2" t="s">
        <v>863</v>
      </c>
      <c r="B296">
        <v>111.75</v>
      </c>
      <c r="C296">
        <v>0.02</v>
      </c>
    </row>
    <row r="297" spans="1:3">
      <c r="A297" s="2" t="s">
        <v>865</v>
      </c>
      <c r="B297">
        <v>102.68</v>
      </c>
      <c r="C297">
        <v>0</v>
      </c>
    </row>
    <row r="298" spans="1:3">
      <c r="A298" s="2" t="s">
        <v>867</v>
      </c>
      <c r="B298">
        <v>3.5349999999999997E-4</v>
      </c>
      <c r="C298">
        <v>0</v>
      </c>
    </row>
    <row r="299" spans="1:3">
      <c r="A299" s="2" t="s">
        <v>869</v>
      </c>
      <c r="B299">
        <v>8.2010000000000004E-4</v>
      </c>
      <c r="C299">
        <v>0.01</v>
      </c>
    </row>
    <row r="300" spans="1:3">
      <c r="A300" s="2" t="s">
        <v>871</v>
      </c>
      <c r="B300">
        <v>5.0970000000000001E-2</v>
      </c>
      <c r="C300">
        <v>0</v>
      </c>
    </row>
    <row r="301" spans="1:3">
      <c r="A301" s="2" t="s">
        <v>873</v>
      </c>
      <c r="B301">
        <v>1.56E-4</v>
      </c>
      <c r="C301">
        <v>0.02</v>
      </c>
    </row>
    <row r="302" spans="1:3">
      <c r="A302" s="2" t="s">
        <v>875</v>
      </c>
      <c r="B302">
        <v>0.2024</v>
      </c>
      <c r="C302">
        <v>0.02</v>
      </c>
    </row>
    <row r="303" spans="1:3">
      <c r="A303" s="2" t="s">
        <v>877</v>
      </c>
      <c r="B303">
        <v>1.0089999999999999E-3</v>
      </c>
      <c r="C303">
        <v>0.55000000000000004</v>
      </c>
    </row>
    <row r="304" spans="1:3">
      <c r="A304" s="2" t="s">
        <v>246</v>
      </c>
      <c r="B304">
        <v>100712.94934450001</v>
      </c>
      <c r="C304">
        <v>311.10999999999967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I301"/>
  <sheetViews>
    <sheetView topLeftCell="AA1" workbookViewId="0">
      <selection sqref="A1:A1048576"/>
    </sheetView>
  </sheetViews>
  <sheetFormatPr defaultColWidth="9" defaultRowHeight="14.4"/>
  <sheetData>
    <row r="1" spans="1:9">
      <c r="A1" s="21" t="s">
        <v>307</v>
      </c>
      <c r="B1" s="21" t="s">
        <v>308</v>
      </c>
      <c r="C1" s="21" t="s">
        <v>309</v>
      </c>
      <c r="D1" s="21" t="s">
        <v>310</v>
      </c>
      <c r="E1" s="21" t="s">
        <v>319</v>
      </c>
      <c r="F1" s="21" t="s">
        <v>320</v>
      </c>
      <c r="G1" s="21" t="s">
        <v>311</v>
      </c>
      <c r="H1" s="21" t="s">
        <v>312</v>
      </c>
      <c r="I1" s="21" t="s">
        <v>313</v>
      </c>
    </row>
    <row r="2" spans="1:9">
      <c r="A2" s="21" t="s">
        <v>578</v>
      </c>
      <c r="B2" s="21" t="s">
        <v>579</v>
      </c>
      <c r="C2" s="21">
        <v>1.0789999999999999E-2</v>
      </c>
      <c r="D2" s="21">
        <v>1.21</v>
      </c>
      <c r="E2" s="21">
        <v>0.41</v>
      </c>
      <c r="F2" s="21">
        <v>7.74</v>
      </c>
      <c r="G2" s="21">
        <v>10240000</v>
      </c>
      <c r="H2" s="21">
        <v>15020000</v>
      </c>
      <c r="I2" s="21">
        <v>948230000</v>
      </c>
    </row>
    <row r="3" spans="1:9">
      <c r="A3" s="21" t="s">
        <v>58</v>
      </c>
      <c r="B3" s="21" t="s">
        <v>705</v>
      </c>
      <c r="C3" s="21">
        <v>462.54</v>
      </c>
      <c r="D3" s="21">
        <v>0.21</v>
      </c>
      <c r="E3" s="21">
        <v>0.2</v>
      </c>
      <c r="F3" s="21">
        <v>7.4</v>
      </c>
      <c r="G3" s="21">
        <v>3140000</v>
      </c>
      <c r="H3" s="21">
        <v>2510000</v>
      </c>
      <c r="I3" s="21">
        <v>6800</v>
      </c>
    </row>
    <row r="4" spans="1:9">
      <c r="A4" s="21" t="s">
        <v>535</v>
      </c>
      <c r="B4" s="21" t="s">
        <v>535</v>
      </c>
      <c r="C4" s="21">
        <v>5.6610000000000001E-2</v>
      </c>
      <c r="D4" s="21">
        <v>0.31</v>
      </c>
      <c r="E4" s="21">
        <v>6.19</v>
      </c>
      <c r="F4" s="21">
        <v>37.61</v>
      </c>
      <c r="G4" s="21">
        <v>13220000</v>
      </c>
      <c r="H4" s="21">
        <v>20310000</v>
      </c>
      <c r="I4" s="21">
        <v>233600000</v>
      </c>
    </row>
    <row r="5" spans="1:9">
      <c r="A5" s="21" t="s">
        <v>879</v>
      </c>
      <c r="B5" s="21" t="s">
        <v>770</v>
      </c>
      <c r="C5" s="21">
        <v>4.9899999999999996E-3</v>
      </c>
      <c r="D5" s="21">
        <v>0.03</v>
      </c>
      <c r="E5" s="21">
        <v>7.0000000000000007E-2</v>
      </c>
      <c r="F5" s="21">
        <v>3.55</v>
      </c>
      <c r="G5" s="21">
        <v>1920000</v>
      </c>
      <c r="H5" s="21">
        <v>182.35</v>
      </c>
      <c r="I5" s="21">
        <v>385100000</v>
      </c>
    </row>
    <row r="6" spans="1:9">
      <c r="A6" s="21" t="s">
        <v>48</v>
      </c>
      <c r="B6" s="21" t="s">
        <v>362</v>
      </c>
      <c r="C6" s="21">
        <v>6.2762999999999999E-2</v>
      </c>
      <c r="D6" s="21">
        <v>0.23</v>
      </c>
      <c r="E6" s="21">
        <v>1.23</v>
      </c>
      <c r="F6" s="21">
        <v>1.1000000000000001</v>
      </c>
      <c r="G6" s="21">
        <v>273640000</v>
      </c>
      <c r="H6" s="21">
        <v>5840000</v>
      </c>
      <c r="I6" s="24" t="s">
        <v>363</v>
      </c>
    </row>
    <row r="7" spans="1:9">
      <c r="A7" s="21" t="s">
        <v>749</v>
      </c>
      <c r="B7" s="21" t="s">
        <v>750</v>
      </c>
      <c r="C7" s="21">
        <v>9.6659999999999992E-3</v>
      </c>
      <c r="D7" s="21">
        <v>0.89</v>
      </c>
      <c r="E7" s="21">
        <v>5.45</v>
      </c>
      <c r="F7" s="21">
        <v>3.01</v>
      </c>
      <c r="G7" s="21">
        <v>2380000</v>
      </c>
      <c r="H7" s="21">
        <v>166310</v>
      </c>
      <c r="I7" s="21">
        <v>247220000</v>
      </c>
    </row>
    <row r="8" spans="1:9">
      <c r="A8" s="21" t="s">
        <v>177</v>
      </c>
      <c r="B8" s="21" t="s">
        <v>732</v>
      </c>
      <c r="C8" s="21">
        <v>9.1970000000000003E-3</v>
      </c>
      <c r="D8" s="21">
        <v>5.71</v>
      </c>
      <c r="E8" s="21">
        <v>1.82</v>
      </c>
      <c r="F8" s="21">
        <v>10.119999999999999</v>
      </c>
      <c r="G8" s="21">
        <v>2450000</v>
      </c>
      <c r="H8" s="21">
        <v>157920</v>
      </c>
      <c r="I8" s="24" t="s">
        <v>733</v>
      </c>
    </row>
    <row r="9" spans="1:9">
      <c r="A9" s="21" t="s">
        <v>827</v>
      </c>
      <c r="B9" s="21" t="s">
        <v>828</v>
      </c>
      <c r="C9" s="21">
        <v>1.1599999999999999</v>
      </c>
      <c r="D9" s="21">
        <v>0.02</v>
      </c>
      <c r="E9" s="21">
        <v>0.18</v>
      </c>
      <c r="F9" s="21">
        <v>0.66</v>
      </c>
      <c r="G9" s="21">
        <v>1240000</v>
      </c>
      <c r="H9" s="21"/>
      <c r="I9" s="21">
        <v>1060000</v>
      </c>
    </row>
    <row r="10" spans="1:9">
      <c r="A10" s="21" t="s">
        <v>580</v>
      </c>
      <c r="B10" s="21" t="s">
        <v>581</v>
      </c>
      <c r="C10" s="21">
        <v>1.4080000000000001E-2</v>
      </c>
      <c r="D10" s="21">
        <v>3.23</v>
      </c>
      <c r="E10" s="21">
        <v>13.52</v>
      </c>
      <c r="F10" s="21">
        <v>12.62</v>
      </c>
      <c r="G10" s="21">
        <v>10190000</v>
      </c>
      <c r="H10" s="21">
        <v>51030</v>
      </c>
      <c r="I10" s="21">
        <v>723870000</v>
      </c>
    </row>
    <row r="11" spans="1:9">
      <c r="A11" s="21" t="s">
        <v>685</v>
      </c>
      <c r="B11" s="21" t="s">
        <v>686</v>
      </c>
      <c r="C11" s="21">
        <v>462.24</v>
      </c>
      <c r="D11" s="21">
        <v>0.18</v>
      </c>
      <c r="E11" s="21">
        <v>0.33</v>
      </c>
      <c r="F11" s="21">
        <v>7.55</v>
      </c>
      <c r="G11" s="21">
        <v>3950000</v>
      </c>
      <c r="H11" s="21">
        <v>443810</v>
      </c>
      <c r="I11" s="21">
        <v>8560</v>
      </c>
    </row>
    <row r="12" spans="1:9">
      <c r="A12" s="21" t="s">
        <v>654</v>
      </c>
      <c r="B12" s="21" t="s">
        <v>655</v>
      </c>
      <c r="C12" s="21">
        <v>2.4729999999999999E-4</v>
      </c>
      <c r="D12" s="21">
        <v>0.22</v>
      </c>
      <c r="E12" s="21">
        <v>3.72</v>
      </c>
      <c r="F12" s="21">
        <v>19.149999999999999</v>
      </c>
      <c r="G12" s="21">
        <v>5240000</v>
      </c>
      <c r="H12" s="21">
        <v>31020</v>
      </c>
      <c r="I12" s="21">
        <v>21200000000</v>
      </c>
    </row>
    <row r="13" spans="1:9">
      <c r="A13" s="21" t="s">
        <v>104</v>
      </c>
      <c r="B13" s="21" t="s">
        <v>470</v>
      </c>
      <c r="C13" s="21">
        <v>1.184E-2</v>
      </c>
      <c r="D13" s="21">
        <v>1.46</v>
      </c>
      <c r="E13" s="21">
        <v>4.1900000000000004</v>
      </c>
      <c r="F13" s="21">
        <v>12.25</v>
      </c>
      <c r="G13" s="21">
        <v>29600000</v>
      </c>
      <c r="H13" s="21">
        <v>2300000</v>
      </c>
      <c r="I13" s="21">
        <v>2500000000</v>
      </c>
    </row>
    <row r="14" spans="1:9">
      <c r="A14" s="21" t="s">
        <v>584</v>
      </c>
      <c r="B14" s="21" t="s">
        <v>585</v>
      </c>
      <c r="C14" s="21">
        <v>8.7129999999999999E-2</v>
      </c>
      <c r="D14" s="21">
        <v>0.28000000000000003</v>
      </c>
      <c r="E14" s="21">
        <v>2.78</v>
      </c>
      <c r="F14" s="21">
        <v>72.92</v>
      </c>
      <c r="G14" s="21">
        <v>8490000</v>
      </c>
      <c r="H14" s="21">
        <v>156610</v>
      </c>
      <c r="I14" s="21">
        <v>97490000</v>
      </c>
    </row>
    <row r="15" spans="1:9">
      <c r="A15" s="21" t="s">
        <v>497</v>
      </c>
      <c r="B15" s="21" t="s">
        <v>497</v>
      </c>
      <c r="C15" s="21">
        <v>2.99</v>
      </c>
      <c r="D15" s="21">
        <v>0.39</v>
      </c>
      <c r="E15" s="21">
        <v>18.940000000000001</v>
      </c>
      <c r="F15" s="21">
        <v>57.24</v>
      </c>
      <c r="G15" s="21">
        <v>22070000</v>
      </c>
      <c r="H15" s="21">
        <v>203450</v>
      </c>
      <c r="I15" s="21">
        <v>7360000</v>
      </c>
    </row>
    <row r="16" spans="1:9">
      <c r="A16" s="21" t="s">
        <v>442</v>
      </c>
      <c r="B16" s="21" t="s">
        <v>443</v>
      </c>
      <c r="C16" s="21">
        <v>0.28749999999999998</v>
      </c>
      <c r="D16" s="21">
        <v>1.3</v>
      </c>
      <c r="E16" s="21">
        <v>3.25</v>
      </c>
      <c r="F16" s="21">
        <v>54.56</v>
      </c>
      <c r="G16" s="21">
        <v>42050000</v>
      </c>
      <c r="H16" s="21">
        <v>3820000</v>
      </c>
      <c r="I16" s="21">
        <v>146220000</v>
      </c>
    </row>
    <row r="17" spans="1:9">
      <c r="A17" s="21" t="s">
        <v>597</v>
      </c>
      <c r="B17" s="21" t="s">
        <v>598</v>
      </c>
      <c r="C17" s="21">
        <v>310.51</v>
      </c>
      <c r="D17" s="21">
        <v>0.1</v>
      </c>
      <c r="E17" s="21">
        <v>0.02</v>
      </c>
      <c r="F17" s="21">
        <v>1.28</v>
      </c>
      <c r="G17" s="24" t="s">
        <v>469</v>
      </c>
      <c r="H17" s="21">
        <v>3080000</v>
      </c>
      <c r="I17" s="21">
        <v>26750</v>
      </c>
    </row>
    <row r="18" spans="1:9">
      <c r="A18" s="21" t="s">
        <v>803</v>
      </c>
      <c r="B18" s="21" t="s">
        <v>804</v>
      </c>
      <c r="C18" s="21">
        <v>309.61</v>
      </c>
      <c r="D18" s="21">
        <v>0.24</v>
      </c>
      <c r="E18" s="21">
        <v>0.1</v>
      </c>
      <c r="F18" s="21">
        <v>1.3</v>
      </c>
      <c r="G18" s="21">
        <v>1540000</v>
      </c>
      <c r="H18" s="21">
        <v>416440</v>
      </c>
      <c r="I18" s="21">
        <v>5000</v>
      </c>
    </row>
    <row r="19" spans="1:9">
      <c r="A19" s="21" t="s">
        <v>699</v>
      </c>
      <c r="B19" s="21" t="s">
        <v>700</v>
      </c>
      <c r="C19" s="21">
        <v>9.0090000000000003E-2</v>
      </c>
      <c r="D19" s="21">
        <v>0</v>
      </c>
      <c r="E19" s="21">
        <v>14.21</v>
      </c>
      <c r="F19" s="21">
        <v>2.5</v>
      </c>
      <c r="G19" s="21">
        <v>3890000</v>
      </c>
      <c r="H19" s="21"/>
      <c r="I19" s="21">
        <v>43190000</v>
      </c>
    </row>
    <row r="20" spans="1:9">
      <c r="A20" s="21" t="s">
        <v>818</v>
      </c>
      <c r="B20" s="21" t="s">
        <v>819</v>
      </c>
      <c r="C20" s="21">
        <v>1.624E-3</v>
      </c>
      <c r="D20" s="21">
        <v>0.26</v>
      </c>
      <c r="E20" s="21">
        <v>3.22</v>
      </c>
      <c r="F20" s="21">
        <v>10.039999999999999</v>
      </c>
      <c r="G20" s="21">
        <v>1510000</v>
      </c>
      <c r="H20" s="21">
        <v>694850</v>
      </c>
      <c r="I20" s="21">
        <v>934960000</v>
      </c>
    </row>
    <row r="21" spans="1:9">
      <c r="A21" s="21" t="s">
        <v>570</v>
      </c>
      <c r="B21" s="21" t="s">
        <v>571</v>
      </c>
      <c r="C21" s="21">
        <v>2.869E-2</v>
      </c>
      <c r="D21" s="21">
        <v>0.37</v>
      </c>
      <c r="E21" s="21">
        <v>0.08</v>
      </c>
      <c r="F21" s="21">
        <v>9.0399999999999991</v>
      </c>
      <c r="G21" s="21">
        <v>10300000</v>
      </c>
      <c r="H21" s="21">
        <v>703790</v>
      </c>
      <c r="I21" s="21">
        <v>359110000</v>
      </c>
    </row>
    <row r="22" spans="1:9">
      <c r="A22" s="21" t="s">
        <v>721</v>
      </c>
      <c r="B22" s="21" t="s">
        <v>722</v>
      </c>
      <c r="C22" s="21">
        <v>0.3377</v>
      </c>
      <c r="D22" s="21">
        <v>45.45</v>
      </c>
      <c r="E22" s="21">
        <v>23.83</v>
      </c>
      <c r="F22" s="21">
        <v>93.08</v>
      </c>
      <c r="G22" s="21">
        <v>3030000</v>
      </c>
      <c r="H22" s="21">
        <v>1660000</v>
      </c>
      <c r="I22" s="21">
        <v>9000000</v>
      </c>
    </row>
    <row r="23" spans="1:9">
      <c r="A23" s="21" t="s">
        <v>680</v>
      </c>
      <c r="B23" s="21" t="s">
        <v>681</v>
      </c>
      <c r="C23" s="21">
        <v>0.17150000000000001</v>
      </c>
      <c r="D23" s="21">
        <v>0.13</v>
      </c>
      <c r="E23" s="21">
        <v>0.13</v>
      </c>
      <c r="F23" s="21">
        <v>4.21</v>
      </c>
      <c r="G23" s="21">
        <v>4050000</v>
      </c>
      <c r="H23" s="21">
        <v>345800</v>
      </c>
      <c r="I23" s="21">
        <v>23610000</v>
      </c>
    </row>
    <row r="24" spans="1:9">
      <c r="A24" s="21" t="s">
        <v>857</v>
      </c>
      <c r="B24" s="21" t="s">
        <v>858</v>
      </c>
      <c r="C24" s="21">
        <v>63.35</v>
      </c>
      <c r="D24" s="21">
        <v>0.22</v>
      </c>
      <c r="E24" s="21">
        <v>5.56</v>
      </c>
      <c r="F24" s="21">
        <v>9.69</v>
      </c>
      <c r="G24" s="21">
        <v>1030000</v>
      </c>
      <c r="H24" s="21">
        <v>1130000</v>
      </c>
      <c r="I24" s="21">
        <v>16360</v>
      </c>
    </row>
    <row r="25" spans="1:9">
      <c r="A25" s="21" t="s">
        <v>425</v>
      </c>
      <c r="B25" s="21" t="s">
        <v>426</v>
      </c>
      <c r="C25" s="21">
        <v>0.12989999999999999</v>
      </c>
      <c r="D25" s="21">
        <v>1.88</v>
      </c>
      <c r="E25" s="21">
        <v>2.2799999999999998</v>
      </c>
      <c r="F25" s="21">
        <v>50.32</v>
      </c>
      <c r="G25" s="21">
        <v>42940000</v>
      </c>
      <c r="H25" s="21">
        <v>25280000</v>
      </c>
      <c r="I25" s="21">
        <v>330510000</v>
      </c>
    </row>
    <row r="26" spans="1:9">
      <c r="A26" s="21" t="s">
        <v>723</v>
      </c>
      <c r="B26" s="21" t="s">
        <v>724</v>
      </c>
      <c r="C26" s="21">
        <v>1.866E-2</v>
      </c>
      <c r="D26" s="21">
        <v>3.55</v>
      </c>
      <c r="E26" s="21">
        <v>2.5099999999999998</v>
      </c>
      <c r="F26" s="21">
        <v>14.07</v>
      </c>
      <c r="G26" s="21">
        <v>3010000</v>
      </c>
      <c r="H26" s="21">
        <v>2360000</v>
      </c>
      <c r="I26" s="21">
        <v>161680000</v>
      </c>
    </row>
    <row r="27" spans="1:9">
      <c r="A27" s="21" t="s">
        <v>630</v>
      </c>
      <c r="B27" s="21" t="s">
        <v>631</v>
      </c>
      <c r="C27" s="21">
        <v>0.50060000000000004</v>
      </c>
      <c r="D27" s="21">
        <v>0.89</v>
      </c>
      <c r="E27" s="21">
        <v>0.31</v>
      </c>
      <c r="F27" s="21">
        <v>15.52</v>
      </c>
      <c r="G27" s="21">
        <v>6450000</v>
      </c>
      <c r="H27" s="21">
        <v>492610</v>
      </c>
      <c r="I27" s="21">
        <v>12890000</v>
      </c>
    </row>
    <row r="28" spans="1:9">
      <c r="A28" s="21" t="s">
        <v>430</v>
      </c>
      <c r="B28" s="21" t="s">
        <v>431</v>
      </c>
      <c r="C28" s="21">
        <v>1.489E-2</v>
      </c>
      <c r="D28" s="21">
        <v>7.0000000000000007E-2</v>
      </c>
      <c r="E28" s="21">
        <v>6.67</v>
      </c>
      <c r="F28" s="21">
        <v>28.37</v>
      </c>
      <c r="G28" s="21">
        <v>42890000</v>
      </c>
      <c r="H28" s="21">
        <v>6380000</v>
      </c>
      <c r="I28" s="21">
        <v>2870000000</v>
      </c>
    </row>
    <row r="29" spans="1:9">
      <c r="A29" s="21" t="s">
        <v>475</v>
      </c>
      <c r="B29" s="21" t="s">
        <v>476</v>
      </c>
      <c r="C29" s="21">
        <v>4.9919999999999999E-4</v>
      </c>
      <c r="D29" s="21">
        <v>1.2</v>
      </c>
      <c r="E29" s="21">
        <v>3.25</v>
      </c>
      <c r="F29" s="21">
        <v>19.47</v>
      </c>
      <c r="G29" s="21">
        <v>23180000</v>
      </c>
      <c r="H29" s="21">
        <v>6900000</v>
      </c>
      <c r="I29" s="21">
        <v>46430000000</v>
      </c>
    </row>
    <row r="30" spans="1:9">
      <c r="A30" s="21" t="s">
        <v>152</v>
      </c>
      <c r="B30" s="21" t="s">
        <v>587</v>
      </c>
      <c r="C30" s="21">
        <v>0.121</v>
      </c>
      <c r="D30" s="21">
        <v>0.06</v>
      </c>
      <c r="E30" s="21">
        <v>0.81</v>
      </c>
      <c r="F30" s="21">
        <v>14.93</v>
      </c>
      <c r="G30" s="21">
        <v>8440000</v>
      </c>
      <c r="H30" s="21">
        <v>242150</v>
      </c>
      <c r="I30" s="21">
        <v>69780000</v>
      </c>
    </row>
    <row r="31" spans="1:9">
      <c r="A31" s="21" t="s">
        <v>31</v>
      </c>
      <c r="B31" s="21" t="s">
        <v>382</v>
      </c>
      <c r="C31" s="21">
        <v>8.3150000000000002E-2</v>
      </c>
      <c r="D31" s="21">
        <v>0.09</v>
      </c>
      <c r="E31" s="21">
        <v>0.7</v>
      </c>
      <c r="F31" s="21">
        <v>0.18</v>
      </c>
      <c r="G31" s="21">
        <v>654430000</v>
      </c>
      <c r="H31" s="21">
        <v>9910000</v>
      </c>
      <c r="I31" s="21">
        <v>7870000000</v>
      </c>
    </row>
    <row r="32" spans="1:9">
      <c r="A32" s="21" t="s">
        <v>730</v>
      </c>
      <c r="B32" s="21" t="s">
        <v>731</v>
      </c>
      <c r="C32" s="21">
        <v>3.0019999999999999E-3</v>
      </c>
      <c r="D32" s="21">
        <v>9.58</v>
      </c>
      <c r="E32" s="21">
        <v>111.97</v>
      </c>
      <c r="F32" s="21">
        <v>179.93</v>
      </c>
      <c r="G32" s="21">
        <v>3000000</v>
      </c>
      <c r="H32" s="21">
        <v>119080</v>
      </c>
      <c r="I32" s="21">
        <v>1000000000</v>
      </c>
    </row>
    <row r="33" spans="1:9">
      <c r="A33" s="21" t="s">
        <v>210</v>
      </c>
      <c r="B33" s="21" t="s">
        <v>774</v>
      </c>
      <c r="C33" s="21">
        <v>2.174E-4</v>
      </c>
      <c r="D33" s="21">
        <v>0.01</v>
      </c>
      <c r="E33" s="21">
        <v>1.34</v>
      </c>
      <c r="F33" s="21">
        <v>17.600000000000001</v>
      </c>
      <c r="G33" s="21">
        <v>1910000</v>
      </c>
      <c r="H33" s="21">
        <v>9350</v>
      </c>
      <c r="I33" s="21">
        <v>8790000000</v>
      </c>
    </row>
    <row r="34" spans="1:9">
      <c r="A34" s="21" t="s">
        <v>5</v>
      </c>
      <c r="B34" s="21" t="s">
        <v>322</v>
      </c>
      <c r="C34" s="21">
        <v>80509.13</v>
      </c>
      <c r="D34" s="21">
        <v>0.18</v>
      </c>
      <c r="E34" s="21">
        <v>3.94</v>
      </c>
      <c r="F34" s="21">
        <v>25.22</v>
      </c>
      <c r="G34" s="24" t="s">
        <v>323</v>
      </c>
      <c r="H34" s="21">
        <v>60980000000</v>
      </c>
      <c r="I34" s="21">
        <v>20070000</v>
      </c>
    </row>
    <row r="35" spans="1:9">
      <c r="A35" s="21" t="s">
        <v>792</v>
      </c>
      <c r="B35" s="21" t="s">
        <v>793</v>
      </c>
      <c r="C35" s="21">
        <v>1111.68</v>
      </c>
      <c r="D35" s="21">
        <v>0.02</v>
      </c>
      <c r="E35" s="21">
        <v>0.03</v>
      </c>
      <c r="F35" s="21">
        <v>5.41</v>
      </c>
      <c r="G35" s="21">
        <v>1550000</v>
      </c>
      <c r="H35" s="21">
        <v>144710</v>
      </c>
      <c r="I35" s="21">
        <v>1400</v>
      </c>
    </row>
    <row r="36" spans="1:9">
      <c r="A36" s="21" t="s">
        <v>871</v>
      </c>
      <c r="B36" s="21" t="s">
        <v>872</v>
      </c>
      <c r="C36" s="21">
        <v>5.0970000000000001E-2</v>
      </c>
      <c r="D36" s="21">
        <v>0</v>
      </c>
      <c r="E36" s="21">
        <v>4.46</v>
      </c>
      <c r="F36" s="21">
        <v>45.49</v>
      </c>
      <c r="G36" s="21">
        <v>1010000</v>
      </c>
      <c r="H36" s="21"/>
      <c r="I36" s="21">
        <v>19950000</v>
      </c>
    </row>
    <row r="37" spans="1:9">
      <c r="A37" s="21" t="s">
        <v>617</v>
      </c>
      <c r="B37" s="21" t="s">
        <v>618</v>
      </c>
      <c r="C37" s="21">
        <v>7.1664000000000005E-2</v>
      </c>
      <c r="D37" s="21">
        <v>0.11</v>
      </c>
      <c r="E37" s="21">
        <v>3.1</v>
      </c>
      <c r="F37" s="21">
        <v>22.36</v>
      </c>
      <c r="G37" s="21">
        <v>6580000</v>
      </c>
      <c r="H37" s="21">
        <v>200070</v>
      </c>
      <c r="I37" s="24" t="s">
        <v>619</v>
      </c>
    </row>
    <row r="38" spans="1:9">
      <c r="A38" s="21" t="s">
        <v>504</v>
      </c>
      <c r="B38" s="21" t="s">
        <v>505</v>
      </c>
      <c r="C38" s="21">
        <v>5.4050000000000001E-2</v>
      </c>
      <c r="D38" s="21">
        <v>0.19</v>
      </c>
      <c r="E38" s="21">
        <v>4.78</v>
      </c>
      <c r="F38" s="21">
        <v>11.81</v>
      </c>
      <c r="G38" s="21">
        <v>17520000</v>
      </c>
      <c r="H38" s="21">
        <v>907370</v>
      </c>
      <c r="I38" s="21">
        <v>324280000</v>
      </c>
    </row>
    <row r="39" spans="1:9">
      <c r="A39" s="21" t="s">
        <v>784</v>
      </c>
      <c r="B39" s="21" t="s">
        <v>785</v>
      </c>
      <c r="C39" s="21">
        <v>24.92</v>
      </c>
      <c r="D39" s="21">
        <v>0.2</v>
      </c>
      <c r="E39" s="21">
        <v>9.11</v>
      </c>
      <c r="F39" s="21">
        <v>34.31</v>
      </c>
      <c r="G39" s="21">
        <v>1880000</v>
      </c>
      <c r="H39" s="21">
        <v>9350000</v>
      </c>
      <c r="I39" s="21">
        <v>75630</v>
      </c>
    </row>
    <row r="40" spans="1:9">
      <c r="A40" s="21" t="s">
        <v>701</v>
      </c>
      <c r="B40" s="21" t="s">
        <v>702</v>
      </c>
      <c r="C40" s="21">
        <v>1.091E-2</v>
      </c>
      <c r="D40" s="21">
        <v>0.45</v>
      </c>
      <c r="E40" s="21">
        <v>4.47</v>
      </c>
      <c r="F40" s="21">
        <v>18.149999999999999</v>
      </c>
      <c r="G40" s="21">
        <v>3880000</v>
      </c>
      <c r="H40" s="21">
        <v>525000</v>
      </c>
      <c r="I40" s="21">
        <v>356400000</v>
      </c>
    </row>
    <row r="41" spans="1:9">
      <c r="A41" s="21" t="s">
        <v>60</v>
      </c>
      <c r="B41" s="21" t="s">
        <v>356</v>
      </c>
      <c r="C41" s="21">
        <v>6.2956999999999999E-2</v>
      </c>
      <c r="D41" s="21">
        <v>0.08</v>
      </c>
      <c r="E41" s="21">
        <v>0.2</v>
      </c>
      <c r="F41" s="21">
        <v>13.97</v>
      </c>
      <c r="G41" s="21">
        <v>291870000</v>
      </c>
      <c r="H41" s="21">
        <v>6340000</v>
      </c>
      <c r="I41" s="24" t="s">
        <v>357</v>
      </c>
    </row>
    <row r="42" spans="1:9">
      <c r="A42" s="21" t="s">
        <v>377</v>
      </c>
      <c r="B42" s="21" t="s">
        <v>378</v>
      </c>
      <c r="C42" s="21">
        <v>0.45639999999999997</v>
      </c>
      <c r="D42" s="21">
        <v>0.32</v>
      </c>
      <c r="E42" s="21">
        <v>7.03</v>
      </c>
      <c r="F42" s="21">
        <v>28.73</v>
      </c>
      <c r="G42" s="21">
        <v>1230000000</v>
      </c>
      <c r="H42" s="21">
        <v>22380000</v>
      </c>
      <c r="I42" s="21">
        <v>2700000000</v>
      </c>
    </row>
    <row r="43" spans="1:9">
      <c r="A43" s="21" t="s">
        <v>8</v>
      </c>
      <c r="B43" s="21" t="s">
        <v>479</v>
      </c>
      <c r="C43" s="21">
        <v>9.6890000000000004E-2</v>
      </c>
      <c r="D43" s="21">
        <v>0.93</v>
      </c>
      <c r="E43" s="21">
        <v>2.5499999999999998</v>
      </c>
      <c r="F43" s="21">
        <v>17.71</v>
      </c>
      <c r="G43" s="21">
        <v>22890000</v>
      </c>
      <c r="H43" s="21">
        <v>13660000</v>
      </c>
      <c r="I43" s="21">
        <v>236300000</v>
      </c>
    </row>
    <row r="44" spans="1:9">
      <c r="A44" s="21" t="s">
        <v>761</v>
      </c>
      <c r="B44" s="21" t="s">
        <v>762</v>
      </c>
      <c r="C44" s="21">
        <v>0.18490000000000001</v>
      </c>
      <c r="D44" s="21">
        <v>0</v>
      </c>
      <c r="E44" s="21">
        <v>0</v>
      </c>
      <c r="F44" s="21">
        <v>7.0000000000000007E-2</v>
      </c>
      <c r="G44" s="21">
        <v>1950000</v>
      </c>
      <c r="H44" s="21"/>
      <c r="I44" s="21">
        <v>10570000</v>
      </c>
    </row>
    <row r="45" spans="1:9">
      <c r="A45" s="21" t="s">
        <v>6</v>
      </c>
      <c r="B45" s="21" t="s">
        <v>6</v>
      </c>
      <c r="C45" s="21">
        <v>713.29</v>
      </c>
      <c r="D45" s="21">
        <v>0.5</v>
      </c>
      <c r="E45" s="21">
        <v>2.08</v>
      </c>
      <c r="F45" s="21">
        <v>18.03</v>
      </c>
      <c r="G45" s="21">
        <v>94970000000</v>
      </c>
      <c r="H45" s="24" t="s">
        <v>330</v>
      </c>
      <c r="I45" s="21">
        <v>133160000</v>
      </c>
    </row>
    <row r="46" spans="1:9">
      <c r="A46" s="21" t="s">
        <v>400</v>
      </c>
      <c r="B46" s="21" t="s">
        <v>401</v>
      </c>
      <c r="C46" s="21">
        <v>2.4729999999999999E-2</v>
      </c>
      <c r="D46" s="21">
        <v>0.78</v>
      </c>
      <c r="E46" s="21">
        <v>4.4400000000000004</v>
      </c>
      <c r="F46" s="21">
        <v>3.96</v>
      </c>
      <c r="G46" s="21">
        <v>61840000</v>
      </c>
      <c r="H46" s="21">
        <v>1970000</v>
      </c>
      <c r="I46" s="21">
        <v>2500000000</v>
      </c>
    </row>
    <row r="47" spans="1:9">
      <c r="A47" s="21" t="s">
        <v>18</v>
      </c>
      <c r="B47" s="21" t="s">
        <v>358</v>
      </c>
      <c r="C47" s="21">
        <v>5.3266000000000001E-2</v>
      </c>
      <c r="D47" s="21">
        <v>1.98</v>
      </c>
      <c r="E47" s="21">
        <v>3.18</v>
      </c>
      <c r="F47" s="21">
        <v>42.35</v>
      </c>
      <c r="G47" s="21">
        <v>287410000</v>
      </c>
      <c r="H47" s="21">
        <v>83170000</v>
      </c>
      <c r="I47" s="24" t="s">
        <v>359</v>
      </c>
    </row>
    <row r="48" spans="1:9">
      <c r="A48" s="21" t="s">
        <v>488</v>
      </c>
      <c r="B48" s="21" t="s">
        <v>489</v>
      </c>
      <c r="C48" s="21">
        <v>3.24</v>
      </c>
      <c r="D48" s="21">
        <v>0.61</v>
      </c>
      <c r="E48" s="21">
        <v>2.35</v>
      </c>
      <c r="F48" s="21">
        <v>18.47</v>
      </c>
      <c r="G48" s="21">
        <v>22430000</v>
      </c>
      <c r="H48" s="21">
        <v>6610000</v>
      </c>
      <c r="I48" s="21">
        <v>6920000</v>
      </c>
    </row>
    <row r="49" spans="1:9">
      <c r="A49" s="21" t="s">
        <v>542</v>
      </c>
      <c r="B49" s="21" t="s">
        <v>543</v>
      </c>
      <c r="C49" s="21">
        <v>4.1480000000000003E-2</v>
      </c>
      <c r="D49" s="21">
        <v>0.61</v>
      </c>
      <c r="E49" s="21">
        <v>1.34</v>
      </c>
      <c r="F49" s="21">
        <v>13.29</v>
      </c>
      <c r="G49" s="21">
        <v>13110000</v>
      </c>
      <c r="H49" s="21">
        <v>3340000</v>
      </c>
      <c r="I49" s="21">
        <v>316140000</v>
      </c>
    </row>
    <row r="50" spans="1:9">
      <c r="A50" s="21" t="s">
        <v>256</v>
      </c>
      <c r="B50" s="21" t="s">
        <v>664</v>
      </c>
      <c r="C50" s="24" t="s">
        <v>665</v>
      </c>
      <c r="D50" s="21">
        <v>0.01</v>
      </c>
      <c r="E50" s="21">
        <v>0.02</v>
      </c>
      <c r="F50" s="21">
        <v>0.06</v>
      </c>
      <c r="G50" s="21">
        <v>5150000</v>
      </c>
      <c r="H50" s="21">
        <v>0.78369999999999995</v>
      </c>
      <c r="I50" s="21">
        <v>184060000000</v>
      </c>
    </row>
    <row r="51" spans="1:9">
      <c r="A51" s="21" t="s">
        <v>27</v>
      </c>
      <c r="B51" s="21" t="s">
        <v>380</v>
      </c>
      <c r="C51" s="21">
        <v>0.22070000000000001</v>
      </c>
      <c r="D51" s="21">
        <v>0.62</v>
      </c>
      <c r="E51" s="21">
        <v>2.0699999999999998</v>
      </c>
      <c r="F51" s="21">
        <v>11.45</v>
      </c>
      <c r="G51" s="21">
        <v>984260000</v>
      </c>
      <c r="H51" s="21">
        <v>17360000</v>
      </c>
      <c r="I51" s="21">
        <v>4450000000</v>
      </c>
    </row>
    <row r="52" spans="1:9">
      <c r="A52" s="21" t="s">
        <v>406</v>
      </c>
      <c r="B52" s="21" t="s">
        <v>407</v>
      </c>
      <c r="C52" s="21">
        <v>0.2203</v>
      </c>
      <c r="D52" s="21">
        <v>5.35</v>
      </c>
      <c r="E52" s="21">
        <v>8.18</v>
      </c>
      <c r="F52" s="21">
        <v>15.15</v>
      </c>
      <c r="G52" s="21">
        <v>61210000</v>
      </c>
      <c r="H52" s="21">
        <v>5170000</v>
      </c>
      <c r="I52" s="21">
        <v>277810000</v>
      </c>
    </row>
    <row r="53" spans="1:9">
      <c r="A53" s="21" t="s">
        <v>853</v>
      </c>
      <c r="B53" s="21" t="s">
        <v>854</v>
      </c>
      <c r="C53" s="21">
        <v>1.044E-3</v>
      </c>
      <c r="D53" s="21">
        <v>0.03</v>
      </c>
      <c r="E53" s="21">
        <v>0.33</v>
      </c>
      <c r="F53" s="21">
        <v>0.33</v>
      </c>
      <c r="G53" s="21">
        <v>1040000</v>
      </c>
      <c r="H53" s="21">
        <v>1.26</v>
      </c>
      <c r="I53" s="21">
        <v>1000000000</v>
      </c>
    </row>
    <row r="54" spans="1:9">
      <c r="A54" s="21" t="s">
        <v>477</v>
      </c>
      <c r="B54" s="21" t="s">
        <v>478</v>
      </c>
      <c r="C54" s="21">
        <v>5.092E-2</v>
      </c>
      <c r="D54" s="21">
        <v>0.1</v>
      </c>
      <c r="E54" s="21">
        <v>2.2000000000000002</v>
      </c>
      <c r="F54" s="21">
        <v>5.97</v>
      </c>
      <c r="G54" s="21">
        <v>22970000</v>
      </c>
      <c r="H54" s="21">
        <v>3040000</v>
      </c>
      <c r="I54" s="21">
        <v>451130000</v>
      </c>
    </row>
    <row r="55" spans="1:9">
      <c r="A55" s="21" t="s">
        <v>755</v>
      </c>
      <c r="B55" s="21" t="s">
        <v>756</v>
      </c>
      <c r="C55" s="21">
        <v>2.9520000000000002E-3</v>
      </c>
      <c r="D55" s="21">
        <v>1.41</v>
      </c>
      <c r="E55" s="21">
        <v>2.63</v>
      </c>
      <c r="F55" s="21">
        <v>13.99</v>
      </c>
      <c r="G55" s="21">
        <v>2370000</v>
      </c>
      <c r="H55" s="21">
        <v>61210</v>
      </c>
      <c r="I55" s="21">
        <v>805710000</v>
      </c>
    </row>
    <row r="56" spans="1:9">
      <c r="A56" s="21" t="s">
        <v>339</v>
      </c>
      <c r="B56" s="21" t="s">
        <v>340</v>
      </c>
      <c r="C56" s="21">
        <v>11.76</v>
      </c>
      <c r="D56" s="21">
        <v>0.17</v>
      </c>
      <c r="E56" s="21">
        <v>2.39</v>
      </c>
      <c r="F56" s="21">
        <v>23.96</v>
      </c>
      <c r="G56" s="21">
        <v>8800000000</v>
      </c>
      <c r="H56" s="21">
        <v>542780000</v>
      </c>
      <c r="I56" s="21">
        <v>748090000</v>
      </c>
    </row>
    <row r="57" spans="1:9">
      <c r="A57" s="21" t="s">
        <v>844</v>
      </c>
      <c r="B57" s="21" t="s">
        <v>845</v>
      </c>
      <c r="C57" s="21">
        <v>7.1887000000000006E-2</v>
      </c>
      <c r="D57" s="21">
        <v>0</v>
      </c>
      <c r="E57" s="21">
        <v>2.76</v>
      </c>
      <c r="F57" s="21">
        <v>31.02</v>
      </c>
      <c r="G57" s="21">
        <v>1210000</v>
      </c>
      <c r="H57" s="21"/>
      <c r="I57" s="24" t="s">
        <v>846</v>
      </c>
    </row>
    <row r="58" spans="1:9">
      <c r="A58" s="21" t="s">
        <v>511</v>
      </c>
      <c r="B58" s="21" t="s">
        <v>512</v>
      </c>
      <c r="C58" s="21">
        <v>0.17349999999999999</v>
      </c>
      <c r="D58" s="21">
        <v>0.05</v>
      </c>
      <c r="E58" s="21">
        <v>0.24</v>
      </c>
      <c r="F58" s="21">
        <v>11.96</v>
      </c>
      <c r="G58" s="21">
        <v>17350000</v>
      </c>
      <c r="H58" s="21">
        <v>1370000</v>
      </c>
      <c r="I58" s="21">
        <v>100000000</v>
      </c>
    </row>
    <row r="59" spans="1:9">
      <c r="A59" s="21" t="s">
        <v>513</v>
      </c>
      <c r="B59" s="21" t="s">
        <v>514</v>
      </c>
      <c r="C59" s="21">
        <v>6.9309999999999997E-3</v>
      </c>
      <c r="D59" s="21">
        <v>0.97</v>
      </c>
      <c r="E59" s="21">
        <v>3.1</v>
      </c>
      <c r="F59" s="21">
        <v>3.5</v>
      </c>
      <c r="G59" s="21">
        <v>17320000</v>
      </c>
      <c r="H59" s="21">
        <v>886810</v>
      </c>
      <c r="I59" s="21">
        <v>2500000000</v>
      </c>
    </row>
    <row r="60" spans="1:9">
      <c r="A60" s="21" t="s">
        <v>260</v>
      </c>
      <c r="B60" s="21" t="s">
        <v>321</v>
      </c>
      <c r="C60" s="21">
        <v>165.6</v>
      </c>
      <c r="D60" s="21">
        <v>7.0000000000000007E-2</v>
      </c>
      <c r="E60" s="21">
        <v>3.78</v>
      </c>
      <c r="F60" s="21">
        <v>27.04</v>
      </c>
      <c r="G60" s="21">
        <v>6120000</v>
      </c>
      <c r="H60" s="21">
        <v>2730000</v>
      </c>
      <c r="I60" s="21">
        <v>36990</v>
      </c>
    </row>
    <row r="61" spans="1:9">
      <c r="A61" s="21" t="s">
        <v>14</v>
      </c>
      <c r="B61" s="21" t="s">
        <v>367</v>
      </c>
      <c r="C61" s="21">
        <v>5.0340000000000003E-2</v>
      </c>
      <c r="D61" s="21">
        <v>0.04</v>
      </c>
      <c r="E61" s="21">
        <v>4.6100000000000003</v>
      </c>
      <c r="F61" s="21">
        <v>20.5</v>
      </c>
      <c r="G61" s="21">
        <v>263510000</v>
      </c>
      <c r="H61" s="21">
        <v>12430000</v>
      </c>
      <c r="I61" s="21">
        <v>5230000000</v>
      </c>
    </row>
    <row r="62" spans="1:9">
      <c r="A62" s="21" t="s">
        <v>529</v>
      </c>
      <c r="B62" s="21" t="s">
        <v>530</v>
      </c>
      <c r="C62" s="21">
        <v>2.5420000000000002E-2</v>
      </c>
      <c r="D62" s="21">
        <v>0.15</v>
      </c>
      <c r="E62" s="21">
        <v>0.09</v>
      </c>
      <c r="F62" s="21">
        <v>0.12</v>
      </c>
      <c r="G62" s="21">
        <v>13340000</v>
      </c>
      <c r="H62" s="21">
        <v>2840000</v>
      </c>
      <c r="I62" s="21">
        <v>525000000</v>
      </c>
    </row>
    <row r="63" spans="1:9">
      <c r="A63" s="21" t="s">
        <v>831</v>
      </c>
      <c r="B63" s="21" t="s">
        <v>832</v>
      </c>
      <c r="C63" s="21">
        <v>973.38</v>
      </c>
      <c r="D63" s="21">
        <v>0.01</v>
      </c>
      <c r="E63" s="21">
        <v>1.87</v>
      </c>
      <c r="F63" s="21">
        <v>1.04</v>
      </c>
      <c r="G63" s="21">
        <v>1230000</v>
      </c>
      <c r="H63" s="21">
        <v>4610000</v>
      </c>
      <c r="I63" s="21">
        <v>1260</v>
      </c>
    </row>
    <row r="64" spans="1:9">
      <c r="A64" s="21" t="s">
        <v>725</v>
      </c>
      <c r="B64" s="21" t="s">
        <v>726</v>
      </c>
      <c r="C64" s="24" t="s">
        <v>727</v>
      </c>
      <c r="D64" s="21">
        <v>0.9</v>
      </c>
      <c r="E64" s="21">
        <v>3.03</v>
      </c>
      <c r="F64" s="21">
        <v>20.82</v>
      </c>
      <c r="G64" s="21">
        <v>3000000</v>
      </c>
      <c r="H64" s="21">
        <v>655500</v>
      </c>
      <c r="I64" s="21">
        <v>63870000000</v>
      </c>
    </row>
    <row r="65" spans="1:9">
      <c r="A65" s="21" t="s">
        <v>564</v>
      </c>
      <c r="B65" s="21" t="s">
        <v>565</v>
      </c>
      <c r="C65" s="21">
        <v>3.503E-3</v>
      </c>
      <c r="D65" s="21">
        <v>1.26</v>
      </c>
      <c r="E65" s="21">
        <v>5.84</v>
      </c>
      <c r="F65" s="21">
        <v>145.86000000000001</v>
      </c>
      <c r="G65" s="21">
        <v>10490000</v>
      </c>
      <c r="H65" s="21">
        <v>127050</v>
      </c>
      <c r="I65" s="21">
        <v>2990000000</v>
      </c>
    </row>
    <row r="66" spans="1:9">
      <c r="A66" s="21" t="s">
        <v>794</v>
      </c>
      <c r="B66" s="21" t="s">
        <v>795</v>
      </c>
      <c r="C66" s="21">
        <v>9.5359999999999998E-4</v>
      </c>
      <c r="D66" s="21">
        <v>0.08</v>
      </c>
      <c r="E66" s="21">
        <v>1.38</v>
      </c>
      <c r="F66" s="21">
        <v>6.7</v>
      </c>
      <c r="G66" s="21">
        <v>1550000</v>
      </c>
      <c r="H66" s="21">
        <v>176440</v>
      </c>
      <c r="I66" s="21">
        <v>1630000000</v>
      </c>
    </row>
    <row r="67" spans="1:9">
      <c r="A67" s="21" t="s">
        <v>562</v>
      </c>
      <c r="B67" s="21" t="s">
        <v>563</v>
      </c>
      <c r="C67" s="21">
        <v>1.4409999999999999E-2</v>
      </c>
      <c r="D67" s="21">
        <v>6.1</v>
      </c>
      <c r="E67" s="21">
        <v>31.52</v>
      </c>
      <c r="F67" s="21">
        <v>25536.22</v>
      </c>
      <c r="G67" s="21">
        <v>10520000</v>
      </c>
      <c r="H67" s="21">
        <v>21540000</v>
      </c>
      <c r="I67" s="21">
        <v>729980000</v>
      </c>
    </row>
    <row r="68" spans="1:9">
      <c r="A68" s="21" t="s">
        <v>775</v>
      </c>
      <c r="B68" s="21" t="s">
        <v>776</v>
      </c>
      <c r="C68" s="21">
        <v>2.5660000000000001E-3</v>
      </c>
      <c r="D68" s="21">
        <v>1.38</v>
      </c>
      <c r="E68" s="21">
        <v>10.33</v>
      </c>
      <c r="F68" s="21">
        <v>32.619999999999997</v>
      </c>
      <c r="G68" s="21">
        <v>1900000</v>
      </c>
      <c r="H68" s="21">
        <v>1170000</v>
      </c>
      <c r="I68" s="21">
        <v>743510000</v>
      </c>
    </row>
    <row r="69" spans="1:9">
      <c r="A69" s="21" t="s">
        <v>473</v>
      </c>
      <c r="B69" s="21" t="s">
        <v>474</v>
      </c>
      <c r="C69" s="21">
        <v>9.8820000000000006E-4</v>
      </c>
      <c r="D69" s="21">
        <v>0</v>
      </c>
      <c r="E69" s="21">
        <v>0.96</v>
      </c>
      <c r="F69" s="21">
        <v>0.22</v>
      </c>
      <c r="G69" s="21">
        <v>29500000</v>
      </c>
      <c r="H69" s="21">
        <v>146320</v>
      </c>
      <c r="I69" s="21">
        <v>29850000000</v>
      </c>
    </row>
    <row r="70" spans="1:9">
      <c r="A70" s="21" t="s">
        <v>165</v>
      </c>
      <c r="B70" s="21" t="s">
        <v>374</v>
      </c>
      <c r="C70" s="21">
        <v>0.59330000000000005</v>
      </c>
      <c r="D70" s="21">
        <v>0.12</v>
      </c>
      <c r="E70" s="21">
        <v>0.38</v>
      </c>
      <c r="F70" s="21">
        <v>1.9</v>
      </c>
      <c r="G70" s="21">
        <v>6590000000</v>
      </c>
      <c r="H70" s="21">
        <v>269320</v>
      </c>
      <c r="I70" s="21">
        <v>11120000000</v>
      </c>
    </row>
    <row r="71" spans="1:9">
      <c r="A71" s="21" t="s">
        <v>838</v>
      </c>
      <c r="B71" s="21" t="s">
        <v>839</v>
      </c>
      <c r="C71" s="21">
        <v>1.2290000000000001E-3</v>
      </c>
      <c r="D71" s="21">
        <v>0</v>
      </c>
      <c r="E71" s="21">
        <v>0.85</v>
      </c>
      <c r="F71" s="21">
        <v>32.39</v>
      </c>
      <c r="G71" s="21">
        <v>1220000</v>
      </c>
      <c r="H71" s="21"/>
      <c r="I71" s="21">
        <v>1000000000</v>
      </c>
    </row>
    <row r="72" spans="1:9">
      <c r="A72" s="21" t="s">
        <v>835</v>
      </c>
      <c r="B72" s="21" t="s">
        <v>836</v>
      </c>
      <c r="C72" s="21">
        <v>439.47</v>
      </c>
      <c r="D72" s="21">
        <v>0.43</v>
      </c>
      <c r="E72" s="21">
        <v>1.25</v>
      </c>
      <c r="F72" s="21">
        <v>6.74</v>
      </c>
      <c r="G72" s="21">
        <v>1230000</v>
      </c>
      <c r="H72" s="24" t="s">
        <v>837</v>
      </c>
      <c r="I72" s="21">
        <v>2800</v>
      </c>
    </row>
    <row r="73" spans="1:9">
      <c r="A73" s="21" t="s">
        <v>556</v>
      </c>
      <c r="B73" s="21" t="s">
        <v>556</v>
      </c>
      <c r="C73" s="21">
        <v>5.0619999999999997E-3</v>
      </c>
      <c r="D73" s="21">
        <v>0.01</v>
      </c>
      <c r="E73" s="21">
        <v>0.31</v>
      </c>
      <c r="F73" s="21">
        <v>1.53</v>
      </c>
      <c r="G73" s="21">
        <v>10610000</v>
      </c>
      <c r="H73" s="21">
        <v>252970</v>
      </c>
      <c r="I73" s="24" t="s">
        <v>549</v>
      </c>
    </row>
    <row r="74" spans="1:9">
      <c r="A74" s="21" t="s">
        <v>389</v>
      </c>
      <c r="B74" s="21" t="s">
        <v>390</v>
      </c>
      <c r="C74" s="21">
        <v>1638.11</v>
      </c>
      <c r="D74" s="21">
        <v>0.48</v>
      </c>
      <c r="E74" s="21">
        <v>1.02</v>
      </c>
      <c r="F74" s="21">
        <v>6.35</v>
      </c>
      <c r="G74" s="21">
        <v>62930000</v>
      </c>
      <c r="H74" s="21">
        <v>936920</v>
      </c>
      <c r="I74" s="21">
        <v>38410</v>
      </c>
    </row>
    <row r="75" spans="1:9">
      <c r="A75" s="21" t="s">
        <v>674</v>
      </c>
      <c r="B75" s="21" t="s">
        <v>675</v>
      </c>
      <c r="C75" s="21">
        <v>116.08</v>
      </c>
      <c r="D75" s="21">
        <v>0.76</v>
      </c>
      <c r="E75" s="21">
        <v>1.68</v>
      </c>
      <c r="F75" s="21">
        <v>20.34</v>
      </c>
      <c r="G75" s="21">
        <v>5090000</v>
      </c>
      <c r="H75" s="21">
        <v>5290000</v>
      </c>
      <c r="I75" s="21">
        <v>43890</v>
      </c>
    </row>
    <row r="76" spans="1:9">
      <c r="A76" s="21" t="s">
        <v>863</v>
      </c>
      <c r="B76" s="21" t="s">
        <v>864</v>
      </c>
      <c r="C76" s="21">
        <v>111.75</v>
      </c>
      <c r="D76" s="21">
        <v>0.02</v>
      </c>
      <c r="E76" s="21">
        <v>2.63</v>
      </c>
      <c r="F76" s="21">
        <v>6.26</v>
      </c>
      <c r="G76" s="21">
        <v>1020000</v>
      </c>
      <c r="H76" s="21">
        <v>221800</v>
      </c>
      <c r="I76" s="21">
        <v>9200</v>
      </c>
    </row>
    <row r="77" spans="1:9">
      <c r="A77" s="21" t="s">
        <v>646</v>
      </c>
      <c r="B77" s="21" t="s">
        <v>647</v>
      </c>
      <c r="C77" s="21">
        <v>6.3449999999999999E-3</v>
      </c>
      <c r="D77" s="21">
        <v>7.0000000000000007E-2</v>
      </c>
      <c r="E77" s="21">
        <v>13.24</v>
      </c>
      <c r="F77" s="21">
        <v>24.42</v>
      </c>
      <c r="G77" s="21">
        <v>6340000</v>
      </c>
      <c r="H77" s="21">
        <v>12990</v>
      </c>
      <c r="I77" s="21">
        <v>1000000000</v>
      </c>
    </row>
    <row r="78" spans="1:9">
      <c r="A78" s="21" t="s">
        <v>264</v>
      </c>
      <c r="B78" s="21" t="s">
        <v>336</v>
      </c>
      <c r="C78" s="21">
        <v>9.2090000000000005E-2</v>
      </c>
      <c r="D78" s="21">
        <v>0.72</v>
      </c>
      <c r="E78" s="21">
        <v>0.76</v>
      </c>
      <c r="F78" s="21">
        <v>31.61</v>
      </c>
      <c r="G78" s="21">
        <v>14330000000</v>
      </c>
      <c r="H78" s="21">
        <v>1400000000</v>
      </c>
      <c r="I78" s="21">
        <v>155630000000</v>
      </c>
    </row>
    <row r="79" spans="1:9">
      <c r="A79" s="21" t="s">
        <v>410</v>
      </c>
      <c r="B79" s="21" t="s">
        <v>411</v>
      </c>
      <c r="C79" s="21">
        <v>3.54</v>
      </c>
      <c r="D79" s="21">
        <v>0.14000000000000001</v>
      </c>
      <c r="E79" s="21">
        <v>1.31</v>
      </c>
      <c r="F79" s="21">
        <v>1.64</v>
      </c>
      <c r="G79" s="21">
        <v>60590000</v>
      </c>
      <c r="H79" s="21">
        <v>247990</v>
      </c>
      <c r="I79" s="21">
        <v>17070000</v>
      </c>
    </row>
    <row r="80" spans="1:9">
      <c r="A80" s="21" t="s">
        <v>80</v>
      </c>
      <c r="B80" s="21" t="s">
        <v>558</v>
      </c>
      <c r="C80" s="21">
        <v>2.3949999999999999E-2</v>
      </c>
      <c r="D80" s="21">
        <v>0.45</v>
      </c>
      <c r="E80" s="21">
        <v>0.61</v>
      </c>
      <c r="F80" s="21">
        <v>3.45</v>
      </c>
      <c r="G80" s="21">
        <v>10580000</v>
      </c>
      <c r="H80" s="21">
        <v>3500000</v>
      </c>
      <c r="I80" s="21">
        <v>441620000</v>
      </c>
    </row>
    <row r="81" spans="1:9">
      <c r="A81" s="21" t="s">
        <v>599</v>
      </c>
      <c r="B81" s="21" t="s">
        <v>600</v>
      </c>
      <c r="C81" s="21">
        <v>0.2319</v>
      </c>
      <c r="D81" s="21">
        <v>0.5</v>
      </c>
      <c r="E81" s="21">
        <v>0.21</v>
      </c>
      <c r="F81" s="21">
        <v>0.17</v>
      </c>
      <c r="G81" s="24" t="s">
        <v>601</v>
      </c>
      <c r="H81" s="21">
        <v>304090</v>
      </c>
      <c r="I81" s="21">
        <v>35770000</v>
      </c>
    </row>
    <row r="82" spans="1:9">
      <c r="A82" s="21" t="s">
        <v>391</v>
      </c>
      <c r="B82" s="21" t="s">
        <v>392</v>
      </c>
      <c r="C82" s="21">
        <v>2.2159999999999999E-4</v>
      </c>
      <c r="D82" s="21">
        <v>2.36</v>
      </c>
      <c r="E82" s="21">
        <v>6.3</v>
      </c>
      <c r="F82" s="21">
        <v>15.51</v>
      </c>
      <c r="G82" s="21">
        <v>62620000</v>
      </c>
      <c r="H82" s="21">
        <v>839940</v>
      </c>
      <c r="I82" s="21">
        <v>282560000000</v>
      </c>
    </row>
    <row r="83" spans="1:9">
      <c r="A83" s="21" t="s">
        <v>133</v>
      </c>
      <c r="B83" s="21" t="s">
        <v>629</v>
      </c>
      <c r="C83" s="21">
        <v>1.0410000000000001E-2</v>
      </c>
      <c r="D83" s="21">
        <v>0.99</v>
      </c>
      <c r="E83" s="21">
        <v>19.920000000000002</v>
      </c>
      <c r="F83" s="21">
        <v>35.950000000000003</v>
      </c>
      <c r="G83" s="21">
        <v>6470000</v>
      </c>
      <c r="H83" s="21">
        <v>1650000</v>
      </c>
      <c r="I83" s="21">
        <v>621500000</v>
      </c>
    </row>
    <row r="84" spans="1:9">
      <c r="A84" s="21" t="s">
        <v>527</v>
      </c>
      <c r="B84" s="21" t="s">
        <v>528</v>
      </c>
      <c r="C84" s="21">
        <v>1.243E-2</v>
      </c>
      <c r="D84" s="21">
        <v>0.46</v>
      </c>
      <c r="E84" s="21">
        <v>1.42</v>
      </c>
      <c r="F84" s="21">
        <v>4.1399999999999997</v>
      </c>
      <c r="G84" s="21">
        <v>17090000</v>
      </c>
      <c r="H84" s="21">
        <v>465220</v>
      </c>
      <c r="I84" s="21">
        <v>1370000000</v>
      </c>
    </row>
    <row r="85" spans="1:9">
      <c r="A85" s="21" t="s">
        <v>266</v>
      </c>
      <c r="B85" s="21" t="s">
        <v>632</v>
      </c>
      <c r="C85" s="21">
        <v>0.27900000000000003</v>
      </c>
      <c r="D85" s="21">
        <v>0.03</v>
      </c>
      <c r="E85" s="21">
        <v>1.38</v>
      </c>
      <c r="F85" s="21">
        <v>9.3000000000000007</v>
      </c>
      <c r="G85" s="21">
        <v>6440000</v>
      </c>
      <c r="H85" s="21">
        <v>158690</v>
      </c>
      <c r="I85" s="21">
        <v>23080000</v>
      </c>
    </row>
    <row r="86" spans="1:9">
      <c r="A86" s="21" t="s">
        <v>640</v>
      </c>
      <c r="B86" s="21" t="s">
        <v>641</v>
      </c>
      <c r="C86" s="21">
        <v>1.25E-3</v>
      </c>
      <c r="D86" s="21">
        <v>4.9800000000000004</v>
      </c>
      <c r="E86" s="21">
        <v>5.72</v>
      </c>
      <c r="F86" s="21">
        <v>19.489999999999998</v>
      </c>
      <c r="G86" s="21">
        <v>6380000</v>
      </c>
      <c r="H86" s="21">
        <v>431220</v>
      </c>
      <c r="I86" s="21">
        <v>5100000000</v>
      </c>
    </row>
    <row r="87" spans="1:9">
      <c r="A87" s="21" t="s">
        <v>509</v>
      </c>
      <c r="B87" s="21" t="s">
        <v>510</v>
      </c>
      <c r="C87" s="21">
        <v>0.84640000000000004</v>
      </c>
      <c r="D87" s="21">
        <v>0.93</v>
      </c>
      <c r="E87" s="21">
        <v>1.02</v>
      </c>
      <c r="F87" s="21">
        <v>4.9000000000000004</v>
      </c>
      <c r="G87" s="21">
        <v>17420000</v>
      </c>
      <c r="H87" s="21">
        <v>7290000</v>
      </c>
      <c r="I87" s="21">
        <v>20590000</v>
      </c>
    </row>
    <row r="88" spans="1:9">
      <c r="A88" s="21" t="s">
        <v>498</v>
      </c>
      <c r="B88" s="21" t="s">
        <v>499</v>
      </c>
      <c r="C88" s="21">
        <v>0.26469999999999999</v>
      </c>
      <c r="D88" s="21">
        <v>0.77</v>
      </c>
      <c r="E88" s="21">
        <v>1.6</v>
      </c>
      <c r="F88" s="21">
        <v>30.89</v>
      </c>
      <c r="G88" s="21">
        <v>22070000</v>
      </c>
      <c r="H88" s="21">
        <v>151230</v>
      </c>
      <c r="I88" s="21">
        <v>83370000</v>
      </c>
    </row>
    <row r="89" spans="1:9">
      <c r="A89" s="21" t="s">
        <v>267</v>
      </c>
      <c r="B89" s="21" t="s">
        <v>324</v>
      </c>
      <c r="C89" s="21">
        <v>2502.7199999999998</v>
      </c>
      <c r="D89" s="21">
        <v>0.12</v>
      </c>
      <c r="E89" s="21">
        <v>2.04</v>
      </c>
      <c r="F89" s="21">
        <v>31.57</v>
      </c>
      <c r="G89" s="21">
        <v>302090000000</v>
      </c>
      <c r="H89" s="21">
        <v>23510000000</v>
      </c>
      <c r="I89" s="21">
        <v>120680000</v>
      </c>
    </row>
    <row r="90" spans="1:9">
      <c r="A90" s="21" t="s">
        <v>461</v>
      </c>
      <c r="B90" s="21" t="s">
        <v>462</v>
      </c>
      <c r="C90" s="21">
        <v>0.27939999999999998</v>
      </c>
      <c r="D90" s="21">
        <v>0.37</v>
      </c>
      <c r="E90" s="21">
        <v>2.2400000000000002</v>
      </c>
      <c r="F90" s="21">
        <v>17.78</v>
      </c>
      <c r="G90" s="21">
        <v>30120000</v>
      </c>
      <c r="H90" s="21">
        <v>1820000</v>
      </c>
      <c r="I90" s="21">
        <v>107810000</v>
      </c>
    </row>
    <row r="91" spans="1:9">
      <c r="A91" s="21" t="s">
        <v>465</v>
      </c>
      <c r="B91" s="21" t="s">
        <v>466</v>
      </c>
      <c r="C91" s="21">
        <v>1.3480000000000001E-2</v>
      </c>
      <c r="D91" s="21">
        <v>1.3</v>
      </c>
      <c r="E91" s="21">
        <v>0.72</v>
      </c>
      <c r="F91" s="21">
        <v>1.05</v>
      </c>
      <c r="G91" s="21">
        <v>30080000</v>
      </c>
      <c r="H91" s="21">
        <v>10730000</v>
      </c>
      <c r="I91" s="21">
        <v>2230000000</v>
      </c>
    </row>
    <row r="92" spans="1:9">
      <c r="A92" s="21" t="s">
        <v>360</v>
      </c>
      <c r="B92" s="21" t="s">
        <v>361</v>
      </c>
      <c r="C92" s="21">
        <v>9.0190000000000006E-2</v>
      </c>
      <c r="D92" s="21">
        <v>1.69</v>
      </c>
      <c r="E92" s="21">
        <v>0.56000000000000005</v>
      </c>
      <c r="F92" s="21">
        <v>39.86</v>
      </c>
      <c r="G92" s="21">
        <v>276450000</v>
      </c>
      <c r="H92" s="21">
        <v>21030000</v>
      </c>
      <c r="I92" s="21">
        <v>3060000000</v>
      </c>
    </row>
    <row r="93" spans="1:9">
      <c r="A93" s="21" t="s">
        <v>137</v>
      </c>
      <c r="B93" s="21" t="s">
        <v>379</v>
      </c>
      <c r="C93" s="21">
        <v>0.99529999999999996</v>
      </c>
      <c r="D93" s="21">
        <v>0.08</v>
      </c>
      <c r="E93" s="21">
        <v>0.05</v>
      </c>
      <c r="F93" s="21">
        <v>0.04</v>
      </c>
      <c r="G93" s="21">
        <v>1170000000</v>
      </c>
      <c r="H93" s="21">
        <v>962330</v>
      </c>
      <c r="I93" s="21">
        <v>1170000000</v>
      </c>
    </row>
    <row r="94" spans="1:9">
      <c r="A94" s="21" t="s">
        <v>658</v>
      </c>
      <c r="B94" s="21" t="s">
        <v>659</v>
      </c>
      <c r="C94" s="21">
        <v>1.0790000000000001E-3</v>
      </c>
      <c r="D94" s="21">
        <v>0.01</v>
      </c>
      <c r="E94" s="21">
        <v>0.32</v>
      </c>
      <c r="F94" s="21">
        <v>13.64</v>
      </c>
      <c r="G94" s="21">
        <v>5210000</v>
      </c>
      <c r="H94" s="21">
        <v>47790</v>
      </c>
      <c r="I94" s="21">
        <v>4830000000</v>
      </c>
    </row>
    <row r="95" spans="1:9">
      <c r="A95" s="21" t="s">
        <v>394</v>
      </c>
      <c r="B95" s="21" t="s">
        <v>395</v>
      </c>
      <c r="C95" s="21">
        <v>0.99950000000000006</v>
      </c>
      <c r="D95" s="21">
        <v>0</v>
      </c>
      <c r="E95" s="21">
        <v>0.01</v>
      </c>
      <c r="F95" s="21">
        <v>0.03</v>
      </c>
      <c r="G95" s="21">
        <v>62570000</v>
      </c>
      <c r="H95" s="21">
        <v>147220000</v>
      </c>
      <c r="I95" s="21">
        <v>62600000</v>
      </c>
    </row>
    <row r="96" spans="1:9">
      <c r="A96" s="21" t="s">
        <v>161</v>
      </c>
      <c r="B96" s="21" t="s">
        <v>553</v>
      </c>
      <c r="C96" s="21">
        <v>0.68469999999999998</v>
      </c>
      <c r="D96" s="21">
        <v>0.06</v>
      </c>
      <c r="E96" s="21">
        <v>2.42</v>
      </c>
      <c r="F96" s="21">
        <v>10.63</v>
      </c>
      <c r="G96" s="21">
        <v>12980000</v>
      </c>
      <c r="H96" s="21">
        <v>245350</v>
      </c>
      <c r="I96" s="21">
        <v>18950000</v>
      </c>
    </row>
    <row r="97" spans="1:9">
      <c r="A97" s="21" t="s">
        <v>368</v>
      </c>
      <c r="B97" s="21" t="s">
        <v>368</v>
      </c>
      <c r="C97" s="24" t="s">
        <v>369</v>
      </c>
      <c r="D97" s="21">
        <v>1.36</v>
      </c>
      <c r="E97" s="21">
        <v>2.85</v>
      </c>
      <c r="F97" s="21">
        <v>37.950000000000003</v>
      </c>
      <c r="G97" s="21">
        <v>262690000</v>
      </c>
      <c r="H97" s="21">
        <v>43180000</v>
      </c>
      <c r="I97" s="24" t="s">
        <v>370</v>
      </c>
    </row>
    <row r="98" spans="1:9">
      <c r="A98" s="21" t="s">
        <v>544</v>
      </c>
      <c r="B98" s="21" t="s">
        <v>545</v>
      </c>
      <c r="C98" s="21">
        <v>6.5549999999999997E-2</v>
      </c>
      <c r="D98" s="21">
        <v>0.31</v>
      </c>
      <c r="E98" s="21">
        <v>2.54</v>
      </c>
      <c r="F98" s="21">
        <v>11.13</v>
      </c>
      <c r="G98" s="21">
        <v>13110000</v>
      </c>
      <c r="H98" s="21">
        <v>9280000</v>
      </c>
      <c r="I98" s="21">
        <v>200000000</v>
      </c>
    </row>
    <row r="99" spans="1:9">
      <c r="A99" s="21" t="s">
        <v>440</v>
      </c>
      <c r="B99" s="21" t="s">
        <v>441</v>
      </c>
      <c r="C99" s="21">
        <v>1.24</v>
      </c>
      <c r="D99" s="21">
        <v>0.02</v>
      </c>
      <c r="E99" s="21">
        <v>0.23</v>
      </c>
      <c r="F99" s="21">
        <v>0.87</v>
      </c>
      <c r="G99" s="21">
        <v>42490000</v>
      </c>
      <c r="H99" s="21">
        <v>303340</v>
      </c>
      <c r="I99" s="21">
        <v>34130000</v>
      </c>
    </row>
    <row r="100" spans="1:9">
      <c r="A100" s="21" t="s">
        <v>861</v>
      </c>
      <c r="B100" s="21" t="s">
        <v>862</v>
      </c>
      <c r="C100" s="21">
        <v>78.67</v>
      </c>
      <c r="D100" s="21">
        <v>0.04</v>
      </c>
      <c r="E100" s="21">
        <v>0.28000000000000003</v>
      </c>
      <c r="F100" s="21">
        <v>1.6</v>
      </c>
      <c r="G100" s="21">
        <v>1030000</v>
      </c>
      <c r="H100" s="21">
        <v>162320</v>
      </c>
      <c r="I100" s="21">
        <v>13090</v>
      </c>
    </row>
    <row r="101" spans="1:9">
      <c r="A101" s="21" t="s">
        <v>833</v>
      </c>
      <c r="B101" s="21" t="s">
        <v>834</v>
      </c>
      <c r="C101" s="21">
        <v>1.2329999999999999E-3</v>
      </c>
      <c r="D101" s="21">
        <v>1.34</v>
      </c>
      <c r="E101" s="21">
        <v>8.06</v>
      </c>
      <c r="F101" s="21">
        <v>38.26</v>
      </c>
      <c r="G101" s="21">
        <v>1230000</v>
      </c>
      <c r="H101" s="21">
        <v>58370</v>
      </c>
      <c r="I101" s="21">
        <v>999980000</v>
      </c>
    </row>
    <row r="102" spans="1:9">
      <c r="A102" s="21" t="s">
        <v>188</v>
      </c>
      <c r="B102" s="21" t="s">
        <v>812</v>
      </c>
      <c r="C102" s="21">
        <v>0.10249999999999999</v>
      </c>
      <c r="D102" s="21">
        <v>0.12</v>
      </c>
      <c r="E102" s="21">
        <v>1.32</v>
      </c>
      <c r="F102" s="21">
        <v>17.04</v>
      </c>
      <c r="G102" s="21">
        <v>1530000</v>
      </c>
      <c r="H102" s="21">
        <v>155190</v>
      </c>
      <c r="I102" s="21">
        <v>14950000</v>
      </c>
    </row>
    <row r="103" spans="1:9">
      <c r="A103" s="21" t="s">
        <v>711</v>
      </c>
      <c r="B103" s="21" t="s">
        <v>712</v>
      </c>
      <c r="C103" s="21">
        <v>7.2610000000000003E-4</v>
      </c>
      <c r="D103" s="21">
        <v>0</v>
      </c>
      <c r="E103" s="21">
        <v>0.26</v>
      </c>
      <c r="F103" s="21">
        <v>5.69</v>
      </c>
      <c r="G103" s="21">
        <v>3090000</v>
      </c>
      <c r="H103" s="21"/>
      <c r="I103" s="21">
        <v>4260000000</v>
      </c>
    </row>
    <row r="104" spans="1:9">
      <c r="A104" s="21" t="s">
        <v>111</v>
      </c>
      <c r="B104" s="21" t="s">
        <v>111</v>
      </c>
      <c r="C104" s="21">
        <v>0.99860000000000004</v>
      </c>
      <c r="D104" s="21">
        <v>0.02</v>
      </c>
      <c r="E104" s="21">
        <v>0.04</v>
      </c>
      <c r="F104" s="21">
        <v>0.01</v>
      </c>
      <c r="G104" s="21">
        <v>698050000</v>
      </c>
      <c r="H104" s="21">
        <v>525060</v>
      </c>
      <c r="I104" s="21">
        <v>699000000</v>
      </c>
    </row>
    <row r="105" spans="1:9">
      <c r="A105" s="21" t="s">
        <v>741</v>
      </c>
      <c r="B105" s="21" t="s">
        <v>742</v>
      </c>
      <c r="C105" s="21">
        <v>55.62</v>
      </c>
      <c r="D105" s="21">
        <v>7.0000000000000007E-2</v>
      </c>
      <c r="E105" s="21">
        <v>0.2</v>
      </c>
      <c r="F105" s="21">
        <v>4.3899999999999997</v>
      </c>
      <c r="G105" s="21">
        <v>2410000</v>
      </c>
      <c r="H105" s="21">
        <v>180860</v>
      </c>
      <c r="I105" s="21">
        <v>43380</v>
      </c>
    </row>
    <row r="106" spans="1:9">
      <c r="A106" s="21" t="s">
        <v>36</v>
      </c>
      <c r="B106" s="21" t="s">
        <v>36</v>
      </c>
      <c r="C106" s="21">
        <v>7.4009999999999996E-3</v>
      </c>
      <c r="D106" s="21">
        <v>1.07</v>
      </c>
      <c r="E106" s="21">
        <v>1.69</v>
      </c>
      <c r="F106" s="21">
        <v>24.98</v>
      </c>
      <c r="G106" s="21">
        <v>23020000</v>
      </c>
      <c r="H106" s="21">
        <v>5140000</v>
      </c>
      <c r="I106" s="21">
        <v>3110000000</v>
      </c>
    </row>
    <row r="107" spans="1:9">
      <c r="A107" s="21" t="s">
        <v>344</v>
      </c>
      <c r="B107" s="21" t="s">
        <v>345</v>
      </c>
      <c r="C107" s="21">
        <v>124.1</v>
      </c>
      <c r="D107" s="21">
        <v>0.45</v>
      </c>
      <c r="E107" s="21">
        <v>0.61</v>
      </c>
      <c r="F107" s="21">
        <v>19.47</v>
      </c>
      <c r="G107" s="21">
        <v>327560000</v>
      </c>
      <c r="H107" s="21">
        <v>1450000</v>
      </c>
      <c r="I107" s="21">
        <v>2630000</v>
      </c>
    </row>
    <row r="108" spans="1:9">
      <c r="A108" s="21" t="s">
        <v>506</v>
      </c>
      <c r="B108" s="21" t="s">
        <v>507</v>
      </c>
      <c r="C108" s="21">
        <v>148.4</v>
      </c>
      <c r="D108" s="21">
        <v>0</v>
      </c>
      <c r="E108" s="21">
        <v>0.22</v>
      </c>
      <c r="F108" s="21">
        <v>5.6</v>
      </c>
      <c r="G108" s="21">
        <v>17460000</v>
      </c>
      <c r="H108" s="21"/>
      <c r="I108" s="21">
        <v>117660</v>
      </c>
    </row>
    <row r="109" spans="1:9">
      <c r="A109" s="21" t="s">
        <v>421</v>
      </c>
      <c r="B109" s="21" t="s">
        <v>422</v>
      </c>
      <c r="C109" s="21">
        <v>3.9129999999999998E-3</v>
      </c>
      <c r="D109" s="21">
        <v>0.5</v>
      </c>
      <c r="E109" s="21">
        <v>2.09</v>
      </c>
      <c r="F109" s="21">
        <v>0.64</v>
      </c>
      <c r="G109" s="21">
        <v>43130000</v>
      </c>
      <c r="H109" s="21">
        <v>4510000</v>
      </c>
      <c r="I109" s="21">
        <v>11020000000</v>
      </c>
    </row>
    <row r="110" spans="1:9">
      <c r="A110" s="21" t="s">
        <v>706</v>
      </c>
      <c r="B110" s="21" t="s">
        <v>707</v>
      </c>
      <c r="C110" s="21">
        <v>1.306E-2</v>
      </c>
      <c r="D110" s="21">
        <v>4.4000000000000004</v>
      </c>
      <c r="E110" s="21">
        <v>4.5199999999999996</v>
      </c>
      <c r="F110" s="21">
        <v>0.52</v>
      </c>
      <c r="G110" s="21">
        <v>3120000</v>
      </c>
      <c r="H110" s="21">
        <v>1690</v>
      </c>
      <c r="I110" s="21">
        <v>239380000</v>
      </c>
    </row>
    <row r="111" spans="1:9">
      <c r="A111" s="21" t="s">
        <v>595</v>
      </c>
      <c r="B111" s="21" t="s">
        <v>596</v>
      </c>
      <c r="C111" s="21">
        <v>9.1539999999999996E-2</v>
      </c>
      <c r="D111" s="21">
        <v>0</v>
      </c>
      <c r="E111" s="21">
        <v>0</v>
      </c>
      <c r="F111" s="21">
        <v>0</v>
      </c>
      <c r="G111" s="24" t="s">
        <v>469</v>
      </c>
      <c r="H111" s="21"/>
      <c r="I111" s="21">
        <v>90750000</v>
      </c>
    </row>
    <row r="112" spans="1:9">
      <c r="A112" s="21" t="s">
        <v>582</v>
      </c>
      <c r="B112" s="21" t="s">
        <v>583</v>
      </c>
      <c r="C112" s="21">
        <v>3.2539999999999999E-3</v>
      </c>
      <c r="D112" s="21">
        <v>0.55000000000000004</v>
      </c>
      <c r="E112" s="21">
        <v>3.89</v>
      </c>
      <c r="F112" s="21">
        <v>9.7799999999999994</v>
      </c>
      <c r="G112" s="21">
        <v>10170000</v>
      </c>
      <c r="H112" s="21">
        <v>4590000</v>
      </c>
      <c r="I112" s="21">
        <v>3120000000</v>
      </c>
    </row>
    <row r="113" spans="1:9">
      <c r="A113" s="21" t="s">
        <v>548</v>
      </c>
      <c r="B113" s="21" t="s">
        <v>548</v>
      </c>
      <c r="C113" s="21">
        <v>6.2030000000000002E-3</v>
      </c>
      <c r="D113" s="21">
        <v>0.18</v>
      </c>
      <c r="E113" s="21">
        <v>1.1200000000000001</v>
      </c>
      <c r="F113" s="21">
        <v>1.46</v>
      </c>
      <c r="G113" s="21">
        <v>13020000</v>
      </c>
      <c r="H113" s="21">
        <v>25.96</v>
      </c>
      <c r="I113" s="24" t="s">
        <v>549</v>
      </c>
    </row>
    <row r="114" spans="1:9">
      <c r="A114" s="21" t="s">
        <v>566</v>
      </c>
      <c r="B114" s="21" t="s">
        <v>567</v>
      </c>
      <c r="C114" s="21">
        <v>0.12770000000000001</v>
      </c>
      <c r="D114" s="21">
        <v>0.64</v>
      </c>
      <c r="E114" s="21">
        <v>2.33</v>
      </c>
      <c r="F114" s="21">
        <v>0.12</v>
      </c>
      <c r="G114" s="21">
        <v>10400000</v>
      </c>
      <c r="H114" s="21">
        <v>10740000</v>
      </c>
      <c r="I114" s="21">
        <v>81470000</v>
      </c>
    </row>
    <row r="115" spans="1:9">
      <c r="A115" s="21" t="s">
        <v>683</v>
      </c>
      <c r="B115" s="21" t="s">
        <v>684</v>
      </c>
      <c r="C115" s="21">
        <v>6.4800000000000003E-4</v>
      </c>
      <c r="D115" s="21">
        <v>1.45</v>
      </c>
      <c r="E115" s="21">
        <v>3.77</v>
      </c>
      <c r="F115" s="21">
        <v>15.26</v>
      </c>
      <c r="G115" s="21">
        <v>3950000</v>
      </c>
      <c r="H115" s="21">
        <v>115140</v>
      </c>
      <c r="I115" s="21">
        <v>6100000000</v>
      </c>
    </row>
    <row r="116" spans="1:9">
      <c r="A116" s="21" t="s">
        <v>201</v>
      </c>
      <c r="B116" s="21" t="s">
        <v>805</v>
      </c>
      <c r="C116" s="21">
        <v>5.3672999999999998E-2</v>
      </c>
      <c r="D116" s="21">
        <v>0.15</v>
      </c>
      <c r="E116" s="21">
        <v>1.18</v>
      </c>
      <c r="F116" s="21">
        <v>33.450000000000003</v>
      </c>
      <c r="G116" s="21">
        <v>1540000</v>
      </c>
      <c r="H116" s="24" t="s">
        <v>806</v>
      </c>
      <c r="I116" s="21">
        <v>420690000000</v>
      </c>
    </row>
    <row r="117" spans="1:9">
      <c r="A117" s="21" t="s">
        <v>193</v>
      </c>
      <c r="B117" s="21" t="s">
        <v>193</v>
      </c>
      <c r="C117" s="21">
        <v>1.1690000000000001E-2</v>
      </c>
      <c r="D117" s="21">
        <v>0</v>
      </c>
      <c r="E117" s="21">
        <v>4.29</v>
      </c>
      <c r="F117" s="21">
        <v>7.06</v>
      </c>
      <c r="G117" s="21">
        <v>3990000</v>
      </c>
      <c r="H117" s="21">
        <v>35260</v>
      </c>
      <c r="I117" s="21">
        <v>341170000</v>
      </c>
    </row>
    <row r="118" spans="1:9">
      <c r="A118" s="21" t="s">
        <v>17</v>
      </c>
      <c r="B118" s="21" t="s">
        <v>17</v>
      </c>
      <c r="C118" s="21">
        <v>5.1766E-2</v>
      </c>
      <c r="D118" s="21">
        <v>0.03</v>
      </c>
      <c r="E118" s="21">
        <v>0.61</v>
      </c>
      <c r="F118" s="21">
        <v>0.28000000000000003</v>
      </c>
      <c r="G118" s="21">
        <v>1580000000</v>
      </c>
      <c r="H118" s="21">
        <v>60830000</v>
      </c>
      <c r="I118" s="24" t="s">
        <v>376</v>
      </c>
    </row>
    <row r="119" spans="1:9">
      <c r="A119" s="21" t="s">
        <v>10</v>
      </c>
      <c r="B119" s="21" t="s">
        <v>335</v>
      </c>
      <c r="C119" s="21">
        <v>80.900000000000006</v>
      </c>
      <c r="D119" s="21">
        <v>0.26</v>
      </c>
      <c r="E119" s="21">
        <v>1.93</v>
      </c>
      <c r="F119" s="21">
        <v>34.770000000000003</v>
      </c>
      <c r="G119" s="21">
        <v>20380000000</v>
      </c>
      <c r="H119" s="21">
        <v>966160000</v>
      </c>
      <c r="I119" s="21">
        <v>251970000</v>
      </c>
    </row>
    <row r="120" spans="1:9">
      <c r="A120" s="21" t="s">
        <v>813</v>
      </c>
      <c r="B120" s="21" t="s">
        <v>814</v>
      </c>
      <c r="C120" s="21">
        <v>2.0300000000000001E-3</v>
      </c>
      <c r="D120" s="21">
        <v>0.02</v>
      </c>
      <c r="E120" s="21">
        <v>0.75</v>
      </c>
      <c r="F120" s="21">
        <v>0.6</v>
      </c>
      <c r="G120" s="21">
        <v>1530000</v>
      </c>
      <c r="H120" s="21">
        <v>131850</v>
      </c>
      <c r="I120" s="21">
        <v>754340000</v>
      </c>
    </row>
    <row r="121" spans="1:9">
      <c r="A121" s="21" t="s">
        <v>736</v>
      </c>
      <c r="B121" s="21" t="s">
        <v>737</v>
      </c>
      <c r="C121" s="21">
        <v>2.3149999999999998E-3</v>
      </c>
      <c r="D121" s="21">
        <v>1.89</v>
      </c>
      <c r="E121" s="21">
        <v>0.57999999999999996</v>
      </c>
      <c r="F121" s="21">
        <v>4.2300000000000004</v>
      </c>
      <c r="G121" s="21">
        <v>2420000</v>
      </c>
      <c r="H121" s="21">
        <v>459410</v>
      </c>
      <c r="I121" s="21">
        <v>1040000000</v>
      </c>
    </row>
    <row r="122" spans="1:9">
      <c r="A122" s="21" t="s">
        <v>32</v>
      </c>
      <c r="B122" s="21" t="s">
        <v>366</v>
      </c>
      <c r="C122" s="21">
        <v>0.1331</v>
      </c>
      <c r="D122" s="21">
        <v>1.1299999999999999</v>
      </c>
      <c r="E122" s="21">
        <v>5.04</v>
      </c>
      <c r="F122" s="21">
        <v>31.4</v>
      </c>
      <c r="G122" s="21">
        <v>266390000</v>
      </c>
      <c r="H122" s="21">
        <v>11630000</v>
      </c>
      <c r="I122" s="21">
        <v>2000000000</v>
      </c>
    </row>
    <row r="123" spans="1:9">
      <c r="A123" s="21" t="s">
        <v>116</v>
      </c>
      <c r="B123" s="21" t="s">
        <v>538</v>
      </c>
      <c r="C123" s="21">
        <v>6.62E-3</v>
      </c>
      <c r="D123" s="21">
        <v>0.24</v>
      </c>
      <c r="E123" s="21">
        <v>2.3199999999999998</v>
      </c>
      <c r="F123" s="21">
        <v>18.97</v>
      </c>
      <c r="G123" s="21">
        <v>13200000</v>
      </c>
      <c r="H123" s="21">
        <v>1380000</v>
      </c>
      <c r="I123" s="21">
        <v>1990000000</v>
      </c>
    </row>
    <row r="124" spans="1:9">
      <c r="A124" s="21" t="s">
        <v>614</v>
      </c>
      <c r="B124" s="21" t="s">
        <v>615</v>
      </c>
      <c r="C124" s="21">
        <v>3.0630000000000002E-4</v>
      </c>
      <c r="D124" s="21">
        <v>1.79</v>
      </c>
      <c r="E124" s="21">
        <v>1.94</v>
      </c>
      <c r="F124" s="21">
        <v>60.78</v>
      </c>
      <c r="G124" s="24" t="s">
        <v>616</v>
      </c>
      <c r="H124" s="21">
        <v>54.96</v>
      </c>
      <c r="I124" s="21">
        <v>26790000000</v>
      </c>
    </row>
    <row r="125" spans="1:9">
      <c r="A125" s="21" t="s">
        <v>536</v>
      </c>
      <c r="B125" s="21" t="s">
        <v>537</v>
      </c>
      <c r="C125" s="21">
        <v>89.53</v>
      </c>
      <c r="D125" s="21">
        <v>0.75</v>
      </c>
      <c r="E125" s="21">
        <v>1.64</v>
      </c>
      <c r="F125" s="21">
        <v>11.7</v>
      </c>
      <c r="G125" s="21">
        <v>13210000</v>
      </c>
      <c r="H125" s="21">
        <v>384300</v>
      </c>
      <c r="I125" s="21">
        <v>147530</v>
      </c>
    </row>
    <row r="126" spans="1:9">
      <c r="A126" s="21" t="s">
        <v>829</v>
      </c>
      <c r="B126" s="21" t="s">
        <v>830</v>
      </c>
      <c r="C126" s="21">
        <v>710.69</v>
      </c>
      <c r="D126" s="21">
        <v>0.16</v>
      </c>
      <c r="E126" s="21">
        <v>0.28999999999999998</v>
      </c>
      <c r="F126" s="21">
        <v>1.9</v>
      </c>
      <c r="G126" s="21">
        <v>1230000</v>
      </c>
      <c r="H126" s="21">
        <v>191590</v>
      </c>
      <c r="I126" s="21">
        <v>1740</v>
      </c>
    </row>
    <row r="127" spans="1:9">
      <c r="A127" s="21" t="s">
        <v>457</v>
      </c>
      <c r="B127" s="21" t="s">
        <v>458</v>
      </c>
      <c r="C127" s="21">
        <v>7.61</v>
      </c>
      <c r="D127" s="21">
        <v>0.7</v>
      </c>
      <c r="E127" s="21">
        <v>2.98</v>
      </c>
      <c r="F127" s="21">
        <v>20.56</v>
      </c>
      <c r="G127" s="21">
        <v>30500000</v>
      </c>
      <c r="H127" s="21">
        <v>149760</v>
      </c>
      <c r="I127" s="21">
        <v>4000000</v>
      </c>
    </row>
    <row r="128" spans="1:9">
      <c r="A128" s="21" t="s">
        <v>782</v>
      </c>
      <c r="B128" s="21" t="s">
        <v>783</v>
      </c>
      <c r="C128" s="21">
        <v>40.44</v>
      </c>
      <c r="D128" s="21">
        <v>0.21</v>
      </c>
      <c r="E128" s="21">
        <v>0.81</v>
      </c>
      <c r="F128" s="21">
        <v>8.52</v>
      </c>
      <c r="G128" s="21">
        <v>1880000</v>
      </c>
      <c r="H128" s="21">
        <v>1170000</v>
      </c>
      <c r="I128" s="21">
        <v>46680</v>
      </c>
    </row>
    <row r="129" spans="1:9">
      <c r="A129" s="21" t="s">
        <v>708</v>
      </c>
      <c r="B129" s="21" t="s">
        <v>709</v>
      </c>
      <c r="C129" s="21">
        <v>77.069999999999993</v>
      </c>
      <c r="D129" s="21">
        <v>0.01</v>
      </c>
      <c r="E129" s="21">
        <v>1.22</v>
      </c>
      <c r="F129" s="21">
        <v>2.08</v>
      </c>
      <c r="G129" s="21">
        <v>3120000</v>
      </c>
      <c r="H129" s="21">
        <v>387310</v>
      </c>
      <c r="I129" s="21">
        <v>40500</v>
      </c>
    </row>
    <row r="130" spans="1:9">
      <c r="A130" s="21" t="s">
        <v>480</v>
      </c>
      <c r="B130" s="21" t="s">
        <v>481</v>
      </c>
      <c r="C130" s="21">
        <v>0.22869999999999999</v>
      </c>
      <c r="D130" s="21">
        <v>0.05</v>
      </c>
      <c r="E130" s="21">
        <v>0.09</v>
      </c>
      <c r="F130" s="21">
        <v>0.06</v>
      </c>
      <c r="G130" s="21">
        <v>22870000</v>
      </c>
      <c r="H130" s="21">
        <v>417870</v>
      </c>
      <c r="I130" s="21">
        <v>100000000</v>
      </c>
    </row>
    <row r="131" spans="1:9">
      <c r="A131" s="21" t="s">
        <v>45</v>
      </c>
      <c r="B131" s="21" t="s">
        <v>508</v>
      </c>
      <c r="C131" s="21">
        <v>1.7440000000000001E-2</v>
      </c>
      <c r="D131" s="21">
        <v>30.91</v>
      </c>
      <c r="E131" s="21">
        <v>95.95</v>
      </c>
      <c r="F131" s="21">
        <v>168.45</v>
      </c>
      <c r="G131" s="21">
        <v>17440000</v>
      </c>
      <c r="H131" s="21">
        <v>6480000</v>
      </c>
      <c r="I131" s="21">
        <v>999930000</v>
      </c>
    </row>
    <row r="132" spans="1:9">
      <c r="A132" s="21" t="s">
        <v>21</v>
      </c>
      <c r="B132" s="21" t="s">
        <v>355</v>
      </c>
      <c r="C132" s="21">
        <v>0.57689999999999997</v>
      </c>
      <c r="D132" s="21">
        <v>1.85</v>
      </c>
      <c r="E132" s="21">
        <v>0.57999999999999996</v>
      </c>
      <c r="F132" s="21">
        <v>0.8</v>
      </c>
      <c r="G132" s="21">
        <v>296480000</v>
      </c>
      <c r="H132" s="21">
        <v>60470000</v>
      </c>
      <c r="I132" s="21">
        <v>513870000</v>
      </c>
    </row>
    <row r="133" spans="1:9">
      <c r="A133" s="21" t="s">
        <v>91</v>
      </c>
      <c r="B133" s="21" t="s">
        <v>381</v>
      </c>
      <c r="C133" s="21">
        <v>4.41</v>
      </c>
      <c r="D133" s="21">
        <v>0.31</v>
      </c>
      <c r="E133" s="21">
        <v>4.22</v>
      </c>
      <c r="F133" s="21">
        <v>20.96</v>
      </c>
      <c r="G133" s="21">
        <v>870030000</v>
      </c>
      <c r="H133" s="21">
        <v>14320000</v>
      </c>
      <c r="I133" s="21">
        <v>197140000</v>
      </c>
    </row>
    <row r="134" spans="1:9">
      <c r="A134" s="21" t="s">
        <v>652</v>
      </c>
      <c r="B134" s="21" t="s">
        <v>653</v>
      </c>
      <c r="C134" s="21">
        <v>0.32829999999999998</v>
      </c>
      <c r="D134" s="21">
        <v>0.02</v>
      </c>
      <c r="E134" s="21">
        <v>1.6</v>
      </c>
      <c r="F134" s="21">
        <v>12.07</v>
      </c>
      <c r="G134" s="21">
        <v>5260000</v>
      </c>
      <c r="H134" s="21">
        <v>2430000</v>
      </c>
      <c r="I134" s="21">
        <v>16040000</v>
      </c>
    </row>
    <row r="135" spans="1:9">
      <c r="A135" s="21" t="s">
        <v>434</v>
      </c>
      <c r="B135" s="21" t="s">
        <v>435</v>
      </c>
      <c r="C135" s="21">
        <v>7.2410000000000002E-2</v>
      </c>
      <c r="D135" s="21">
        <v>0.34</v>
      </c>
      <c r="E135" s="21">
        <v>6.77</v>
      </c>
      <c r="F135" s="21">
        <v>21.99</v>
      </c>
      <c r="G135" s="21">
        <v>42830000</v>
      </c>
      <c r="H135" s="21">
        <v>1550000</v>
      </c>
      <c r="I135" s="21">
        <v>591560000</v>
      </c>
    </row>
    <row r="136" spans="1:9">
      <c r="A136" s="21" t="s">
        <v>669</v>
      </c>
      <c r="B136" s="21" t="s">
        <v>670</v>
      </c>
      <c r="C136" s="21">
        <v>0.1288</v>
      </c>
      <c r="D136" s="21">
        <v>0</v>
      </c>
      <c r="E136" s="21">
        <v>1.63</v>
      </c>
      <c r="F136" s="21">
        <v>5.25</v>
      </c>
      <c r="G136" s="21">
        <v>5140000</v>
      </c>
      <c r="H136" s="21">
        <v>100600</v>
      </c>
      <c r="I136" s="21">
        <v>39900000</v>
      </c>
    </row>
    <row r="137" spans="1:9">
      <c r="A137" s="21" t="s">
        <v>703</v>
      </c>
      <c r="B137" s="21" t="s">
        <v>704</v>
      </c>
      <c r="C137" s="21">
        <v>6.411E-3</v>
      </c>
      <c r="D137" s="21">
        <v>0.25</v>
      </c>
      <c r="E137" s="21">
        <v>2.37</v>
      </c>
      <c r="F137" s="21">
        <v>14.08</v>
      </c>
      <c r="G137" s="21">
        <v>3150000</v>
      </c>
      <c r="H137" s="21">
        <v>363850</v>
      </c>
      <c r="I137" s="21">
        <v>491940000</v>
      </c>
    </row>
    <row r="138" spans="1:9">
      <c r="A138" s="21" t="s">
        <v>346</v>
      </c>
      <c r="B138" s="21" t="s">
        <v>347</v>
      </c>
      <c r="C138" s="21">
        <v>0.37619999999999998</v>
      </c>
      <c r="D138" s="21">
        <v>1.66</v>
      </c>
      <c r="E138" s="21">
        <v>2.27</v>
      </c>
      <c r="F138" s="21">
        <v>24.21</v>
      </c>
      <c r="G138" s="21">
        <v>314630000</v>
      </c>
      <c r="H138" s="21">
        <v>51460000</v>
      </c>
      <c r="I138" s="21">
        <v>836290000</v>
      </c>
    </row>
    <row r="139" spans="1:9">
      <c r="A139" s="21" t="s">
        <v>559</v>
      </c>
      <c r="B139" s="21" t="s">
        <v>560</v>
      </c>
      <c r="C139" s="21">
        <v>8.0329999999999999E-2</v>
      </c>
      <c r="D139" s="21">
        <v>1.05</v>
      </c>
      <c r="E139" s="21">
        <v>9.24</v>
      </c>
      <c r="F139" s="21">
        <v>30.81</v>
      </c>
      <c r="G139" s="21">
        <v>10570000</v>
      </c>
      <c r="H139" s="24" t="s">
        <v>561</v>
      </c>
      <c r="I139" s="21">
        <v>131590000</v>
      </c>
    </row>
    <row r="140" spans="1:9">
      <c r="A140" s="21" t="s">
        <v>176</v>
      </c>
      <c r="B140" s="21" t="s">
        <v>671</v>
      </c>
      <c r="C140" s="21">
        <v>1.055E-2</v>
      </c>
      <c r="D140" s="21">
        <v>0.06</v>
      </c>
      <c r="E140" s="21">
        <v>0.98</v>
      </c>
      <c r="F140" s="21">
        <v>24.77</v>
      </c>
      <c r="G140" s="21">
        <v>5130000</v>
      </c>
      <c r="H140" s="21">
        <v>153700</v>
      </c>
      <c r="I140" s="21">
        <v>486200000</v>
      </c>
    </row>
    <row r="141" spans="1:9">
      <c r="A141" s="21" t="s">
        <v>454</v>
      </c>
      <c r="B141" s="21" t="s">
        <v>455</v>
      </c>
      <c r="C141" s="21">
        <v>6.93E-2</v>
      </c>
      <c r="D141" s="21">
        <v>0.8</v>
      </c>
      <c r="E141" s="21">
        <v>1.38</v>
      </c>
      <c r="F141" s="21">
        <v>16.78</v>
      </c>
      <c r="G141" s="21">
        <v>30560000</v>
      </c>
      <c r="H141" s="21">
        <v>2890000</v>
      </c>
      <c r="I141" s="21">
        <v>441060000</v>
      </c>
    </row>
    <row r="142" spans="1:9">
      <c r="A142" s="21" t="s">
        <v>428</v>
      </c>
      <c r="B142" s="21" t="s">
        <v>429</v>
      </c>
      <c r="C142" s="21">
        <v>7.718E-3</v>
      </c>
      <c r="D142" s="21">
        <v>0.75</v>
      </c>
      <c r="E142" s="21">
        <v>3.48</v>
      </c>
      <c r="F142" s="21">
        <v>54.87</v>
      </c>
      <c r="G142" s="21">
        <v>42990000</v>
      </c>
      <c r="H142" s="21">
        <v>108500</v>
      </c>
      <c r="I142" s="21">
        <v>5570000000</v>
      </c>
    </row>
    <row r="143" spans="1:9">
      <c r="A143" s="21" t="s">
        <v>438</v>
      </c>
      <c r="B143" s="21" t="s">
        <v>439</v>
      </c>
      <c r="C143" s="21">
        <v>0.1208</v>
      </c>
      <c r="D143" s="21">
        <v>1.19</v>
      </c>
      <c r="E143" s="21">
        <v>1.82</v>
      </c>
      <c r="F143" s="21">
        <v>17.420000000000002</v>
      </c>
      <c r="G143" s="21">
        <v>42710000</v>
      </c>
      <c r="H143" s="21">
        <v>5100000</v>
      </c>
      <c r="I143" s="21">
        <v>353430000</v>
      </c>
    </row>
    <row r="144" spans="1:9">
      <c r="A144" s="21" t="s">
        <v>451</v>
      </c>
      <c r="B144" s="21" t="s">
        <v>451</v>
      </c>
      <c r="C144" s="21">
        <v>0.99960000000000004</v>
      </c>
      <c r="D144" s="21">
        <v>0.01</v>
      </c>
      <c r="E144" s="21">
        <v>0.02</v>
      </c>
      <c r="F144" s="21">
        <v>0.06</v>
      </c>
      <c r="G144" s="21">
        <v>30760000</v>
      </c>
      <c r="H144" s="21">
        <v>27880</v>
      </c>
      <c r="I144" s="21">
        <v>30770000</v>
      </c>
    </row>
    <row r="145" spans="1:9">
      <c r="A145" s="21" t="s">
        <v>227</v>
      </c>
      <c r="B145" s="21" t="s">
        <v>573</v>
      </c>
      <c r="C145" s="21">
        <v>4.9010000000000004E-4</v>
      </c>
      <c r="D145" s="21">
        <v>8.0399999999999991</v>
      </c>
      <c r="E145" s="21">
        <v>35.24</v>
      </c>
      <c r="F145" s="21">
        <v>123.75</v>
      </c>
      <c r="G145" s="21">
        <v>10290000</v>
      </c>
      <c r="H145" s="21">
        <v>37780</v>
      </c>
      <c r="I145" s="21">
        <v>21000000000</v>
      </c>
    </row>
    <row r="146" spans="1:9">
      <c r="A146" s="21" t="s">
        <v>119</v>
      </c>
      <c r="B146" s="21" t="s">
        <v>427</v>
      </c>
      <c r="C146" s="21">
        <v>0.22650000000000001</v>
      </c>
      <c r="D146" s="21">
        <v>0.91</v>
      </c>
      <c r="E146" s="21">
        <v>1.75</v>
      </c>
      <c r="F146" s="21">
        <v>40.950000000000003</v>
      </c>
      <c r="G146" s="21">
        <v>43040000</v>
      </c>
      <c r="H146" s="21">
        <v>1140000</v>
      </c>
      <c r="I146" s="21">
        <v>190000000</v>
      </c>
    </row>
    <row r="147" spans="1:9">
      <c r="A147" s="21" t="s">
        <v>660</v>
      </c>
      <c r="B147" s="21" t="s">
        <v>661</v>
      </c>
      <c r="C147" s="21">
        <v>0.372</v>
      </c>
      <c r="D147" s="21">
        <v>0.08</v>
      </c>
      <c r="E147" s="21">
        <v>0.4</v>
      </c>
      <c r="F147" s="21">
        <v>8.48</v>
      </c>
      <c r="G147" s="21">
        <v>5180000</v>
      </c>
      <c r="H147" s="21">
        <v>1690000</v>
      </c>
      <c r="I147" s="21">
        <v>13930000</v>
      </c>
    </row>
    <row r="148" spans="1:9">
      <c r="A148" s="21" t="s">
        <v>620</v>
      </c>
      <c r="B148" s="21" t="s">
        <v>621</v>
      </c>
      <c r="C148" s="21">
        <v>7.26E-3</v>
      </c>
      <c r="D148" s="21">
        <v>0.33</v>
      </c>
      <c r="E148" s="21">
        <v>2.35</v>
      </c>
      <c r="F148" s="21">
        <v>8.6999999999999993</v>
      </c>
      <c r="G148" s="21">
        <v>6530000</v>
      </c>
      <c r="H148" s="21">
        <v>295930</v>
      </c>
      <c r="I148" s="21">
        <v>899980000</v>
      </c>
    </row>
    <row r="149" spans="1:9">
      <c r="A149" s="21" t="s">
        <v>638</v>
      </c>
      <c r="B149" s="21" t="s">
        <v>639</v>
      </c>
      <c r="C149" s="21">
        <v>2.3040000000000001E-2</v>
      </c>
      <c r="D149" s="21">
        <v>0.09</v>
      </c>
      <c r="E149" s="21">
        <v>0.43</v>
      </c>
      <c r="F149" s="21">
        <v>12.37</v>
      </c>
      <c r="G149" s="21">
        <v>6400000</v>
      </c>
      <c r="H149" s="21">
        <v>795250</v>
      </c>
      <c r="I149" s="21">
        <v>278120000</v>
      </c>
    </row>
    <row r="150" spans="1:9">
      <c r="A150" s="21" t="s">
        <v>419</v>
      </c>
      <c r="B150" s="21" t="s">
        <v>420</v>
      </c>
      <c r="C150" s="21">
        <v>0.43259999999999998</v>
      </c>
      <c r="D150" s="21">
        <v>0.21</v>
      </c>
      <c r="E150" s="21">
        <v>3</v>
      </c>
      <c r="F150" s="21">
        <v>24.32</v>
      </c>
      <c r="G150" s="21">
        <v>43260000</v>
      </c>
      <c r="H150" s="21">
        <v>5400000</v>
      </c>
      <c r="I150" s="21">
        <v>100000000</v>
      </c>
    </row>
    <row r="151" spans="1:9">
      <c r="A151" s="21" t="s">
        <v>500</v>
      </c>
      <c r="B151" s="21" t="s">
        <v>501</v>
      </c>
      <c r="C151" s="21">
        <v>0.26550000000000001</v>
      </c>
      <c r="D151" s="21">
        <v>0.02</v>
      </c>
      <c r="E151" s="21">
        <v>2.69</v>
      </c>
      <c r="F151" s="21">
        <v>4.9000000000000004</v>
      </c>
      <c r="G151" s="21">
        <v>17610000</v>
      </c>
      <c r="H151" s="21">
        <v>204590</v>
      </c>
      <c r="I151" s="21">
        <v>66330000</v>
      </c>
    </row>
    <row r="152" spans="1:9">
      <c r="A152" s="21" t="s">
        <v>626</v>
      </c>
      <c r="B152" s="21" t="s">
        <v>627</v>
      </c>
      <c r="C152" s="21">
        <v>6.8585999999999994E-2</v>
      </c>
      <c r="D152" s="21">
        <v>0</v>
      </c>
      <c r="E152" s="21">
        <v>3.16</v>
      </c>
      <c r="F152" s="21">
        <v>27.78</v>
      </c>
      <c r="G152" s="21">
        <v>6480000</v>
      </c>
      <c r="H152" s="21"/>
      <c r="I152" s="24" t="s">
        <v>628</v>
      </c>
    </row>
    <row r="153" spans="1:9">
      <c r="A153" s="21" t="s">
        <v>667</v>
      </c>
      <c r="B153" s="21" t="s">
        <v>668</v>
      </c>
      <c r="C153" s="21">
        <v>7.5779999999999997E-3</v>
      </c>
      <c r="D153" s="21">
        <v>19.54</v>
      </c>
      <c r="E153" s="21">
        <v>150.69</v>
      </c>
      <c r="F153" s="21">
        <v>176</v>
      </c>
      <c r="G153" s="21">
        <v>5120000</v>
      </c>
      <c r="H153" s="21">
        <v>4930000</v>
      </c>
      <c r="I153" s="21">
        <v>676150000</v>
      </c>
    </row>
    <row r="154" spans="1:9">
      <c r="A154" s="21" t="s">
        <v>590</v>
      </c>
      <c r="B154" s="21" t="s">
        <v>591</v>
      </c>
      <c r="C154" s="21">
        <v>562.74</v>
      </c>
      <c r="D154" s="21">
        <v>0.04</v>
      </c>
      <c r="E154" s="21">
        <v>2.02</v>
      </c>
      <c r="F154" s="21">
        <v>0.67</v>
      </c>
      <c r="G154" s="24" t="s">
        <v>592</v>
      </c>
      <c r="H154" s="21">
        <v>4830000</v>
      </c>
      <c r="I154" s="21">
        <v>14890</v>
      </c>
    </row>
    <row r="155" spans="1:9">
      <c r="A155" s="21" t="s">
        <v>695</v>
      </c>
      <c r="B155" s="21" t="s">
        <v>696</v>
      </c>
      <c r="C155" s="21">
        <v>1.1809999999999999E-2</v>
      </c>
      <c r="D155" s="21">
        <v>0.05</v>
      </c>
      <c r="E155" s="21">
        <v>0.72</v>
      </c>
      <c r="F155" s="21">
        <v>16.39</v>
      </c>
      <c r="G155" s="21">
        <v>3900000</v>
      </c>
      <c r="H155" s="21">
        <v>3100</v>
      </c>
      <c r="I155" s="21">
        <v>330540000</v>
      </c>
    </row>
    <row r="156" spans="1:9">
      <c r="A156" s="21" t="s">
        <v>494</v>
      </c>
      <c r="B156" s="21" t="s">
        <v>495</v>
      </c>
      <c r="C156" s="21">
        <v>2.84</v>
      </c>
      <c r="D156" s="21">
        <v>0.34</v>
      </c>
      <c r="E156" s="21">
        <v>4.0199999999999996</v>
      </c>
      <c r="F156" s="21">
        <v>23.48</v>
      </c>
      <c r="G156" s="21">
        <v>22250000</v>
      </c>
      <c r="H156" s="21">
        <v>2390000</v>
      </c>
      <c r="I156" s="21">
        <v>7810000</v>
      </c>
    </row>
    <row r="157" spans="1:9">
      <c r="A157" s="21" t="s">
        <v>531</v>
      </c>
      <c r="B157" s="21" t="s">
        <v>532</v>
      </c>
      <c r="C157" s="21">
        <v>4.6640000000000001E-2</v>
      </c>
      <c r="D157" s="21">
        <v>0.05</v>
      </c>
      <c r="E157" s="21">
        <v>0.76</v>
      </c>
      <c r="F157" s="21">
        <v>3.98</v>
      </c>
      <c r="G157" s="21">
        <v>13260000</v>
      </c>
      <c r="H157" s="21">
        <v>563750</v>
      </c>
      <c r="I157" s="21">
        <v>284300000</v>
      </c>
    </row>
    <row r="158" spans="1:9">
      <c r="A158" s="21" t="s">
        <v>636</v>
      </c>
      <c r="B158" s="21" t="s">
        <v>637</v>
      </c>
      <c r="C158" s="21">
        <v>926.42</v>
      </c>
      <c r="D158" s="21">
        <v>0.37</v>
      </c>
      <c r="E158" s="21">
        <v>1</v>
      </c>
      <c r="F158" s="21">
        <v>5.63</v>
      </c>
      <c r="G158" s="21">
        <v>6440000</v>
      </c>
      <c r="H158" s="21">
        <v>1540000</v>
      </c>
      <c r="I158" s="21">
        <v>6950</v>
      </c>
    </row>
    <row r="159" spans="1:9">
      <c r="A159" s="21" t="s">
        <v>676</v>
      </c>
      <c r="B159" s="21" t="s">
        <v>677</v>
      </c>
      <c r="C159" s="21">
        <v>2.809E-2</v>
      </c>
      <c r="D159" s="21">
        <v>0.51</v>
      </c>
      <c r="E159" s="21">
        <v>0.46</v>
      </c>
      <c r="F159" s="21">
        <v>10.35</v>
      </c>
      <c r="G159" s="21">
        <v>5090000</v>
      </c>
      <c r="H159" s="21">
        <v>5910000</v>
      </c>
      <c r="I159" s="21">
        <v>181270000</v>
      </c>
    </row>
    <row r="160" spans="1:9">
      <c r="A160" s="21" t="s">
        <v>13</v>
      </c>
      <c r="B160" s="21" t="s">
        <v>342</v>
      </c>
      <c r="C160" s="21">
        <v>445.16</v>
      </c>
      <c r="D160" s="21">
        <v>1.21</v>
      </c>
      <c r="E160" s="21">
        <v>6.81</v>
      </c>
      <c r="F160" s="21">
        <v>5.89</v>
      </c>
      <c r="G160" s="24" t="s">
        <v>343</v>
      </c>
      <c r="H160" s="21">
        <v>132440000</v>
      </c>
      <c r="I160" s="21">
        <v>18790000</v>
      </c>
    </row>
    <row r="161" spans="1:9">
      <c r="A161" s="21" t="s">
        <v>859</v>
      </c>
      <c r="B161" s="21" t="s">
        <v>860</v>
      </c>
      <c r="C161" s="21">
        <v>2.1530000000000001E-2</v>
      </c>
      <c r="D161" s="21">
        <v>0.9</v>
      </c>
      <c r="E161" s="21">
        <v>17.86</v>
      </c>
      <c r="F161" s="21">
        <v>47.17</v>
      </c>
      <c r="G161" s="21">
        <v>1030000</v>
      </c>
      <c r="H161" s="21">
        <v>272.37</v>
      </c>
      <c r="I161" s="21">
        <v>47890000</v>
      </c>
    </row>
    <row r="162" spans="1:9">
      <c r="A162" s="21" t="s">
        <v>554</v>
      </c>
      <c r="B162" s="21" t="s">
        <v>555</v>
      </c>
      <c r="C162" s="21">
        <v>6.5919999999999998E-4</v>
      </c>
      <c r="D162" s="21">
        <v>0.9</v>
      </c>
      <c r="E162" s="21">
        <v>0.79</v>
      </c>
      <c r="F162" s="21">
        <v>16.87</v>
      </c>
      <c r="G162" s="21">
        <v>12920000</v>
      </c>
      <c r="H162" s="21">
        <v>1690000</v>
      </c>
      <c r="I162" s="21">
        <v>19600000000</v>
      </c>
    </row>
    <row r="163" spans="1:9">
      <c r="A163" s="21" t="s">
        <v>745</v>
      </c>
      <c r="B163" s="21" t="s">
        <v>746</v>
      </c>
      <c r="C163" s="21">
        <v>2.7899999999999999E-3</v>
      </c>
      <c r="D163" s="21">
        <v>0.01</v>
      </c>
      <c r="E163" s="21">
        <v>0.4</v>
      </c>
      <c r="F163" s="21">
        <v>16.2</v>
      </c>
      <c r="G163" s="21">
        <v>2400000</v>
      </c>
      <c r="H163" s="21">
        <v>24.15</v>
      </c>
      <c r="I163" s="21">
        <v>862520000</v>
      </c>
    </row>
    <row r="164" spans="1:9">
      <c r="A164" s="21" t="s">
        <v>521</v>
      </c>
      <c r="B164" s="21" t="s">
        <v>522</v>
      </c>
      <c r="C164" s="21">
        <v>1.1599999999999999</v>
      </c>
      <c r="D164" s="21">
        <v>0.21</v>
      </c>
      <c r="E164" s="21">
        <v>3.82</v>
      </c>
      <c r="F164" s="21">
        <v>23.7</v>
      </c>
      <c r="G164" s="21">
        <v>17200000</v>
      </c>
      <c r="H164" s="21">
        <v>5010</v>
      </c>
      <c r="I164" s="21">
        <v>14730000</v>
      </c>
    </row>
    <row r="165" spans="1:9">
      <c r="A165" s="21" t="s">
        <v>525</v>
      </c>
      <c r="B165" s="21" t="s">
        <v>526</v>
      </c>
      <c r="C165" s="21">
        <v>2.8680000000000001E-2</v>
      </c>
      <c r="D165" s="21">
        <v>0.13</v>
      </c>
      <c r="E165" s="21">
        <v>5.22</v>
      </c>
      <c r="F165" s="21">
        <v>5.98</v>
      </c>
      <c r="G165" s="21">
        <v>17180000</v>
      </c>
      <c r="H165" s="21">
        <v>1790000</v>
      </c>
      <c r="I165" s="21">
        <v>599260000</v>
      </c>
    </row>
    <row r="166" spans="1:9">
      <c r="A166" s="21" t="s">
        <v>642</v>
      </c>
      <c r="B166" s="21" t="s">
        <v>643</v>
      </c>
      <c r="C166" s="21">
        <v>7.7980000000000002E-3</v>
      </c>
      <c r="D166" s="21">
        <v>1.0900000000000001</v>
      </c>
      <c r="E166" s="21">
        <v>1.35</v>
      </c>
      <c r="F166" s="21">
        <v>12</v>
      </c>
      <c r="G166" s="21">
        <v>6360000</v>
      </c>
      <c r="H166" s="21">
        <v>370990</v>
      </c>
      <c r="I166" s="21">
        <v>816160000</v>
      </c>
    </row>
    <row r="167" spans="1:9">
      <c r="A167" s="21" t="s">
        <v>50</v>
      </c>
      <c r="B167" s="21" t="s">
        <v>608</v>
      </c>
      <c r="C167" s="21">
        <v>216.99</v>
      </c>
      <c r="D167" s="21">
        <v>0.22</v>
      </c>
      <c r="E167" s="21">
        <v>2.96</v>
      </c>
      <c r="F167" s="21">
        <v>18.64</v>
      </c>
      <c r="G167" s="21">
        <v>8250000</v>
      </c>
      <c r="H167" s="21">
        <v>5120000</v>
      </c>
      <c r="I167" s="21">
        <v>38040</v>
      </c>
    </row>
    <row r="168" spans="1:9">
      <c r="A168" s="21" t="s">
        <v>800</v>
      </c>
      <c r="B168" s="21" t="s">
        <v>801</v>
      </c>
      <c r="C168" s="21">
        <v>4.6309999999999997E-2</v>
      </c>
      <c r="D168" s="21">
        <v>0.14000000000000001</v>
      </c>
      <c r="E168" s="21">
        <v>4.37</v>
      </c>
      <c r="F168" s="21">
        <v>15.49</v>
      </c>
      <c r="G168" s="21">
        <v>1540000</v>
      </c>
      <c r="H168" s="21">
        <v>4420</v>
      </c>
      <c r="I168" s="24" t="s">
        <v>802</v>
      </c>
    </row>
    <row r="169" spans="1:9">
      <c r="A169" s="21" t="s">
        <v>869</v>
      </c>
      <c r="B169" s="21" t="s">
        <v>870</v>
      </c>
      <c r="C169" s="21">
        <v>8.2010000000000004E-4</v>
      </c>
      <c r="D169" s="21">
        <v>0.01</v>
      </c>
      <c r="E169" s="21">
        <v>2.04</v>
      </c>
      <c r="F169" s="21">
        <v>42.26</v>
      </c>
      <c r="G169" s="21">
        <v>1020000</v>
      </c>
      <c r="H169" s="21">
        <v>1310</v>
      </c>
      <c r="I169" s="21">
        <v>1240000000</v>
      </c>
    </row>
    <row r="170" spans="1:9">
      <c r="A170" s="21" t="s">
        <v>398</v>
      </c>
      <c r="B170" s="21" t="s">
        <v>399</v>
      </c>
      <c r="C170" s="21">
        <v>0.20619999999999999</v>
      </c>
      <c r="D170" s="21">
        <v>0.47</v>
      </c>
      <c r="E170" s="21">
        <v>0.3</v>
      </c>
      <c r="F170" s="21">
        <v>0.9</v>
      </c>
      <c r="G170" s="21">
        <v>61970000</v>
      </c>
      <c r="H170" s="21">
        <v>7390000</v>
      </c>
      <c r="I170" s="21">
        <v>300480000</v>
      </c>
    </row>
    <row r="171" spans="1:9">
      <c r="A171" s="21" t="s">
        <v>796</v>
      </c>
      <c r="B171" s="21" t="s">
        <v>797</v>
      </c>
      <c r="C171" s="21">
        <v>2.6289999999999999E-4</v>
      </c>
      <c r="D171" s="21">
        <v>0.27</v>
      </c>
      <c r="E171" s="21">
        <v>1.69</v>
      </c>
      <c r="F171" s="21">
        <v>8.4600000000000009</v>
      </c>
      <c r="G171" s="21">
        <v>1550000</v>
      </c>
      <c r="H171" s="21">
        <v>45430</v>
      </c>
      <c r="I171" s="21">
        <v>5900000000</v>
      </c>
    </row>
    <row r="172" spans="1:9">
      <c r="A172" s="21" t="s">
        <v>788</v>
      </c>
      <c r="B172" s="21" t="s">
        <v>789</v>
      </c>
      <c r="C172" s="21">
        <v>10.050000000000001</v>
      </c>
      <c r="D172" s="21">
        <v>0.12</v>
      </c>
      <c r="E172" s="21">
        <v>0.35</v>
      </c>
      <c r="F172" s="21">
        <v>5.25</v>
      </c>
      <c r="G172" s="21">
        <v>1860000</v>
      </c>
      <c r="H172" s="21">
        <v>1430000</v>
      </c>
      <c r="I172" s="21">
        <v>185670</v>
      </c>
    </row>
    <row r="173" spans="1:9">
      <c r="A173" s="21" t="s">
        <v>855</v>
      </c>
      <c r="B173" s="21" t="s">
        <v>856</v>
      </c>
      <c r="C173" s="21">
        <v>10.06</v>
      </c>
      <c r="D173" s="21">
        <v>0.19</v>
      </c>
      <c r="E173" s="21">
        <v>0.12</v>
      </c>
      <c r="F173" s="21">
        <v>5.85</v>
      </c>
      <c r="G173" s="21">
        <v>1030000</v>
      </c>
      <c r="H173" s="21">
        <v>557250</v>
      </c>
      <c r="I173" s="21">
        <v>103080</v>
      </c>
    </row>
    <row r="174" spans="1:9">
      <c r="A174" s="21" t="s">
        <v>234</v>
      </c>
      <c r="B174" s="21" t="s">
        <v>738</v>
      </c>
      <c r="C174" s="21">
        <v>1.239E-2</v>
      </c>
      <c r="D174" s="21">
        <v>2.91</v>
      </c>
      <c r="E174" s="21">
        <v>5.4</v>
      </c>
      <c r="F174" s="21">
        <v>12.13</v>
      </c>
      <c r="G174" s="21">
        <v>2420000</v>
      </c>
      <c r="H174" s="21">
        <v>11360</v>
      </c>
      <c r="I174" s="21">
        <v>195420000</v>
      </c>
    </row>
    <row r="175" spans="1:9">
      <c r="A175" s="21" t="s">
        <v>445</v>
      </c>
      <c r="B175" s="21" t="s">
        <v>446</v>
      </c>
      <c r="C175" s="21">
        <v>4.1990000000000001E-4</v>
      </c>
      <c r="D175" s="21">
        <v>0.51</v>
      </c>
      <c r="E175" s="21">
        <v>0.85</v>
      </c>
      <c r="F175" s="21">
        <v>12.02</v>
      </c>
      <c r="G175" s="21">
        <v>41750000</v>
      </c>
      <c r="H175" s="21">
        <v>5220000</v>
      </c>
      <c r="I175" s="21">
        <v>99420000000</v>
      </c>
    </row>
    <row r="176" spans="1:9">
      <c r="A176" s="21" t="s">
        <v>734</v>
      </c>
      <c r="B176" s="21" t="s">
        <v>735</v>
      </c>
      <c r="C176" s="21">
        <v>48.05</v>
      </c>
      <c r="D176" s="21">
        <v>0.2</v>
      </c>
      <c r="E176" s="21">
        <v>0.56000000000000005</v>
      </c>
      <c r="F176" s="21">
        <v>5.01</v>
      </c>
      <c r="G176" s="21">
        <v>2440000</v>
      </c>
      <c r="H176" s="21">
        <v>1440000</v>
      </c>
      <c r="I176" s="21">
        <v>50850</v>
      </c>
    </row>
    <row r="177" spans="1:9">
      <c r="A177" s="21" t="s">
        <v>771</v>
      </c>
      <c r="B177" s="21" t="s">
        <v>772</v>
      </c>
      <c r="C177" s="21">
        <v>7.5439999999999993E-2</v>
      </c>
      <c r="D177" s="21">
        <v>0.8</v>
      </c>
      <c r="E177" s="21">
        <v>3.7</v>
      </c>
      <c r="F177" s="21">
        <v>31.12</v>
      </c>
      <c r="G177" s="21">
        <v>1910000</v>
      </c>
      <c r="H177" s="21">
        <v>12340</v>
      </c>
      <c r="I177" s="24" t="s">
        <v>773</v>
      </c>
    </row>
    <row r="178" spans="1:9">
      <c r="A178" s="21" t="s">
        <v>815</v>
      </c>
      <c r="B178" s="21" t="s">
        <v>816</v>
      </c>
      <c r="C178" s="21">
        <v>8.4791000000000005E-2</v>
      </c>
      <c r="D178" s="21">
        <v>2.68</v>
      </c>
      <c r="E178" s="21">
        <v>2.2599999999999998</v>
      </c>
      <c r="F178" s="21">
        <v>3.2</v>
      </c>
      <c r="G178" s="21">
        <v>1520000</v>
      </c>
      <c r="H178" s="21">
        <v>5790</v>
      </c>
      <c r="I178" s="24" t="s">
        <v>817</v>
      </c>
    </row>
    <row r="179" spans="1:9">
      <c r="A179" s="21" t="s">
        <v>148</v>
      </c>
      <c r="B179" s="21" t="s">
        <v>710</v>
      </c>
      <c r="C179" s="21">
        <v>8.3160000000000005E-4</v>
      </c>
      <c r="D179" s="21">
        <v>0.73</v>
      </c>
      <c r="E179" s="21">
        <v>2.2000000000000002</v>
      </c>
      <c r="F179" s="21">
        <v>15.43</v>
      </c>
      <c r="G179" s="21">
        <v>3110000</v>
      </c>
      <c r="H179" s="21">
        <v>280330</v>
      </c>
      <c r="I179" s="21">
        <v>3740000000</v>
      </c>
    </row>
    <row r="180" spans="1:9">
      <c r="A180" s="21" t="s">
        <v>140</v>
      </c>
      <c r="B180" s="21" t="s">
        <v>375</v>
      </c>
      <c r="C180" s="21">
        <v>1.1399999999999999</v>
      </c>
      <c r="D180" s="21">
        <v>0.02</v>
      </c>
      <c r="E180" s="21">
        <v>0.03</v>
      </c>
      <c r="F180" s="21">
        <v>0.19</v>
      </c>
      <c r="G180" s="21">
        <v>2150000000</v>
      </c>
      <c r="H180" s="21">
        <v>887740</v>
      </c>
      <c r="I180" s="21">
        <v>1880000000</v>
      </c>
    </row>
    <row r="181" spans="1:9">
      <c r="A181" s="21" t="s">
        <v>757</v>
      </c>
      <c r="B181" s="21" t="s">
        <v>758</v>
      </c>
      <c r="C181" s="21">
        <v>8.9669999999999993E-3</v>
      </c>
      <c r="D181" s="21">
        <v>0.72</v>
      </c>
      <c r="E181" s="21">
        <v>1.73</v>
      </c>
      <c r="F181" s="21">
        <v>3.67</v>
      </c>
      <c r="G181" s="21">
        <v>2370000</v>
      </c>
      <c r="H181" s="21">
        <v>848100</v>
      </c>
      <c r="I181" s="21">
        <v>264930000</v>
      </c>
    </row>
    <row r="182" spans="1:9">
      <c r="A182" s="21" t="s">
        <v>743</v>
      </c>
      <c r="B182" s="21" t="s">
        <v>744</v>
      </c>
      <c r="C182" s="21">
        <v>143.54</v>
      </c>
      <c r="D182" s="21">
        <v>0.01</v>
      </c>
      <c r="E182" s="21">
        <v>1.02</v>
      </c>
      <c r="F182" s="21">
        <v>0.06</v>
      </c>
      <c r="G182" s="21">
        <v>2400000</v>
      </c>
      <c r="H182" s="21">
        <v>330500</v>
      </c>
      <c r="I182" s="21">
        <v>16780</v>
      </c>
    </row>
    <row r="183" spans="1:9">
      <c r="A183" s="21" t="s">
        <v>865</v>
      </c>
      <c r="B183" s="21" t="s">
        <v>866</v>
      </c>
      <c r="C183" s="21">
        <v>102.68</v>
      </c>
      <c r="D183" s="21">
        <v>0</v>
      </c>
      <c r="E183" s="21">
        <v>1.1200000000000001</v>
      </c>
      <c r="F183" s="21">
        <v>2.86</v>
      </c>
      <c r="G183" s="21">
        <v>1020000</v>
      </c>
      <c r="H183" s="21"/>
      <c r="I183" s="21">
        <v>10000</v>
      </c>
    </row>
    <row r="184" spans="1:9">
      <c r="A184" s="21" t="s">
        <v>588</v>
      </c>
      <c r="B184" s="21" t="s">
        <v>589</v>
      </c>
      <c r="C184" s="21">
        <v>0.50009999999999999</v>
      </c>
      <c r="D184" s="21">
        <v>0.15</v>
      </c>
      <c r="E184" s="21">
        <v>0.81</v>
      </c>
      <c r="F184" s="21">
        <v>8.59</v>
      </c>
      <c r="G184" s="21">
        <v>8420000</v>
      </c>
      <c r="H184" s="21">
        <v>2750000</v>
      </c>
      <c r="I184" s="21">
        <v>16830000</v>
      </c>
    </row>
    <row r="185" spans="1:9">
      <c r="A185" s="21" t="s">
        <v>650</v>
      </c>
      <c r="B185" s="21" t="s">
        <v>651</v>
      </c>
      <c r="C185" s="21">
        <v>1.044E-2</v>
      </c>
      <c r="D185" s="21">
        <v>0.35</v>
      </c>
      <c r="E185" s="21">
        <v>0.3</v>
      </c>
      <c r="F185" s="21">
        <v>4.76</v>
      </c>
      <c r="G185" s="21">
        <v>5290000</v>
      </c>
      <c r="H185" s="21">
        <v>2420</v>
      </c>
      <c r="I185" s="21">
        <v>506920000</v>
      </c>
    </row>
    <row r="186" spans="1:9">
      <c r="A186" s="21" t="s">
        <v>644</v>
      </c>
      <c r="B186" s="21" t="s">
        <v>645</v>
      </c>
      <c r="C186" s="21">
        <v>6.3629999999999997E-3</v>
      </c>
      <c r="D186" s="21">
        <v>0.61</v>
      </c>
      <c r="E186" s="21">
        <v>11.74</v>
      </c>
      <c r="F186" s="21">
        <v>63.34</v>
      </c>
      <c r="G186" s="21">
        <v>6360000</v>
      </c>
      <c r="H186" s="21">
        <v>808880</v>
      </c>
      <c r="I186" s="21">
        <v>999940000</v>
      </c>
    </row>
    <row r="187" spans="1:9">
      <c r="A187" s="21" t="s">
        <v>602</v>
      </c>
      <c r="B187" s="21" t="s">
        <v>603</v>
      </c>
      <c r="C187" s="21">
        <v>0.2727</v>
      </c>
      <c r="D187" s="21">
        <v>0.14000000000000001</v>
      </c>
      <c r="E187" s="21">
        <v>0.41</v>
      </c>
      <c r="F187" s="21">
        <v>22.09</v>
      </c>
      <c r="G187" s="24" t="s">
        <v>604</v>
      </c>
      <c r="H187" s="21">
        <v>1090</v>
      </c>
      <c r="I187" s="21">
        <v>30380000</v>
      </c>
    </row>
    <row r="188" spans="1:9">
      <c r="A188" s="21" t="s">
        <v>205</v>
      </c>
      <c r="B188" s="21" t="s">
        <v>717</v>
      </c>
      <c r="C188" s="21">
        <v>8.7274000000000004E-2</v>
      </c>
      <c r="D188" s="21">
        <v>1.42</v>
      </c>
      <c r="E188" s="21">
        <v>2.56</v>
      </c>
      <c r="F188" s="21">
        <v>21.99</v>
      </c>
      <c r="G188" s="21">
        <v>3060000</v>
      </c>
      <c r="H188" s="21">
        <v>44160</v>
      </c>
      <c r="I188" s="24" t="s">
        <v>718</v>
      </c>
    </row>
    <row r="189" spans="1:9">
      <c r="A189" s="21" t="s">
        <v>23</v>
      </c>
      <c r="B189" s="21" t="s">
        <v>348</v>
      </c>
      <c r="C189" s="21">
        <v>1.79</v>
      </c>
      <c r="D189" s="21">
        <v>1.63</v>
      </c>
      <c r="E189" s="21">
        <v>0.94</v>
      </c>
      <c r="F189" s="21">
        <v>32.85</v>
      </c>
      <c r="G189" s="21">
        <v>308700000</v>
      </c>
      <c r="H189" s="21">
        <v>60330000</v>
      </c>
      <c r="I189" s="21">
        <v>172200000</v>
      </c>
    </row>
    <row r="190" spans="1:9">
      <c r="A190" s="21" t="s">
        <v>213</v>
      </c>
      <c r="B190" s="21" t="s">
        <v>533</v>
      </c>
      <c r="C190" s="21">
        <v>1.2879999999999999E-4</v>
      </c>
      <c r="D190" s="21">
        <v>0.05</v>
      </c>
      <c r="E190" s="21">
        <v>2.04</v>
      </c>
      <c r="F190" s="21">
        <v>49.23</v>
      </c>
      <c r="G190" s="21">
        <v>13260000</v>
      </c>
      <c r="H190" s="21">
        <v>39560</v>
      </c>
      <c r="I190" s="21">
        <v>102920000000</v>
      </c>
    </row>
    <row r="191" spans="1:9">
      <c r="A191" s="21" t="s">
        <v>353</v>
      </c>
      <c r="B191" s="21" t="s">
        <v>354</v>
      </c>
      <c r="C191" s="21">
        <v>1.02</v>
      </c>
      <c r="D191" s="21">
        <v>0.26</v>
      </c>
      <c r="E191" s="21">
        <v>7.39</v>
      </c>
      <c r="F191" s="21">
        <v>11.36</v>
      </c>
      <c r="G191" s="21">
        <v>298360000</v>
      </c>
      <c r="H191" s="21">
        <v>30030000</v>
      </c>
      <c r="I191" s="21">
        <v>290350000</v>
      </c>
    </row>
    <row r="192" spans="1:9">
      <c r="A192" s="21" t="s">
        <v>364</v>
      </c>
      <c r="B192" s="21" t="s">
        <v>365</v>
      </c>
      <c r="C192" s="21">
        <v>9.8059999999999994E-2</v>
      </c>
      <c r="D192" s="21">
        <v>0.91</v>
      </c>
      <c r="E192" s="21">
        <v>1.63</v>
      </c>
      <c r="F192" s="21">
        <v>28.9</v>
      </c>
      <c r="G192" s="21">
        <v>272410000</v>
      </c>
      <c r="H192" s="21">
        <v>115290000</v>
      </c>
      <c r="I192" s="21">
        <v>2770000000</v>
      </c>
    </row>
    <row r="193" spans="1:9">
      <c r="A193" s="21" t="s">
        <v>107</v>
      </c>
      <c r="B193" s="21" t="s">
        <v>692</v>
      </c>
      <c r="C193" s="21">
        <v>5.6280000000000002E-4</v>
      </c>
      <c r="D193" s="21">
        <v>0.19</v>
      </c>
      <c r="E193" s="21">
        <v>5.44</v>
      </c>
      <c r="F193" s="21">
        <v>9.39</v>
      </c>
      <c r="G193" s="21">
        <v>3920000</v>
      </c>
      <c r="H193" s="21">
        <v>1260000</v>
      </c>
      <c r="I193" s="21">
        <v>6970000000</v>
      </c>
    </row>
    <row r="194" spans="1:9">
      <c r="A194" s="21" t="s">
        <v>523</v>
      </c>
      <c r="B194" s="21" t="s">
        <v>524</v>
      </c>
      <c r="C194" s="21">
        <v>7.3509999999999999E-3</v>
      </c>
      <c r="D194" s="21">
        <v>0.17</v>
      </c>
      <c r="E194" s="21">
        <v>2.0699999999999998</v>
      </c>
      <c r="F194" s="21">
        <v>6.91</v>
      </c>
      <c r="G194" s="21">
        <v>17190000</v>
      </c>
      <c r="H194" s="21">
        <v>407350</v>
      </c>
      <c r="I194" s="21">
        <v>2330000000</v>
      </c>
    </row>
    <row r="195" spans="1:9">
      <c r="A195" s="21" t="s">
        <v>387</v>
      </c>
      <c r="B195" s="21" t="s">
        <v>388</v>
      </c>
      <c r="C195" s="21">
        <v>8.9980000000000004E-2</v>
      </c>
      <c r="D195" s="21">
        <v>5.64</v>
      </c>
      <c r="E195" s="21">
        <v>29.03</v>
      </c>
      <c r="F195" s="21">
        <v>213.73</v>
      </c>
      <c r="G195" s="21">
        <v>64300000</v>
      </c>
      <c r="H195" s="21">
        <v>22180000</v>
      </c>
      <c r="I195" s="21">
        <v>714570000</v>
      </c>
    </row>
    <row r="196" spans="1:9">
      <c r="A196" s="21" t="s">
        <v>672</v>
      </c>
      <c r="B196" s="21" t="s">
        <v>673</v>
      </c>
      <c r="C196" s="21">
        <v>3.6450000000000003E-2</v>
      </c>
      <c r="D196" s="21">
        <v>0.06</v>
      </c>
      <c r="E196" s="21">
        <v>5.8</v>
      </c>
      <c r="F196" s="21">
        <v>19.93</v>
      </c>
      <c r="G196" s="21">
        <v>5100000</v>
      </c>
      <c r="H196" s="21">
        <v>250180</v>
      </c>
      <c r="I196" s="21">
        <v>140000000</v>
      </c>
    </row>
    <row r="197" spans="1:9">
      <c r="A197" s="21" t="s">
        <v>402</v>
      </c>
      <c r="B197" s="21" t="s">
        <v>403</v>
      </c>
      <c r="C197" s="21">
        <v>6.2579999999999997E-2</v>
      </c>
      <c r="D197" s="21">
        <v>1.2</v>
      </c>
      <c r="E197" s="21">
        <v>11.24</v>
      </c>
      <c r="F197" s="21">
        <v>51.31</v>
      </c>
      <c r="G197" s="21">
        <v>61330000</v>
      </c>
      <c r="H197" s="21">
        <v>12770000</v>
      </c>
      <c r="I197" s="21">
        <v>979930000</v>
      </c>
    </row>
    <row r="198" spans="1:9">
      <c r="A198" s="21" t="s">
        <v>633</v>
      </c>
      <c r="B198" s="21" t="s">
        <v>634</v>
      </c>
      <c r="C198" s="21">
        <v>7.9390000000000005E-4</v>
      </c>
      <c r="D198" s="21">
        <v>1.67</v>
      </c>
      <c r="E198" s="21">
        <v>8.4</v>
      </c>
      <c r="F198" s="21">
        <v>6.62</v>
      </c>
      <c r="G198" s="21">
        <v>6440000</v>
      </c>
      <c r="H198" s="21">
        <v>1920000</v>
      </c>
      <c r="I198" s="24" t="s">
        <v>635</v>
      </c>
    </row>
    <row r="199" spans="1:9">
      <c r="A199" s="21" t="s">
        <v>284</v>
      </c>
      <c r="B199" s="21" t="s">
        <v>765</v>
      </c>
      <c r="C199" s="21">
        <v>70.16</v>
      </c>
      <c r="D199" s="21">
        <v>0.33</v>
      </c>
      <c r="E199" s="21">
        <v>0.98</v>
      </c>
      <c r="F199" s="21">
        <v>6.09</v>
      </c>
      <c r="G199" s="21">
        <v>1940000</v>
      </c>
      <c r="H199" s="21">
        <v>2750000</v>
      </c>
      <c r="I199" s="21">
        <v>27680</v>
      </c>
    </row>
    <row r="200" spans="1:9">
      <c r="A200" s="21" t="s">
        <v>484</v>
      </c>
      <c r="B200" s="21" t="s">
        <v>485</v>
      </c>
      <c r="C200" s="21">
        <v>8.8480000000000003E-2</v>
      </c>
      <c r="D200" s="21">
        <v>0.35</v>
      </c>
      <c r="E200" s="21">
        <v>2.39</v>
      </c>
      <c r="F200" s="21">
        <v>21.71</v>
      </c>
      <c r="G200" s="21">
        <v>22860000</v>
      </c>
      <c r="H200" s="21">
        <v>1290000</v>
      </c>
      <c r="I200" s="21">
        <v>258380000</v>
      </c>
    </row>
    <row r="201" spans="1:9">
      <c r="A201" s="21" t="s">
        <v>648</v>
      </c>
      <c r="B201" s="21" t="s">
        <v>649</v>
      </c>
      <c r="C201" s="21">
        <v>5.4739999999999997E-3</v>
      </c>
      <c r="D201" s="21">
        <v>4.33</v>
      </c>
      <c r="E201" s="21">
        <v>57.04</v>
      </c>
      <c r="F201" s="21">
        <v>163.86</v>
      </c>
      <c r="G201" s="21">
        <v>5300000</v>
      </c>
      <c r="H201" s="21">
        <v>182130</v>
      </c>
      <c r="I201" s="21">
        <v>968440000</v>
      </c>
    </row>
    <row r="202" spans="1:9">
      <c r="A202" s="21" t="s">
        <v>877</v>
      </c>
      <c r="B202" s="21" t="s">
        <v>878</v>
      </c>
      <c r="C202" s="21">
        <v>1.0089999999999999E-3</v>
      </c>
      <c r="D202" s="21">
        <v>0.55000000000000004</v>
      </c>
      <c r="E202" s="21">
        <v>4.22</v>
      </c>
      <c r="F202" s="21">
        <v>35.78</v>
      </c>
      <c r="G202" s="21">
        <v>1000000</v>
      </c>
      <c r="H202" s="21">
        <v>69140</v>
      </c>
      <c r="I202" s="21">
        <v>999920000</v>
      </c>
    </row>
    <row r="203" spans="1:9">
      <c r="A203" s="21" t="s">
        <v>163</v>
      </c>
      <c r="B203" s="21" t="s">
        <v>586</v>
      </c>
      <c r="C203" s="21">
        <v>8.5000000000000006E-3</v>
      </c>
      <c r="D203" s="21">
        <v>2.8</v>
      </c>
      <c r="E203" s="21">
        <v>0.08</v>
      </c>
      <c r="F203" s="21">
        <v>2.4900000000000002</v>
      </c>
      <c r="G203" s="21">
        <v>8480000</v>
      </c>
      <c r="H203" s="21">
        <v>164380</v>
      </c>
      <c r="I203" s="21">
        <v>998150000</v>
      </c>
    </row>
    <row r="204" spans="1:9">
      <c r="A204" s="21" t="s">
        <v>416</v>
      </c>
      <c r="B204" s="21" t="s">
        <v>417</v>
      </c>
      <c r="C204" s="21">
        <v>6.4241000000000006E-2</v>
      </c>
      <c r="D204" s="21">
        <v>0.38</v>
      </c>
      <c r="E204" s="21">
        <v>0.6</v>
      </c>
      <c r="F204" s="21">
        <v>2.99</v>
      </c>
      <c r="G204" s="21">
        <v>60030000</v>
      </c>
      <c r="H204" s="21">
        <v>998460</v>
      </c>
      <c r="I204" s="24" t="s">
        <v>418</v>
      </c>
    </row>
    <row r="205" spans="1:9">
      <c r="A205" s="21" t="s">
        <v>20</v>
      </c>
      <c r="B205" s="21" t="s">
        <v>372</v>
      </c>
      <c r="C205" s="21">
        <v>1.468E-2</v>
      </c>
      <c r="D205" s="21">
        <v>0.2</v>
      </c>
      <c r="E205" s="21">
        <v>5.33</v>
      </c>
      <c r="F205" s="21">
        <v>12.27</v>
      </c>
      <c r="G205" s="21">
        <v>10520000000</v>
      </c>
      <c r="H205" s="21">
        <v>53610000</v>
      </c>
      <c r="I205" s="21">
        <v>716590000000</v>
      </c>
    </row>
    <row r="206" spans="1:9">
      <c r="A206" s="21" t="s">
        <v>557</v>
      </c>
      <c r="B206" s="21" t="s">
        <v>557</v>
      </c>
      <c r="C206" s="21">
        <v>2.214E-2</v>
      </c>
      <c r="D206" s="21">
        <v>0</v>
      </c>
      <c r="E206" s="21">
        <v>3.37</v>
      </c>
      <c r="F206" s="21">
        <v>26.96</v>
      </c>
      <c r="G206" s="21">
        <v>10580000</v>
      </c>
      <c r="H206" s="21"/>
      <c r="I206" s="21">
        <v>477830000</v>
      </c>
    </row>
    <row r="207" spans="1:9">
      <c r="A207" s="21" t="s">
        <v>759</v>
      </c>
      <c r="B207" s="21" t="s">
        <v>760</v>
      </c>
      <c r="C207" s="21">
        <v>2.49E-3</v>
      </c>
      <c r="D207" s="21">
        <v>0.61</v>
      </c>
      <c r="E207" s="21">
        <v>24.39</v>
      </c>
      <c r="F207" s="21">
        <v>74.989999999999995</v>
      </c>
      <c r="G207" s="21">
        <v>2360000</v>
      </c>
      <c r="H207" s="21">
        <v>165450</v>
      </c>
      <c r="I207" s="21">
        <v>950000000</v>
      </c>
    </row>
    <row r="208" spans="1:9">
      <c r="A208" s="21" t="s">
        <v>289</v>
      </c>
      <c r="B208" s="21" t="s">
        <v>289</v>
      </c>
      <c r="C208" s="21">
        <v>3.3980000000000003E-2</v>
      </c>
      <c r="D208" s="21">
        <v>0.01</v>
      </c>
      <c r="E208" s="21">
        <v>2.38</v>
      </c>
      <c r="F208" s="21">
        <v>4.95</v>
      </c>
      <c r="G208" s="21">
        <v>1210000</v>
      </c>
      <c r="H208" s="21"/>
      <c r="I208" s="21">
        <v>35890000</v>
      </c>
    </row>
    <row r="209" spans="1:9">
      <c r="A209" s="21" t="s">
        <v>605</v>
      </c>
      <c r="B209" s="21" t="s">
        <v>606</v>
      </c>
      <c r="C209" s="21">
        <v>6.3909999999999995E-2</v>
      </c>
      <c r="D209" s="21">
        <v>0.03</v>
      </c>
      <c r="E209" s="21">
        <v>0.13</v>
      </c>
      <c r="F209" s="21">
        <v>8.32</v>
      </c>
      <c r="G209" s="24" t="s">
        <v>604</v>
      </c>
      <c r="H209" s="21">
        <v>246480</v>
      </c>
      <c r="I209" s="24" t="s">
        <v>607</v>
      </c>
    </row>
    <row r="210" spans="1:9">
      <c r="A210" s="21" t="s">
        <v>662</v>
      </c>
      <c r="B210" s="21" t="s">
        <v>663</v>
      </c>
      <c r="C210" s="21">
        <v>1.3429999999999999E-2</v>
      </c>
      <c r="D210" s="21">
        <v>0.22</v>
      </c>
      <c r="E210" s="21">
        <v>2.68</v>
      </c>
      <c r="F210" s="21">
        <v>19.059999999999999</v>
      </c>
      <c r="G210" s="21">
        <v>5160000</v>
      </c>
      <c r="H210" s="21">
        <v>334040</v>
      </c>
      <c r="I210" s="21">
        <v>384340000</v>
      </c>
    </row>
    <row r="211" spans="1:9">
      <c r="A211" s="21" t="s">
        <v>790</v>
      </c>
      <c r="B211" s="21" t="s">
        <v>791</v>
      </c>
      <c r="C211" s="21">
        <v>2.3480000000000001E-2</v>
      </c>
      <c r="D211" s="21">
        <v>0</v>
      </c>
      <c r="E211" s="21">
        <v>1.26</v>
      </c>
      <c r="F211" s="21">
        <v>18.54</v>
      </c>
      <c r="G211" s="21">
        <v>1560000</v>
      </c>
      <c r="H211" s="21"/>
      <c r="I211" s="21">
        <v>66660000</v>
      </c>
    </row>
    <row r="212" spans="1:9">
      <c r="A212" s="21" t="s">
        <v>847</v>
      </c>
      <c r="B212" s="21" t="s">
        <v>848</v>
      </c>
      <c r="C212" s="21">
        <v>5.7289999999999997E-3</v>
      </c>
      <c r="D212" s="21">
        <v>0.49</v>
      </c>
      <c r="E212" s="21">
        <v>1.54</v>
      </c>
      <c r="F212" s="21">
        <v>72.790000000000006</v>
      </c>
      <c r="G212" s="21">
        <v>1210000</v>
      </c>
      <c r="H212" s="21">
        <v>163140</v>
      </c>
      <c r="I212" s="21">
        <v>211520000</v>
      </c>
    </row>
    <row r="213" spans="1:9">
      <c r="A213" s="21" t="s">
        <v>849</v>
      </c>
      <c r="B213" s="21" t="s">
        <v>850</v>
      </c>
      <c r="C213" s="21">
        <v>0.38800000000000001</v>
      </c>
      <c r="D213" s="21">
        <v>0.23</v>
      </c>
      <c r="E213" s="21">
        <v>1.1200000000000001</v>
      </c>
      <c r="F213" s="21">
        <v>43.32</v>
      </c>
      <c r="G213" s="21">
        <v>1040000</v>
      </c>
      <c r="H213" s="21"/>
      <c r="I213" s="21">
        <v>2700000</v>
      </c>
    </row>
    <row r="214" spans="1:9">
      <c r="A214" s="21" t="s">
        <v>423</v>
      </c>
      <c r="B214" s="21" t="s">
        <v>424</v>
      </c>
      <c r="C214" s="21">
        <v>2.19</v>
      </c>
      <c r="D214" s="21">
        <v>0.36</v>
      </c>
      <c r="E214" s="21">
        <v>3.51</v>
      </c>
      <c r="F214" s="21">
        <v>15.38</v>
      </c>
      <c r="G214" s="21">
        <v>43050000</v>
      </c>
      <c r="H214" s="21">
        <v>3960000</v>
      </c>
      <c r="I214" s="21">
        <v>19600000</v>
      </c>
    </row>
    <row r="215" spans="1:9">
      <c r="A215" s="21" t="s">
        <v>550</v>
      </c>
      <c r="B215" s="21" t="s">
        <v>551</v>
      </c>
      <c r="C215" s="21">
        <v>0.1943</v>
      </c>
      <c r="D215" s="21">
        <v>0.02</v>
      </c>
      <c r="E215" s="21">
        <v>0.44</v>
      </c>
      <c r="F215" s="21">
        <v>5.86</v>
      </c>
      <c r="G215" s="21">
        <v>13010000</v>
      </c>
      <c r="H215" s="21">
        <v>14040</v>
      </c>
      <c r="I215" s="24" t="s">
        <v>552</v>
      </c>
    </row>
    <row r="216" spans="1:9">
      <c r="A216" s="21" t="s">
        <v>751</v>
      </c>
      <c r="B216" s="21" t="s">
        <v>752</v>
      </c>
      <c r="C216" s="21">
        <v>2.4559999999999998E-3</v>
      </c>
      <c r="D216" s="21">
        <v>5.14</v>
      </c>
      <c r="E216" s="21">
        <v>13.93</v>
      </c>
      <c r="F216" s="21">
        <v>33.57</v>
      </c>
      <c r="G216" s="21">
        <v>2380000</v>
      </c>
      <c r="H216" s="21">
        <v>176220</v>
      </c>
      <c r="I216" s="21">
        <v>970980000</v>
      </c>
    </row>
    <row r="217" spans="1:9">
      <c r="A217" s="21" t="s">
        <v>656</v>
      </c>
      <c r="B217" s="21" t="s">
        <v>657</v>
      </c>
      <c r="C217" s="21">
        <v>0.39600000000000002</v>
      </c>
      <c r="D217" s="21">
        <v>0.1</v>
      </c>
      <c r="E217" s="21">
        <v>2.46</v>
      </c>
      <c r="F217" s="21">
        <v>17.47</v>
      </c>
      <c r="G217" s="21">
        <v>5210000</v>
      </c>
      <c r="H217" s="21">
        <v>1460000</v>
      </c>
      <c r="I217" s="21">
        <v>13170000</v>
      </c>
    </row>
    <row r="218" spans="1:9">
      <c r="A218" s="21" t="s">
        <v>490</v>
      </c>
      <c r="B218" s="21" t="s">
        <v>491</v>
      </c>
      <c r="C218" s="21">
        <v>223.04</v>
      </c>
      <c r="D218" s="21">
        <v>0.13</v>
      </c>
      <c r="E218" s="21">
        <v>17.260000000000002</v>
      </c>
      <c r="F218" s="21">
        <v>8.2200000000000006</v>
      </c>
      <c r="G218" s="21">
        <v>22290000</v>
      </c>
      <c r="H218" s="21">
        <v>43080</v>
      </c>
      <c r="I218" s="21">
        <v>99960</v>
      </c>
    </row>
    <row r="219" spans="1:9">
      <c r="A219" s="21" t="s">
        <v>467</v>
      </c>
      <c r="B219" s="21" t="s">
        <v>468</v>
      </c>
      <c r="C219" s="21">
        <v>8.3149999999999995E-3</v>
      </c>
      <c r="D219" s="21">
        <v>0.8</v>
      </c>
      <c r="E219" s="21">
        <v>1.34</v>
      </c>
      <c r="F219" s="21">
        <v>14.74</v>
      </c>
      <c r="G219" s="21">
        <v>29730000</v>
      </c>
      <c r="H219" s="24" t="s">
        <v>469</v>
      </c>
      <c r="I219" s="21">
        <v>3570000000</v>
      </c>
    </row>
    <row r="220" spans="1:9">
      <c r="A220" s="21" t="s">
        <v>780</v>
      </c>
      <c r="B220" s="21" t="s">
        <v>781</v>
      </c>
      <c r="C220" s="21">
        <v>1.89E-3</v>
      </c>
      <c r="D220" s="21">
        <v>1.86</v>
      </c>
      <c r="E220" s="21">
        <v>47.93</v>
      </c>
      <c r="F220" s="21">
        <v>76.25</v>
      </c>
      <c r="G220" s="21">
        <v>1890000</v>
      </c>
      <c r="H220" s="21">
        <v>232210</v>
      </c>
      <c r="I220" s="21">
        <v>999950000</v>
      </c>
    </row>
    <row r="221" spans="1:9">
      <c r="A221" s="21" t="s">
        <v>230</v>
      </c>
      <c r="B221" s="21" t="s">
        <v>843</v>
      </c>
      <c r="C221" s="21">
        <v>2.5229999999999999E-2</v>
      </c>
      <c r="D221" s="21">
        <v>0.01</v>
      </c>
      <c r="E221" s="21">
        <v>1.26</v>
      </c>
      <c r="F221" s="21">
        <v>14.21</v>
      </c>
      <c r="G221" s="21">
        <v>1210000</v>
      </c>
      <c r="H221" s="21">
        <v>2900</v>
      </c>
      <c r="I221" s="21">
        <v>48090000</v>
      </c>
    </row>
    <row r="222" spans="1:9">
      <c r="A222" s="21" t="s">
        <v>798</v>
      </c>
      <c r="B222" s="21" t="s">
        <v>799</v>
      </c>
      <c r="C222" s="21">
        <v>1.5690000000000001E-3</v>
      </c>
      <c r="D222" s="21">
        <v>5.65</v>
      </c>
      <c r="E222" s="21">
        <v>38.1</v>
      </c>
      <c r="F222" s="21">
        <v>73.209999999999994</v>
      </c>
      <c r="G222" s="21">
        <v>1550000</v>
      </c>
      <c r="H222" s="21">
        <v>85030</v>
      </c>
      <c r="I222" s="21">
        <v>989890000</v>
      </c>
    </row>
    <row r="223" spans="1:9">
      <c r="A223" s="21" t="s">
        <v>728</v>
      </c>
      <c r="B223" s="21" t="s">
        <v>729</v>
      </c>
      <c r="C223" s="21">
        <v>1.2689999999999999E-4</v>
      </c>
      <c r="D223" s="21">
        <v>0.77</v>
      </c>
      <c r="E223" s="21">
        <v>5.95</v>
      </c>
      <c r="F223" s="21">
        <v>15.1</v>
      </c>
      <c r="G223" s="21">
        <v>3000000</v>
      </c>
      <c r="H223" s="21">
        <v>51500</v>
      </c>
      <c r="I223" s="21">
        <v>23690000000</v>
      </c>
    </row>
    <row r="224" spans="1:9">
      <c r="A224" s="21" t="s">
        <v>842</v>
      </c>
      <c r="B224" s="21" t="s">
        <v>842</v>
      </c>
      <c r="C224" s="21">
        <v>5.3339999999999995E-4</v>
      </c>
      <c r="D224" s="21">
        <v>0.01</v>
      </c>
      <c r="E224" s="21">
        <v>2.21</v>
      </c>
      <c r="F224" s="21">
        <v>13.37</v>
      </c>
      <c r="G224" s="21">
        <v>1210000</v>
      </c>
      <c r="H224" s="21">
        <v>149760</v>
      </c>
      <c r="I224" s="21">
        <v>2280000000</v>
      </c>
    </row>
    <row r="225" spans="1:9">
      <c r="A225" s="21" t="s">
        <v>867</v>
      </c>
      <c r="B225" s="21" t="s">
        <v>868</v>
      </c>
      <c r="C225" s="21">
        <v>3.5349999999999997E-4</v>
      </c>
      <c r="D225" s="21">
        <v>0</v>
      </c>
      <c r="E225" s="21">
        <v>1.36</v>
      </c>
      <c r="F225" s="21">
        <v>29.87</v>
      </c>
      <c r="G225" s="21">
        <v>1020000</v>
      </c>
      <c r="H225" s="21"/>
      <c r="I225" s="21">
        <v>2900000000</v>
      </c>
    </row>
    <row r="226" spans="1:9">
      <c r="A226" s="21" t="s">
        <v>820</v>
      </c>
      <c r="B226" s="21" t="s">
        <v>821</v>
      </c>
      <c r="C226" s="21">
        <v>158.87</v>
      </c>
      <c r="D226" s="21">
        <v>0.32</v>
      </c>
      <c r="E226" s="21">
        <v>0.08</v>
      </c>
      <c r="F226" s="21">
        <v>4.7</v>
      </c>
      <c r="G226" s="21">
        <v>1510000</v>
      </c>
      <c r="H226" s="21">
        <v>1560000</v>
      </c>
      <c r="I226" s="21">
        <v>9550</v>
      </c>
    </row>
    <row r="227" spans="1:9">
      <c r="A227" s="21" t="s">
        <v>851</v>
      </c>
      <c r="B227" s="21" t="s">
        <v>852</v>
      </c>
      <c r="C227" s="21">
        <v>1.8929999999999999E-3</v>
      </c>
      <c r="D227" s="21">
        <v>0.26</v>
      </c>
      <c r="E227" s="21">
        <v>3.81</v>
      </c>
      <c r="F227" s="21">
        <v>4</v>
      </c>
      <c r="G227" s="21">
        <v>1040000</v>
      </c>
      <c r="H227" s="21">
        <v>6910</v>
      </c>
      <c r="I227" s="21">
        <v>552480000</v>
      </c>
    </row>
    <row r="228" spans="1:9">
      <c r="A228" s="21" t="s">
        <v>823</v>
      </c>
      <c r="B228" s="21" t="s">
        <v>824</v>
      </c>
      <c r="C228" s="21">
        <v>7.1909999999999997E-4</v>
      </c>
      <c r="D228" s="21">
        <v>0.01</v>
      </c>
      <c r="E228" s="21">
        <v>1.29</v>
      </c>
      <c r="F228" s="21">
        <v>2.31</v>
      </c>
      <c r="G228" s="21">
        <v>1240000</v>
      </c>
      <c r="H228" s="21">
        <v>15210</v>
      </c>
      <c r="I228" s="21">
        <v>1730000000</v>
      </c>
    </row>
    <row r="229" spans="1:9">
      <c r="A229" s="21" t="s">
        <v>162</v>
      </c>
      <c r="B229" s="21" t="s">
        <v>541</v>
      </c>
      <c r="C229" s="21">
        <v>18.420000000000002</v>
      </c>
      <c r="D229" s="21">
        <v>0.28999999999999998</v>
      </c>
      <c r="E229" s="21">
        <v>2.2000000000000002</v>
      </c>
      <c r="F229" s="21">
        <v>1.46</v>
      </c>
      <c r="G229" s="21">
        <v>13130000</v>
      </c>
      <c r="H229" s="21">
        <v>541280</v>
      </c>
      <c r="I229" s="21">
        <v>712940</v>
      </c>
    </row>
    <row r="230" spans="1:9">
      <c r="A230" s="21" t="s">
        <v>295</v>
      </c>
      <c r="B230" s="21" t="s">
        <v>331</v>
      </c>
      <c r="C230" s="21">
        <v>101.09</v>
      </c>
      <c r="D230" s="21">
        <v>0.62</v>
      </c>
      <c r="E230" s="21">
        <v>7.48</v>
      </c>
      <c r="F230" s="21">
        <v>33.18</v>
      </c>
      <c r="G230" s="21">
        <v>58970000000</v>
      </c>
      <c r="H230" s="21">
        <v>7590000000</v>
      </c>
      <c r="I230" s="21">
        <v>583370000</v>
      </c>
    </row>
    <row r="231" spans="1:9">
      <c r="A231" s="21" t="s">
        <v>24</v>
      </c>
      <c r="B231" s="21" t="s">
        <v>385</v>
      </c>
      <c r="C231" s="21">
        <v>1</v>
      </c>
      <c r="D231" s="21">
        <v>0.01</v>
      </c>
      <c r="E231" s="21">
        <v>0.01</v>
      </c>
      <c r="F231" s="21">
        <v>0.06</v>
      </c>
      <c r="G231" s="21">
        <v>404340000</v>
      </c>
      <c r="H231" s="21">
        <v>18730000</v>
      </c>
      <c r="I231" s="21">
        <v>403150000</v>
      </c>
    </row>
    <row r="232" spans="1:9">
      <c r="A232" s="21" t="s">
        <v>546</v>
      </c>
      <c r="B232" s="21" t="s">
        <v>547</v>
      </c>
      <c r="C232" s="21">
        <v>2.7989999999999998E-3</v>
      </c>
      <c r="D232" s="21">
        <v>7.0000000000000007E-2</v>
      </c>
      <c r="E232" s="21">
        <v>10.61</v>
      </c>
      <c r="F232" s="21">
        <v>22.96</v>
      </c>
      <c r="G232" s="21">
        <v>13020000</v>
      </c>
      <c r="H232" s="21">
        <v>7060000</v>
      </c>
      <c r="I232" s="21">
        <v>4650000000</v>
      </c>
    </row>
    <row r="233" spans="1:9">
      <c r="A233" s="21" t="s">
        <v>517</v>
      </c>
      <c r="B233" s="21" t="s">
        <v>518</v>
      </c>
      <c r="C233" s="24" t="s">
        <v>519</v>
      </c>
      <c r="D233" s="21">
        <v>0.38</v>
      </c>
      <c r="E233" s="21">
        <v>5.46</v>
      </c>
      <c r="F233" s="21">
        <v>15.91</v>
      </c>
      <c r="G233" s="21">
        <v>17200000</v>
      </c>
      <c r="H233" s="21">
        <v>20000000</v>
      </c>
      <c r="I233" s="21">
        <v>195240000000</v>
      </c>
    </row>
    <row r="234" spans="1:9">
      <c r="A234" s="21" t="s">
        <v>574</v>
      </c>
      <c r="B234" s="21" t="s">
        <v>575</v>
      </c>
      <c r="C234" s="21">
        <v>7.1730000000000002E-2</v>
      </c>
      <c r="D234" s="21">
        <v>0.77</v>
      </c>
      <c r="E234" s="21">
        <v>2.19</v>
      </c>
      <c r="F234" s="21">
        <v>12.68</v>
      </c>
      <c r="G234" s="21">
        <v>10260000</v>
      </c>
      <c r="H234" s="21">
        <v>6240000</v>
      </c>
      <c r="I234" s="21">
        <v>143150000</v>
      </c>
    </row>
    <row r="235" spans="1:9">
      <c r="A235" s="21" t="s">
        <v>436</v>
      </c>
      <c r="B235" s="21" t="s">
        <v>437</v>
      </c>
      <c r="C235" s="21">
        <v>2.68</v>
      </c>
      <c r="D235" s="21">
        <v>1.33</v>
      </c>
      <c r="E235" s="21">
        <v>3.59</v>
      </c>
      <c r="F235" s="21">
        <v>23.97</v>
      </c>
      <c r="G235" s="21">
        <v>42800000</v>
      </c>
      <c r="H235" s="21">
        <v>7120000</v>
      </c>
      <c r="I235" s="21">
        <v>15920000</v>
      </c>
    </row>
    <row r="236" spans="1:9">
      <c r="A236" s="21" t="s">
        <v>609</v>
      </c>
      <c r="B236" s="21" t="s">
        <v>610</v>
      </c>
      <c r="C236" s="21">
        <v>0.1162</v>
      </c>
      <c r="D236" s="21">
        <v>0.13</v>
      </c>
      <c r="E236" s="21">
        <v>4.1900000000000004</v>
      </c>
      <c r="F236" s="21">
        <v>24.31</v>
      </c>
      <c r="G236" s="24" t="s">
        <v>611</v>
      </c>
      <c r="H236" s="21">
        <v>1090000</v>
      </c>
      <c r="I236" s="21">
        <v>70750000</v>
      </c>
    </row>
    <row r="237" spans="1:9">
      <c r="A237" s="21" t="s">
        <v>412</v>
      </c>
      <c r="B237" s="21" t="s">
        <v>413</v>
      </c>
      <c r="C237" s="21">
        <v>0.999</v>
      </c>
      <c r="D237" s="21">
        <v>0.01</v>
      </c>
      <c r="E237" s="21">
        <v>0.01</v>
      </c>
      <c r="F237" s="21">
        <v>0.09</v>
      </c>
      <c r="G237" s="21">
        <v>60500000</v>
      </c>
      <c r="H237" s="21">
        <v>685770</v>
      </c>
      <c r="I237" s="21">
        <v>60550000</v>
      </c>
    </row>
    <row r="238" spans="1:9">
      <c r="A238" s="21" t="s">
        <v>719</v>
      </c>
      <c r="B238" s="21" t="s">
        <v>720</v>
      </c>
      <c r="C238" s="21">
        <v>1.038E-2</v>
      </c>
      <c r="D238" s="21">
        <v>1.56</v>
      </c>
      <c r="E238" s="21">
        <v>1.9</v>
      </c>
      <c r="F238" s="21">
        <v>17.12</v>
      </c>
      <c r="G238" s="21">
        <v>3040000</v>
      </c>
      <c r="H238" s="21">
        <v>35160</v>
      </c>
      <c r="I238" s="21">
        <v>293470000</v>
      </c>
    </row>
    <row r="239" spans="1:9">
      <c r="A239" s="21" t="s">
        <v>486</v>
      </c>
      <c r="B239" s="21" t="s">
        <v>487</v>
      </c>
      <c r="C239" s="21">
        <v>0.1595</v>
      </c>
      <c r="D239" s="21">
        <v>0.37</v>
      </c>
      <c r="E239" s="21">
        <v>1.21</v>
      </c>
      <c r="F239" s="21">
        <v>12.9</v>
      </c>
      <c r="G239" s="21">
        <v>22490000</v>
      </c>
      <c r="H239" s="21">
        <v>9490000</v>
      </c>
      <c r="I239" s="21">
        <v>140960000</v>
      </c>
    </row>
    <row r="240" spans="1:9">
      <c r="A240" s="21" t="s">
        <v>492</v>
      </c>
      <c r="B240" s="21" t="s">
        <v>493</v>
      </c>
      <c r="C240" s="21">
        <v>764.74</v>
      </c>
      <c r="D240" s="21">
        <v>0.06</v>
      </c>
      <c r="E240" s="21">
        <v>7.0000000000000007E-2</v>
      </c>
      <c r="F240" s="21">
        <v>0.61</v>
      </c>
      <c r="G240" s="21">
        <v>22290000</v>
      </c>
      <c r="H240" s="21">
        <v>10970000</v>
      </c>
      <c r="I240" s="21">
        <v>29150</v>
      </c>
    </row>
    <row r="241" spans="1:9">
      <c r="A241" s="21" t="s">
        <v>471</v>
      </c>
      <c r="B241" s="21" t="s">
        <v>472</v>
      </c>
      <c r="C241" s="21">
        <v>6.1570000000000001E-3</v>
      </c>
      <c r="D241" s="21">
        <v>0.38</v>
      </c>
      <c r="E241" s="21">
        <v>1.77</v>
      </c>
      <c r="F241" s="21">
        <v>23.03</v>
      </c>
      <c r="G241" s="21">
        <v>29630000</v>
      </c>
      <c r="H241" s="21">
        <v>1380000</v>
      </c>
      <c r="I241" s="21">
        <v>4810000000</v>
      </c>
    </row>
    <row r="242" spans="1:9">
      <c r="A242" s="21" t="s">
        <v>103</v>
      </c>
      <c r="B242" s="21" t="s">
        <v>103</v>
      </c>
      <c r="C242" s="21">
        <v>2.503E-2</v>
      </c>
      <c r="D242" s="21">
        <v>1.18</v>
      </c>
      <c r="E242" s="21">
        <v>3.38</v>
      </c>
      <c r="F242" s="21">
        <v>1.89</v>
      </c>
      <c r="G242" s="21">
        <v>17520000</v>
      </c>
      <c r="H242" s="21">
        <v>2320000</v>
      </c>
      <c r="I242" s="21">
        <v>700000000</v>
      </c>
    </row>
    <row r="243" spans="1:9">
      <c r="A243" s="21" t="s">
        <v>568</v>
      </c>
      <c r="B243" s="21" t="s">
        <v>569</v>
      </c>
      <c r="C243" s="21">
        <v>1.255E-2</v>
      </c>
      <c r="D243" s="21">
        <v>0.71</v>
      </c>
      <c r="E243" s="21">
        <v>3.14</v>
      </c>
      <c r="F243" s="21">
        <v>3.26</v>
      </c>
      <c r="G243" s="21">
        <v>10360000</v>
      </c>
      <c r="H243" s="21">
        <v>11850000</v>
      </c>
      <c r="I243" s="21">
        <v>825470000</v>
      </c>
    </row>
    <row r="244" spans="1:9">
      <c r="A244" s="21" t="s">
        <v>624</v>
      </c>
      <c r="B244" s="21" t="s">
        <v>624</v>
      </c>
      <c r="C244" s="21">
        <v>1.9330000000000001E-4</v>
      </c>
      <c r="D244" s="21">
        <v>0.13</v>
      </c>
      <c r="E244" s="21">
        <v>3.45</v>
      </c>
      <c r="F244" s="21">
        <v>6.16</v>
      </c>
      <c r="G244" s="21">
        <v>6500000</v>
      </c>
      <c r="H244" s="21">
        <v>441840</v>
      </c>
      <c r="I244" s="24" t="s">
        <v>625</v>
      </c>
    </row>
    <row r="245" spans="1:9">
      <c r="A245" s="21" t="s">
        <v>408</v>
      </c>
      <c r="B245" s="21" t="s">
        <v>409</v>
      </c>
      <c r="C245" s="21">
        <v>13.79</v>
      </c>
      <c r="D245" s="21">
        <v>0.63</v>
      </c>
      <c r="E245" s="21">
        <v>1.34</v>
      </c>
      <c r="F245" s="21">
        <v>28.86</v>
      </c>
      <c r="G245" s="21">
        <v>60900000</v>
      </c>
      <c r="H245" s="21">
        <v>884820</v>
      </c>
      <c r="I245" s="21">
        <v>4410000</v>
      </c>
    </row>
    <row r="246" spans="1:9">
      <c r="A246" s="21" t="s">
        <v>349</v>
      </c>
      <c r="B246" s="21" t="s">
        <v>350</v>
      </c>
      <c r="C246" s="24" t="s">
        <v>351</v>
      </c>
      <c r="D246" s="21">
        <v>1.37</v>
      </c>
      <c r="E246" s="21">
        <v>1.8</v>
      </c>
      <c r="F246" s="21">
        <v>17.899999999999999</v>
      </c>
      <c r="G246" s="21">
        <v>304020000</v>
      </c>
      <c r="H246" s="21">
        <v>19190000</v>
      </c>
      <c r="I246" s="24" t="s">
        <v>352</v>
      </c>
    </row>
    <row r="247" spans="1:9">
      <c r="A247" s="21" t="s">
        <v>459</v>
      </c>
      <c r="B247" s="21" t="s">
        <v>460</v>
      </c>
      <c r="C247" s="21">
        <v>5.4539999999999996E-3</v>
      </c>
      <c r="D247" s="21">
        <v>1.22</v>
      </c>
      <c r="E247" s="21">
        <v>2.86</v>
      </c>
      <c r="F247" s="21">
        <v>15.22</v>
      </c>
      <c r="G247" s="21">
        <v>30390000</v>
      </c>
      <c r="H247" s="21">
        <v>7170000</v>
      </c>
      <c r="I247" s="21">
        <v>5570000000</v>
      </c>
    </row>
    <row r="248" spans="1:9">
      <c r="A248" s="21" t="s">
        <v>4</v>
      </c>
      <c r="B248" s="21" t="s">
        <v>326</v>
      </c>
      <c r="C248" s="21">
        <v>0.99960000000000004</v>
      </c>
      <c r="D248" s="21">
        <v>0.01</v>
      </c>
      <c r="E248" s="21">
        <v>0.05</v>
      </c>
      <c r="F248" s="21">
        <v>0.06</v>
      </c>
      <c r="G248" s="21">
        <v>183160000000</v>
      </c>
      <c r="H248" s="21">
        <v>114490000000</v>
      </c>
      <c r="I248" s="21">
        <v>183230000000</v>
      </c>
    </row>
    <row r="249" spans="1:9">
      <c r="A249" s="21" t="s">
        <v>767</v>
      </c>
      <c r="B249" s="21" t="s">
        <v>768</v>
      </c>
      <c r="C249" s="21">
        <v>5.296E-2</v>
      </c>
      <c r="D249" s="21">
        <v>0</v>
      </c>
      <c r="E249" s="21">
        <v>0</v>
      </c>
      <c r="F249" s="21">
        <v>4.71</v>
      </c>
      <c r="G249" s="21">
        <v>1920000</v>
      </c>
      <c r="H249" s="21"/>
      <c r="I249" s="21">
        <v>36380000</v>
      </c>
    </row>
    <row r="250" spans="1:9">
      <c r="A250" s="21" t="s">
        <v>515</v>
      </c>
      <c r="B250" s="21" t="s">
        <v>516</v>
      </c>
      <c r="C250" s="21">
        <v>4631.91</v>
      </c>
      <c r="D250" s="21">
        <v>0.14000000000000001</v>
      </c>
      <c r="E250" s="21">
        <v>0.05</v>
      </c>
      <c r="F250" s="21">
        <v>5.91</v>
      </c>
      <c r="G250" s="21">
        <v>17240000</v>
      </c>
      <c r="H250" s="21">
        <v>526880</v>
      </c>
      <c r="I250" s="21">
        <v>3720</v>
      </c>
    </row>
    <row r="251" spans="1:9">
      <c r="A251" s="21" t="s">
        <v>57</v>
      </c>
      <c r="B251" s="21" t="s">
        <v>371</v>
      </c>
      <c r="C251" s="21">
        <v>0.23350000000000001</v>
      </c>
      <c r="D251" s="21">
        <v>0.75</v>
      </c>
      <c r="E251" s="21">
        <v>2.0499999999999998</v>
      </c>
      <c r="F251" s="21">
        <v>14.42</v>
      </c>
      <c r="G251" s="21">
        <v>255540000</v>
      </c>
      <c r="H251" s="21">
        <v>6860000</v>
      </c>
      <c r="I251" s="21">
        <v>1090000000</v>
      </c>
    </row>
    <row r="252" spans="1:9">
      <c r="A252" s="21" t="s">
        <v>576</v>
      </c>
      <c r="B252" s="21" t="s">
        <v>577</v>
      </c>
      <c r="C252" s="21">
        <v>0.13439999999999999</v>
      </c>
      <c r="D252" s="21">
        <v>0.46</v>
      </c>
      <c r="E252" s="21">
        <v>1.97</v>
      </c>
      <c r="F252" s="21">
        <v>4.4800000000000004</v>
      </c>
      <c r="G252" s="21">
        <v>10260000</v>
      </c>
      <c r="H252" s="21">
        <v>30710</v>
      </c>
      <c r="I252" s="21">
        <v>76390000</v>
      </c>
    </row>
    <row r="253" spans="1:9">
      <c r="A253" s="21" t="s">
        <v>766</v>
      </c>
      <c r="B253" s="21">
        <v>67</v>
      </c>
      <c r="C253" s="21">
        <v>1.931E-3</v>
      </c>
      <c r="D253" s="21">
        <v>0.78</v>
      </c>
      <c r="E253" s="21">
        <v>13.02</v>
      </c>
      <c r="F253" s="21">
        <v>89.07</v>
      </c>
      <c r="G253" s="21">
        <v>1930000</v>
      </c>
      <c r="H253" s="21">
        <v>1100000</v>
      </c>
      <c r="I253" s="21">
        <v>999680000</v>
      </c>
    </row>
    <row r="254" spans="1:9">
      <c r="A254" s="21" t="s">
        <v>35</v>
      </c>
      <c r="B254" s="21" t="s">
        <v>444</v>
      </c>
      <c r="C254" s="21">
        <v>3.7659999999999998E-3</v>
      </c>
      <c r="D254" s="21">
        <v>0.28000000000000003</v>
      </c>
      <c r="E254" s="21">
        <v>1.35</v>
      </c>
      <c r="F254" s="21">
        <v>17.11</v>
      </c>
      <c r="G254" s="21">
        <v>42010000</v>
      </c>
      <c r="H254" s="21">
        <v>2970000</v>
      </c>
      <c r="I254" s="21">
        <v>11150000000</v>
      </c>
    </row>
    <row r="255" spans="1:9">
      <c r="A255" s="21" t="s">
        <v>840</v>
      </c>
      <c r="B255" s="21" t="s">
        <v>841</v>
      </c>
      <c r="C255" s="21">
        <v>4.2610000000000002E-2</v>
      </c>
      <c r="D255" s="21">
        <v>0</v>
      </c>
      <c r="E255" s="21">
        <v>0.35</v>
      </c>
      <c r="F255" s="21">
        <v>13.77</v>
      </c>
      <c r="G255" s="21">
        <v>1220000</v>
      </c>
      <c r="H255" s="21"/>
      <c r="I255" s="21">
        <v>28710000</v>
      </c>
    </row>
    <row r="256" spans="1:9">
      <c r="A256" s="21" t="s">
        <v>808</v>
      </c>
      <c r="B256" s="21" t="s">
        <v>809</v>
      </c>
      <c r="C256" s="21">
        <v>1.5410000000000001E-3</v>
      </c>
      <c r="D256" s="21">
        <v>0.24</v>
      </c>
      <c r="E256" s="21">
        <v>0.26</v>
      </c>
      <c r="F256" s="21">
        <v>17.78</v>
      </c>
      <c r="G256" s="21">
        <v>1540000</v>
      </c>
      <c r="H256" s="21">
        <v>45920</v>
      </c>
      <c r="I256" s="21">
        <v>1000000000</v>
      </c>
    </row>
    <row r="257" spans="1:9">
      <c r="A257" s="21" t="s">
        <v>593</v>
      </c>
      <c r="B257" s="21" t="s">
        <v>594</v>
      </c>
      <c r="C257" s="21">
        <v>2.457E-3</v>
      </c>
      <c r="D257" s="21">
        <v>0.64</v>
      </c>
      <c r="E257" s="21">
        <v>0.82</v>
      </c>
      <c r="F257" s="21">
        <v>9.6</v>
      </c>
      <c r="G257" s="21">
        <v>8350000</v>
      </c>
      <c r="H257" s="21">
        <v>3000000</v>
      </c>
      <c r="I257" s="21">
        <v>3400000000</v>
      </c>
    </row>
    <row r="258" spans="1:9">
      <c r="A258" s="21" t="s">
        <v>875</v>
      </c>
      <c r="B258" s="21" t="s">
        <v>876</v>
      </c>
      <c r="C258" s="21">
        <v>0.2024</v>
      </c>
      <c r="D258" s="21">
        <v>0.02</v>
      </c>
      <c r="E258" s="21">
        <v>0.03</v>
      </c>
      <c r="F258" s="21">
        <v>0.06</v>
      </c>
      <c r="G258" s="21">
        <v>1010000</v>
      </c>
      <c r="H258" s="21">
        <v>1180</v>
      </c>
      <c r="I258" s="21">
        <v>5000000</v>
      </c>
    </row>
    <row r="259" spans="1:9">
      <c r="A259" s="21" t="s">
        <v>9</v>
      </c>
      <c r="B259" s="21" t="s">
        <v>332</v>
      </c>
      <c r="C259" s="21">
        <v>0.34449999999999997</v>
      </c>
      <c r="D259" s="21">
        <v>0.03</v>
      </c>
      <c r="E259" s="21">
        <v>7.0000000000000007E-2</v>
      </c>
      <c r="F259" s="21">
        <v>3.74</v>
      </c>
      <c r="G259" s="24" t="s">
        <v>333</v>
      </c>
      <c r="H259" s="24" t="s">
        <v>334</v>
      </c>
      <c r="I259" s="21">
        <v>94910000000</v>
      </c>
    </row>
    <row r="260" spans="1:9">
      <c r="A260" s="21" t="s">
        <v>693</v>
      </c>
      <c r="B260" s="21" t="s">
        <v>694</v>
      </c>
      <c r="C260" s="21">
        <v>3.9170000000000003E-2</v>
      </c>
      <c r="D260" s="21">
        <v>0.21</v>
      </c>
      <c r="E260" s="21">
        <v>0.81</v>
      </c>
      <c r="F260" s="21">
        <v>20.39</v>
      </c>
      <c r="G260" s="21">
        <v>3910000</v>
      </c>
      <c r="H260" s="21">
        <v>183400</v>
      </c>
      <c r="I260" s="21">
        <v>99990000</v>
      </c>
    </row>
    <row r="261" spans="1:9">
      <c r="A261" s="21" t="s">
        <v>678</v>
      </c>
      <c r="B261" s="21" t="s">
        <v>679</v>
      </c>
      <c r="C261" s="21">
        <v>3.3399999999999999E-4</v>
      </c>
      <c r="D261" s="21">
        <v>1.72</v>
      </c>
      <c r="E261" s="21">
        <v>4.3600000000000003</v>
      </c>
      <c r="F261" s="21">
        <v>17.79</v>
      </c>
      <c r="G261" s="21">
        <v>4050000</v>
      </c>
      <c r="H261" s="21">
        <v>99160</v>
      </c>
      <c r="I261" s="21">
        <v>12140000000</v>
      </c>
    </row>
    <row r="262" spans="1:9">
      <c r="A262" s="21" t="s">
        <v>612</v>
      </c>
      <c r="B262" s="21" t="s">
        <v>613</v>
      </c>
      <c r="C262" s="21">
        <v>0.1085</v>
      </c>
      <c r="D262" s="21">
        <v>0.4</v>
      </c>
      <c r="E262" s="21">
        <v>5.03</v>
      </c>
      <c r="F262" s="21">
        <v>37.49</v>
      </c>
      <c r="G262" s="24" t="s">
        <v>611</v>
      </c>
      <c r="H262" s="21">
        <v>778160</v>
      </c>
      <c r="I262" s="21">
        <v>75750000</v>
      </c>
    </row>
    <row r="263" spans="1:9">
      <c r="A263" s="21" t="s">
        <v>28</v>
      </c>
      <c r="B263" s="21" t="s">
        <v>386</v>
      </c>
      <c r="C263" s="21">
        <v>0.12909999999999999</v>
      </c>
      <c r="D263" s="21">
        <v>2.34</v>
      </c>
      <c r="E263" s="21">
        <v>9.14</v>
      </c>
      <c r="F263" s="21">
        <v>14.11</v>
      </c>
      <c r="G263" s="21">
        <v>322960000</v>
      </c>
      <c r="H263" s="21">
        <v>6520000</v>
      </c>
      <c r="I263" s="21">
        <v>2500000000</v>
      </c>
    </row>
    <row r="264" spans="1:9">
      <c r="A264" s="21" t="s">
        <v>300</v>
      </c>
      <c r="B264" s="21" t="s">
        <v>341</v>
      </c>
      <c r="C264" s="21">
        <v>9.35</v>
      </c>
      <c r="D264" s="21">
        <v>0.06</v>
      </c>
      <c r="E264" s="21">
        <v>0.48</v>
      </c>
      <c r="F264" s="21">
        <v>0.75</v>
      </c>
      <c r="G264" s="21">
        <v>8600000000</v>
      </c>
      <c r="H264" s="21">
        <v>245000</v>
      </c>
      <c r="I264" s="21">
        <v>919900000</v>
      </c>
    </row>
    <row r="265" spans="1:9">
      <c r="A265" s="21" t="s">
        <v>225</v>
      </c>
      <c r="B265" s="21" t="s">
        <v>384</v>
      </c>
      <c r="C265" s="21">
        <v>0.99990000000000001</v>
      </c>
      <c r="D265" s="21">
        <v>0.01</v>
      </c>
      <c r="E265" s="21">
        <v>0.01</v>
      </c>
      <c r="F265" s="21">
        <v>0.01</v>
      </c>
      <c r="G265" s="21">
        <v>501320000</v>
      </c>
      <c r="H265" s="21">
        <v>3240000</v>
      </c>
      <c r="I265" s="21">
        <v>501350000</v>
      </c>
    </row>
    <row r="266" spans="1:9">
      <c r="A266" s="21" t="s">
        <v>301</v>
      </c>
      <c r="B266" s="21" t="s">
        <v>301</v>
      </c>
      <c r="C266" s="21">
        <v>0.99990000000000001</v>
      </c>
      <c r="D266" s="21">
        <v>0</v>
      </c>
      <c r="E266" s="21">
        <v>0.01</v>
      </c>
      <c r="F266" s="21">
        <v>0.01</v>
      </c>
      <c r="G266" s="21">
        <v>73640000000</v>
      </c>
      <c r="H266" s="21">
        <v>22520000000</v>
      </c>
      <c r="I266" s="21">
        <v>73650000000</v>
      </c>
    </row>
    <row r="267" spans="1:9">
      <c r="A267" s="21" t="s">
        <v>30</v>
      </c>
      <c r="B267" s="21" t="s">
        <v>30</v>
      </c>
      <c r="C267" s="21">
        <v>1</v>
      </c>
      <c r="D267" s="21">
        <v>0</v>
      </c>
      <c r="E267" s="21">
        <v>0.02</v>
      </c>
      <c r="F267" s="21">
        <v>0</v>
      </c>
      <c r="G267" s="21">
        <v>1190000000</v>
      </c>
      <c r="H267" s="21">
        <v>15950000</v>
      </c>
      <c r="I267" s="21">
        <v>1190000000</v>
      </c>
    </row>
    <row r="268" spans="1:9">
      <c r="A268" s="21" t="s">
        <v>482</v>
      </c>
      <c r="B268" s="21" t="s">
        <v>483</v>
      </c>
      <c r="C268" s="21">
        <v>1.196E-2</v>
      </c>
      <c r="D268" s="21">
        <v>1.44</v>
      </c>
      <c r="E268" s="21">
        <v>1.96</v>
      </c>
      <c r="F268" s="21">
        <v>37.79</v>
      </c>
      <c r="G268" s="21">
        <v>22860000</v>
      </c>
      <c r="H268" s="21">
        <v>28210000</v>
      </c>
      <c r="I268" s="21">
        <v>1910000000</v>
      </c>
    </row>
    <row r="269" spans="1:9">
      <c r="A269" s="21" t="s">
        <v>204</v>
      </c>
      <c r="B269" s="21" t="s">
        <v>383</v>
      </c>
      <c r="C269" s="21">
        <v>0.99870000000000003</v>
      </c>
      <c r="D269" s="21">
        <v>0.01</v>
      </c>
      <c r="E269" s="21">
        <v>0.01</v>
      </c>
      <c r="F269" s="21">
        <v>0</v>
      </c>
      <c r="G269" s="21">
        <v>553320000</v>
      </c>
      <c r="H269" s="21">
        <v>119760</v>
      </c>
      <c r="I269" s="21">
        <v>553990000</v>
      </c>
    </row>
    <row r="270" spans="1:9">
      <c r="A270" s="21" t="s">
        <v>810</v>
      </c>
      <c r="B270" s="21" t="s">
        <v>811</v>
      </c>
      <c r="C270" s="21">
        <v>1.539E-3</v>
      </c>
      <c r="D270" s="21">
        <v>3.46</v>
      </c>
      <c r="E270" s="21">
        <v>24.55</v>
      </c>
      <c r="F270" s="21">
        <v>57.39</v>
      </c>
      <c r="G270" s="21">
        <v>1530000</v>
      </c>
      <c r="H270" s="21">
        <v>28710</v>
      </c>
      <c r="I270" s="21">
        <v>996730000</v>
      </c>
    </row>
    <row r="271" spans="1:9">
      <c r="A271" s="21" t="s">
        <v>747</v>
      </c>
      <c r="B271" s="21" t="s">
        <v>748</v>
      </c>
      <c r="C271" s="21">
        <v>0.46960000000000002</v>
      </c>
      <c r="D271" s="21">
        <v>0.21</v>
      </c>
      <c r="E271" s="21">
        <v>4.57</v>
      </c>
      <c r="F271" s="21">
        <v>7.07</v>
      </c>
      <c r="G271" s="21">
        <v>2390000</v>
      </c>
      <c r="H271" s="21">
        <v>16850</v>
      </c>
      <c r="I271" s="21">
        <v>5100000</v>
      </c>
    </row>
    <row r="272" spans="1:9">
      <c r="A272" s="21" t="s">
        <v>449</v>
      </c>
      <c r="B272" s="21" t="s">
        <v>450</v>
      </c>
      <c r="C272" s="21">
        <v>1.02</v>
      </c>
      <c r="D272" s="21">
        <v>0.5</v>
      </c>
      <c r="E272" s="21">
        <v>2.92</v>
      </c>
      <c r="F272" s="21">
        <v>21.14</v>
      </c>
      <c r="G272" s="21">
        <v>30940000</v>
      </c>
      <c r="H272" s="21">
        <v>2310000</v>
      </c>
      <c r="I272" s="21">
        <v>30080000</v>
      </c>
    </row>
    <row r="273" spans="1:9">
      <c r="A273" s="21" t="s">
        <v>715</v>
      </c>
      <c r="B273" s="21" t="s">
        <v>716</v>
      </c>
      <c r="C273" s="21">
        <v>8.0579999999999996E-4</v>
      </c>
      <c r="D273" s="21">
        <v>0.09</v>
      </c>
      <c r="E273" s="21">
        <v>2.89</v>
      </c>
      <c r="F273" s="21">
        <v>5.23</v>
      </c>
      <c r="G273" s="21">
        <v>3060000</v>
      </c>
      <c r="H273" s="21">
        <v>1150000</v>
      </c>
      <c r="I273" s="21">
        <v>3800000000</v>
      </c>
    </row>
    <row r="274" spans="1:9">
      <c r="A274" s="21" t="s">
        <v>414</v>
      </c>
      <c r="B274" s="21" t="s">
        <v>415</v>
      </c>
      <c r="C274" s="21">
        <v>2.2349999999999998E-2</v>
      </c>
      <c r="D274" s="21">
        <v>0.03</v>
      </c>
      <c r="E274" s="21">
        <v>0.01</v>
      </c>
      <c r="F274" s="21">
        <v>0.23</v>
      </c>
      <c r="G274" s="21">
        <v>60230000</v>
      </c>
      <c r="H274" s="21"/>
      <c r="I274" s="21">
        <v>2690000000</v>
      </c>
    </row>
    <row r="275" spans="1:9">
      <c r="A275" s="21" t="s">
        <v>777</v>
      </c>
      <c r="B275" s="21" t="s">
        <v>778</v>
      </c>
      <c r="C275" s="24" t="s">
        <v>779</v>
      </c>
      <c r="D275" s="21">
        <v>0.11</v>
      </c>
      <c r="E275" s="21">
        <v>11.14</v>
      </c>
      <c r="F275" s="21">
        <v>78.89</v>
      </c>
      <c r="G275" s="21">
        <v>1890000</v>
      </c>
      <c r="H275" s="21">
        <v>224720</v>
      </c>
      <c r="I275" s="21">
        <v>93170000000</v>
      </c>
    </row>
    <row r="276" spans="1:9">
      <c r="A276" s="21" t="s">
        <v>432</v>
      </c>
      <c r="B276" s="21" t="s">
        <v>433</v>
      </c>
      <c r="C276" s="21">
        <v>2.594E-3</v>
      </c>
      <c r="D276" s="21">
        <v>0.84</v>
      </c>
      <c r="E276" s="21">
        <v>1.58</v>
      </c>
      <c r="F276" s="21">
        <v>31.06</v>
      </c>
      <c r="G276" s="21">
        <v>42860000</v>
      </c>
      <c r="H276" s="21">
        <v>1330000</v>
      </c>
      <c r="I276" s="21">
        <v>16520000000</v>
      </c>
    </row>
    <row r="277" spans="1:9">
      <c r="A277" s="21" t="s">
        <v>697</v>
      </c>
      <c r="B277" s="21" t="s">
        <v>698</v>
      </c>
      <c r="C277" s="21">
        <v>5.237E-2</v>
      </c>
      <c r="D277" s="21">
        <v>0.09</v>
      </c>
      <c r="E277" s="21">
        <v>3.36</v>
      </c>
      <c r="F277" s="21">
        <v>23.22</v>
      </c>
      <c r="G277" s="21">
        <v>3890000</v>
      </c>
      <c r="H277" s="21">
        <v>4900</v>
      </c>
      <c r="I277" s="21">
        <v>74430000</v>
      </c>
    </row>
    <row r="278" spans="1:9">
      <c r="A278" s="21" t="s">
        <v>306</v>
      </c>
      <c r="B278" s="21" t="s">
        <v>687</v>
      </c>
      <c r="C278" s="21">
        <v>0.27279999999999999</v>
      </c>
      <c r="D278" s="21">
        <v>0.7</v>
      </c>
      <c r="E278" s="21">
        <v>3.78</v>
      </c>
      <c r="F278" s="21">
        <v>46.46</v>
      </c>
      <c r="G278" s="21">
        <v>3940000</v>
      </c>
      <c r="H278" s="21">
        <v>1280</v>
      </c>
      <c r="I278" s="21">
        <v>14460000</v>
      </c>
    </row>
    <row r="279" spans="1:9">
      <c r="A279" s="21" t="s">
        <v>873</v>
      </c>
      <c r="B279" s="21" t="s">
        <v>874</v>
      </c>
      <c r="C279" s="21">
        <v>1.56E-4</v>
      </c>
      <c r="D279" s="21">
        <v>0.02</v>
      </c>
      <c r="E279" s="21">
        <v>12.88</v>
      </c>
      <c r="F279" s="21">
        <v>10.49</v>
      </c>
      <c r="G279" s="21">
        <v>1010000</v>
      </c>
      <c r="H279" s="21">
        <v>10650</v>
      </c>
      <c r="I279" s="21">
        <v>6510000000</v>
      </c>
    </row>
    <row r="280" spans="1:9">
      <c r="A280" s="21" t="s">
        <v>463</v>
      </c>
      <c r="B280" s="21" t="s">
        <v>464</v>
      </c>
      <c r="C280" s="21">
        <v>0.2215</v>
      </c>
      <c r="D280" s="21">
        <v>7.0000000000000007E-2</v>
      </c>
      <c r="E280" s="21">
        <v>0.89</v>
      </c>
      <c r="F280" s="21">
        <v>19.059999999999999</v>
      </c>
      <c r="G280" s="21">
        <v>30100000</v>
      </c>
      <c r="H280" s="21">
        <v>4230000</v>
      </c>
      <c r="I280" s="21">
        <v>135920000</v>
      </c>
    </row>
    <row r="281" spans="1:9">
      <c r="A281" s="21" t="s">
        <v>622</v>
      </c>
      <c r="B281" s="21" t="s">
        <v>623</v>
      </c>
      <c r="C281" s="21">
        <v>1.7069999999999998E-2</v>
      </c>
      <c r="D281" s="21">
        <v>0.3</v>
      </c>
      <c r="E281" s="21">
        <v>1.52</v>
      </c>
      <c r="F281" s="21">
        <v>23.06</v>
      </c>
      <c r="G281" s="21">
        <v>6510000</v>
      </c>
      <c r="H281" s="21">
        <v>18640</v>
      </c>
      <c r="I281" s="21">
        <v>381850000</v>
      </c>
    </row>
    <row r="282" spans="1:9">
      <c r="A282" s="21" t="s">
        <v>822</v>
      </c>
      <c r="B282" s="21" t="s">
        <v>822</v>
      </c>
      <c r="C282" s="21">
        <v>9.8760000000000001E-2</v>
      </c>
      <c r="D282" s="21">
        <v>0.01</v>
      </c>
      <c r="E282" s="21">
        <v>7.49</v>
      </c>
      <c r="F282" s="21">
        <v>15.36</v>
      </c>
      <c r="G282" s="21">
        <v>1250000</v>
      </c>
      <c r="H282" s="21">
        <v>28830</v>
      </c>
      <c r="I282" s="21">
        <v>12650000</v>
      </c>
    </row>
    <row r="283" spans="1:9">
      <c r="A283" s="21" t="s">
        <v>690</v>
      </c>
      <c r="B283" s="21" t="s">
        <v>691</v>
      </c>
      <c r="C283" s="21">
        <v>1.341E-2</v>
      </c>
      <c r="D283" s="21">
        <v>2.08</v>
      </c>
      <c r="E283" s="21">
        <v>0.01</v>
      </c>
      <c r="F283" s="21">
        <v>3.67</v>
      </c>
      <c r="G283" s="21">
        <v>3930000</v>
      </c>
      <c r="H283" s="21">
        <v>94600</v>
      </c>
      <c r="I283" s="21">
        <v>293190000</v>
      </c>
    </row>
    <row r="284" spans="1:9">
      <c r="A284" s="21" t="s">
        <v>763</v>
      </c>
      <c r="B284" s="21" t="s">
        <v>764</v>
      </c>
      <c r="C284" s="21">
        <v>2.7299999999999998E-3</v>
      </c>
      <c r="D284" s="21">
        <v>1.67</v>
      </c>
      <c r="E284" s="21">
        <v>11.92</v>
      </c>
      <c r="F284" s="21">
        <v>21.88</v>
      </c>
      <c r="G284" s="21">
        <v>1940000</v>
      </c>
      <c r="H284" s="21">
        <v>36640</v>
      </c>
      <c r="I284" s="21">
        <v>712760000</v>
      </c>
    </row>
    <row r="285" spans="1:9">
      <c r="A285" s="21" t="s">
        <v>496</v>
      </c>
      <c r="B285" s="21" t="s">
        <v>496</v>
      </c>
      <c r="C285" s="21">
        <v>1.174E-2</v>
      </c>
      <c r="D285" s="21">
        <v>0.7</v>
      </c>
      <c r="E285" s="21">
        <v>0.06</v>
      </c>
      <c r="F285" s="21">
        <v>13.29</v>
      </c>
      <c r="G285" s="21">
        <v>22180000</v>
      </c>
      <c r="H285" s="21">
        <v>1620000</v>
      </c>
      <c r="I285" s="21">
        <v>1880000000</v>
      </c>
    </row>
    <row r="286" spans="1:9">
      <c r="A286" s="21" t="s">
        <v>452</v>
      </c>
      <c r="B286" s="21" t="s">
        <v>453</v>
      </c>
      <c r="C286" s="21">
        <v>3.5490000000000001E-2</v>
      </c>
      <c r="D286" s="21">
        <v>0.11</v>
      </c>
      <c r="E286" s="21">
        <v>2.4500000000000002</v>
      </c>
      <c r="F286" s="21">
        <v>17.87</v>
      </c>
      <c r="G286" s="21">
        <v>30700000</v>
      </c>
      <c r="H286" s="21">
        <v>1110000</v>
      </c>
      <c r="I286" s="21">
        <v>865110000</v>
      </c>
    </row>
    <row r="287" spans="1:9">
      <c r="A287" s="21" t="s">
        <v>739</v>
      </c>
      <c r="B287" s="21" t="s">
        <v>740</v>
      </c>
      <c r="C287" s="21">
        <v>4.1139999999999996E-3</v>
      </c>
      <c r="D287" s="21">
        <v>3.52</v>
      </c>
      <c r="E287" s="21">
        <v>3.22</v>
      </c>
      <c r="F287" s="21">
        <v>0.33</v>
      </c>
      <c r="G287" s="21">
        <v>2400000</v>
      </c>
      <c r="H287" s="21">
        <v>956950</v>
      </c>
      <c r="I287" s="21">
        <v>584760000</v>
      </c>
    </row>
    <row r="288" spans="1:9">
      <c r="A288" s="21" t="s">
        <v>396</v>
      </c>
      <c r="B288" s="21" t="s">
        <v>397</v>
      </c>
      <c r="C288" s="21">
        <v>9.7219999999999997E-3</v>
      </c>
      <c r="D288" s="21">
        <v>0.69</v>
      </c>
      <c r="E288" s="21">
        <v>2.72</v>
      </c>
      <c r="F288" s="21">
        <v>19.010000000000002</v>
      </c>
      <c r="G288" s="21">
        <v>62010000</v>
      </c>
      <c r="H288" s="21">
        <v>99670000</v>
      </c>
      <c r="I288" s="21">
        <v>6370000000</v>
      </c>
    </row>
    <row r="289" spans="1:9">
      <c r="A289" s="21" t="s">
        <v>404</v>
      </c>
      <c r="B289" s="21" t="s">
        <v>405</v>
      </c>
      <c r="C289" s="21">
        <v>6.1429999999999998E-2</v>
      </c>
      <c r="D289" s="21">
        <v>0.36</v>
      </c>
      <c r="E289" s="21">
        <v>1.38</v>
      </c>
      <c r="F289" s="21">
        <v>9.56</v>
      </c>
      <c r="G289" s="21">
        <v>61400000</v>
      </c>
      <c r="H289" s="21">
        <v>57090</v>
      </c>
      <c r="I289" s="21">
        <v>999450000</v>
      </c>
    </row>
    <row r="290" spans="1:9">
      <c r="A290" s="21" t="s">
        <v>7</v>
      </c>
      <c r="B290" s="21" t="s">
        <v>7</v>
      </c>
      <c r="C290" s="21">
        <v>1.5</v>
      </c>
      <c r="D290" s="21">
        <v>0.97</v>
      </c>
      <c r="E290" s="21">
        <v>2.21</v>
      </c>
      <c r="F290" s="21">
        <v>50.9</v>
      </c>
      <c r="G290" s="21">
        <v>94530000000</v>
      </c>
      <c r="H290" s="21">
        <v>6610000000</v>
      </c>
      <c r="I290" s="21">
        <v>62740000000</v>
      </c>
    </row>
    <row r="291" spans="1:9">
      <c r="A291" s="21" t="s">
        <v>786</v>
      </c>
      <c r="B291" s="21" t="s">
        <v>787</v>
      </c>
      <c r="C291" s="21">
        <v>6.2940000000000001E-3</v>
      </c>
      <c r="D291" s="21">
        <v>0</v>
      </c>
      <c r="E291" s="21">
        <v>0.72</v>
      </c>
      <c r="F291" s="21">
        <v>3.82</v>
      </c>
      <c r="G291" s="21">
        <v>1870000</v>
      </c>
      <c r="H291" s="21">
        <v>1670</v>
      </c>
      <c r="I291" s="21">
        <v>298250000</v>
      </c>
    </row>
    <row r="292" spans="1:9">
      <c r="A292" s="21" t="s">
        <v>688</v>
      </c>
      <c r="B292" s="21" t="s">
        <v>689</v>
      </c>
      <c r="C292" s="21">
        <v>3.9370000000000004E-3</v>
      </c>
      <c r="D292" s="21">
        <v>0.44</v>
      </c>
      <c r="E292" s="21">
        <v>3.71</v>
      </c>
      <c r="F292" s="21">
        <v>44.81</v>
      </c>
      <c r="G292" s="21">
        <v>3930000</v>
      </c>
      <c r="H292" s="21">
        <v>472690</v>
      </c>
      <c r="I292" s="21">
        <v>1000000000</v>
      </c>
    </row>
    <row r="293" spans="1:9">
      <c r="A293" s="21" t="s">
        <v>539</v>
      </c>
      <c r="B293" s="21" t="s">
        <v>540</v>
      </c>
      <c r="C293" s="21">
        <v>1.452E-2</v>
      </c>
      <c r="D293" s="21">
        <v>0.15</v>
      </c>
      <c r="E293" s="21">
        <v>1.02</v>
      </c>
      <c r="F293" s="21">
        <v>1.79</v>
      </c>
      <c r="G293" s="21">
        <v>13070000</v>
      </c>
      <c r="H293" s="21">
        <v>1310000</v>
      </c>
      <c r="I293" s="21">
        <v>899980000</v>
      </c>
    </row>
    <row r="294" spans="1:9">
      <c r="A294" s="21" t="s">
        <v>502</v>
      </c>
      <c r="B294" s="21" t="s">
        <v>503</v>
      </c>
      <c r="C294" s="21">
        <v>0.64970000000000006</v>
      </c>
      <c r="D294" s="21">
        <v>0</v>
      </c>
      <c r="E294" s="21">
        <v>0.05</v>
      </c>
      <c r="F294" s="21">
        <v>3.28</v>
      </c>
      <c r="G294" s="21">
        <v>17540000</v>
      </c>
      <c r="H294" s="21">
        <v>15840</v>
      </c>
      <c r="I294" s="21">
        <v>27000000</v>
      </c>
    </row>
    <row r="295" spans="1:9">
      <c r="A295" s="21" t="s">
        <v>12</v>
      </c>
      <c r="B295" s="21" t="s">
        <v>338</v>
      </c>
      <c r="C295" s="21">
        <v>848.04</v>
      </c>
      <c r="D295" s="21">
        <v>0.64</v>
      </c>
      <c r="E295" s="21">
        <v>1.26</v>
      </c>
      <c r="F295" s="21">
        <v>65.95</v>
      </c>
      <c r="G295" s="21">
        <v>14270000000</v>
      </c>
      <c r="H295" s="21">
        <v>1450000000</v>
      </c>
      <c r="I295" s="21">
        <v>16830000</v>
      </c>
    </row>
    <row r="296" spans="1:9">
      <c r="A296" s="21" t="s">
        <v>713</v>
      </c>
      <c r="B296" s="21" t="s">
        <v>714</v>
      </c>
      <c r="C296" s="21">
        <v>5.5449999999999998E-4</v>
      </c>
      <c r="D296" s="21">
        <v>0.45</v>
      </c>
      <c r="E296" s="21">
        <v>0.09</v>
      </c>
      <c r="F296" s="21">
        <v>1.58</v>
      </c>
      <c r="G296" s="21">
        <v>3090000</v>
      </c>
      <c r="H296" s="21">
        <v>404430</v>
      </c>
      <c r="I296" s="21">
        <v>5570000000</v>
      </c>
    </row>
    <row r="297" spans="1:9">
      <c r="A297" s="21" t="s">
        <v>753</v>
      </c>
      <c r="B297" s="21" t="s">
        <v>754</v>
      </c>
      <c r="C297" s="21">
        <v>2.5579999999999999E-3</v>
      </c>
      <c r="D297" s="21">
        <v>0.1</v>
      </c>
      <c r="E297" s="21">
        <v>2.73</v>
      </c>
      <c r="F297" s="21">
        <v>13.51</v>
      </c>
      <c r="G297" s="21">
        <v>2380000</v>
      </c>
      <c r="H297" s="21">
        <v>1850000</v>
      </c>
      <c r="I297" s="21">
        <v>931390000</v>
      </c>
    </row>
    <row r="298" spans="1:9">
      <c r="A298" s="21" t="s">
        <v>456</v>
      </c>
      <c r="B298" s="21" t="s">
        <v>456</v>
      </c>
      <c r="C298" s="21">
        <v>6.8320000000000004E-3</v>
      </c>
      <c r="D298" s="21">
        <v>2.2799999999999998</v>
      </c>
      <c r="E298" s="21">
        <v>1.22</v>
      </c>
      <c r="F298" s="21">
        <v>42.3</v>
      </c>
      <c r="G298" s="21">
        <v>30540000</v>
      </c>
      <c r="H298" s="21">
        <v>16820000</v>
      </c>
      <c r="I298" s="21">
        <v>4460000000</v>
      </c>
    </row>
    <row r="299" spans="1:9">
      <c r="A299" s="21" t="s">
        <v>825</v>
      </c>
      <c r="B299" s="21" t="s">
        <v>826</v>
      </c>
      <c r="C299" s="21">
        <v>6.6930000000000002E-3</v>
      </c>
      <c r="D299" s="21">
        <v>0</v>
      </c>
      <c r="E299" s="21">
        <v>4.5</v>
      </c>
      <c r="F299" s="21">
        <v>28.68</v>
      </c>
      <c r="G299" s="21">
        <v>1240000</v>
      </c>
      <c r="H299" s="21">
        <v>11250</v>
      </c>
      <c r="I299" s="21">
        <v>185930000</v>
      </c>
    </row>
    <row r="300" spans="1:9">
      <c r="A300" s="21" t="s">
        <v>880</v>
      </c>
      <c r="B300" s="21" t="s">
        <v>448</v>
      </c>
      <c r="C300" s="21">
        <v>7.37</v>
      </c>
      <c r="D300" s="21">
        <v>1.5</v>
      </c>
      <c r="E300" s="21">
        <v>13.34</v>
      </c>
      <c r="F300" s="21">
        <v>30.68</v>
      </c>
      <c r="G300" s="21">
        <v>31120000</v>
      </c>
      <c r="H300" s="21">
        <v>9670000</v>
      </c>
      <c r="I300" s="21">
        <v>4210000</v>
      </c>
    </row>
    <row r="301" spans="1:9">
      <c r="A301" s="21" t="s">
        <v>881</v>
      </c>
      <c r="B301" s="21" t="s">
        <v>882</v>
      </c>
      <c r="C301" s="21">
        <v>3.9649999999999998E-3</v>
      </c>
      <c r="D301" s="21">
        <v>0.42</v>
      </c>
      <c r="E301" s="21">
        <v>3.8</v>
      </c>
      <c r="F301" s="21">
        <v>0.61</v>
      </c>
      <c r="G301" s="21">
        <v>3960000</v>
      </c>
      <c r="H301" s="21">
        <v>205710</v>
      </c>
      <c r="I301" s="21">
        <v>1000000000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2:B48"/>
  <sheetViews>
    <sheetView zoomScale="67" zoomScaleNormal="67" workbookViewId="0">
      <selection activeCell="A53" sqref="A53"/>
    </sheetView>
  </sheetViews>
  <sheetFormatPr defaultColWidth="9" defaultRowHeight="14.4"/>
  <cols>
    <col min="1" max="1" width="47.21875" bestFit="1" customWidth="1"/>
    <col min="2" max="2" width="17" bestFit="1" customWidth="1"/>
    <col min="3" max="3" width="31.5546875" customWidth="1"/>
  </cols>
  <sheetData>
    <row r="2" spans="1:2">
      <c r="A2" s="26" t="s">
        <v>307</v>
      </c>
      <c r="B2" t="s">
        <v>247</v>
      </c>
    </row>
    <row r="3" spans="1:2">
      <c r="A3" s="2" t="s">
        <v>5</v>
      </c>
      <c r="B3">
        <v>80509.13</v>
      </c>
    </row>
    <row r="4" spans="1:2">
      <c r="A4" s="2" t="s">
        <v>6</v>
      </c>
      <c r="B4">
        <v>713.29</v>
      </c>
    </row>
    <row r="5" spans="1:2">
      <c r="A5" s="2" t="s">
        <v>267</v>
      </c>
      <c r="B5">
        <v>2502.7199999999998</v>
      </c>
    </row>
    <row r="6" spans="1:2">
      <c r="A6" s="2" t="s">
        <v>12</v>
      </c>
      <c r="B6">
        <v>848.04</v>
      </c>
    </row>
    <row r="7" spans="1:2">
      <c r="A7" s="2" t="s">
        <v>389</v>
      </c>
      <c r="B7">
        <v>1638.11</v>
      </c>
    </row>
    <row r="8" spans="1:2">
      <c r="A8" s="2" t="s">
        <v>492</v>
      </c>
      <c r="B8">
        <v>764.74</v>
      </c>
    </row>
    <row r="9" spans="1:2">
      <c r="A9" s="2" t="s">
        <v>515</v>
      </c>
      <c r="B9">
        <v>4631.91</v>
      </c>
    </row>
    <row r="10" spans="1:2">
      <c r="A10" s="2" t="s">
        <v>636</v>
      </c>
      <c r="B10">
        <v>926.42</v>
      </c>
    </row>
    <row r="11" spans="1:2">
      <c r="A11" s="2" t="s">
        <v>792</v>
      </c>
      <c r="B11">
        <v>1111.68</v>
      </c>
    </row>
    <row r="12" spans="1:2">
      <c r="A12" s="2" t="s">
        <v>831</v>
      </c>
      <c r="B12">
        <v>973.38</v>
      </c>
    </row>
    <row r="13" spans="1:2">
      <c r="A13" s="2" t="s">
        <v>246</v>
      </c>
      <c r="B13">
        <v>94619.42</v>
      </c>
    </row>
    <row r="37" spans="1:2">
      <c r="A37" s="26" t="s">
        <v>307</v>
      </c>
      <c r="B37" t="s">
        <v>248</v>
      </c>
    </row>
    <row r="38" spans="1:2">
      <c r="A38" s="2" t="s">
        <v>177</v>
      </c>
      <c r="B38">
        <v>5.71</v>
      </c>
    </row>
    <row r="39" spans="1:2">
      <c r="A39" s="2" t="s">
        <v>45</v>
      </c>
      <c r="B39">
        <v>30.91</v>
      </c>
    </row>
    <row r="40" spans="1:2">
      <c r="A40" s="2" t="s">
        <v>387</v>
      </c>
      <c r="B40">
        <v>5.64</v>
      </c>
    </row>
    <row r="41" spans="1:2">
      <c r="A41" s="2" t="s">
        <v>406</v>
      </c>
      <c r="B41">
        <v>5.35</v>
      </c>
    </row>
    <row r="42" spans="1:2">
      <c r="A42" s="2" t="s">
        <v>562</v>
      </c>
      <c r="B42">
        <v>6.1</v>
      </c>
    </row>
    <row r="43" spans="1:2">
      <c r="A43" s="2" t="s">
        <v>572</v>
      </c>
      <c r="B43">
        <v>8.0399999999999991</v>
      </c>
    </row>
    <row r="44" spans="1:2">
      <c r="A44" s="2" t="s">
        <v>667</v>
      </c>
      <c r="B44">
        <v>19.54</v>
      </c>
    </row>
    <row r="45" spans="1:2">
      <c r="A45" s="2" t="s">
        <v>721</v>
      </c>
      <c r="B45">
        <v>45.45</v>
      </c>
    </row>
    <row r="46" spans="1:2">
      <c r="A46" s="2" t="s">
        <v>730</v>
      </c>
      <c r="B46">
        <v>9.58</v>
      </c>
    </row>
    <row r="47" spans="1:2">
      <c r="A47" s="2" t="s">
        <v>798</v>
      </c>
      <c r="B47">
        <v>5.65</v>
      </c>
    </row>
    <row r="48" spans="1:2">
      <c r="A48" s="2" t="s">
        <v>246</v>
      </c>
      <c r="B48">
        <v>141.97</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2:X358"/>
  <sheetViews>
    <sheetView zoomScale="44" zoomScaleNormal="44" workbookViewId="0">
      <selection activeCell="W64" sqref="W64:X85"/>
    </sheetView>
  </sheetViews>
  <sheetFormatPr defaultColWidth="9" defaultRowHeight="14.4"/>
  <cols>
    <col min="1" max="1" width="38.44140625" bestFit="1" customWidth="1"/>
    <col min="2" max="3" width="17.77734375" bestFit="1" customWidth="1"/>
    <col min="5" max="5" width="15.21875" customWidth="1"/>
    <col min="7" max="7" width="12.33203125" customWidth="1"/>
    <col min="17" max="17" width="23.33203125" bestFit="1" customWidth="1"/>
    <col min="18" max="18" width="17.33203125" customWidth="1"/>
    <col min="23" max="23" width="29.33203125" bestFit="1" customWidth="1"/>
    <col min="24" max="24" width="20.33203125" bestFit="1" customWidth="1"/>
  </cols>
  <sheetData>
    <row r="2" spans="1:2">
      <c r="A2" s="26" t="s">
        <v>307</v>
      </c>
      <c r="B2" t="s">
        <v>247</v>
      </c>
    </row>
    <row r="3" spans="1:2">
      <c r="A3" s="2" t="s">
        <v>58</v>
      </c>
      <c r="B3">
        <v>479.08</v>
      </c>
    </row>
    <row r="4" spans="1:2">
      <c r="A4" s="2" t="s">
        <v>5</v>
      </c>
      <c r="B4">
        <v>62905.02</v>
      </c>
    </row>
    <row r="5" spans="1:2">
      <c r="A5" s="2" t="s">
        <v>6</v>
      </c>
      <c r="B5">
        <v>586.66999999999996</v>
      </c>
    </row>
    <row r="6" spans="1:2">
      <c r="A6" s="2" t="s">
        <v>267</v>
      </c>
      <c r="B6">
        <v>1861.07</v>
      </c>
    </row>
    <row r="7" spans="1:2">
      <c r="A7" s="2" t="s">
        <v>114</v>
      </c>
      <c r="B7">
        <v>592.08000000000004</v>
      </c>
    </row>
    <row r="8" spans="1:2">
      <c r="A8" s="2" t="s">
        <v>113</v>
      </c>
      <c r="B8">
        <v>575.01</v>
      </c>
    </row>
    <row r="9" spans="1:2">
      <c r="A9" s="2" t="s">
        <v>178</v>
      </c>
      <c r="B9">
        <v>554.79999999999995</v>
      </c>
    </row>
    <row r="10" spans="1:2">
      <c r="A10" s="2" t="s">
        <v>120</v>
      </c>
      <c r="B10">
        <v>819.57</v>
      </c>
    </row>
    <row r="11" spans="1:2">
      <c r="A11" s="2" t="s">
        <v>179</v>
      </c>
      <c r="B11">
        <v>697.68</v>
      </c>
    </row>
    <row r="12" spans="1:2">
      <c r="A12" s="2" t="s">
        <v>292</v>
      </c>
      <c r="B12">
        <v>1211.4100000000001</v>
      </c>
    </row>
    <row r="13" spans="1:2">
      <c r="A13" s="2" t="s">
        <v>246</v>
      </c>
      <c r="B13">
        <v>70282.39</v>
      </c>
    </row>
    <row r="20" spans="1:2">
      <c r="A20" s="26" t="s">
        <v>307</v>
      </c>
      <c r="B20" t="s">
        <v>248</v>
      </c>
    </row>
    <row r="21" spans="1:2">
      <c r="A21" s="2" t="s">
        <v>249</v>
      </c>
      <c r="B21">
        <v>5.57</v>
      </c>
    </row>
    <row r="22" spans="1:2">
      <c r="A22" s="2" t="s">
        <v>33</v>
      </c>
      <c r="B22">
        <v>4.53</v>
      </c>
    </row>
    <row r="23" spans="1:2">
      <c r="A23" s="2" t="s">
        <v>206</v>
      </c>
      <c r="B23">
        <v>9.1999999999999993</v>
      </c>
    </row>
    <row r="24" spans="1:2">
      <c r="A24" s="2" t="s">
        <v>203</v>
      </c>
      <c r="B24">
        <v>3.39</v>
      </c>
    </row>
    <row r="25" spans="1:2">
      <c r="A25" s="2" t="s">
        <v>197</v>
      </c>
      <c r="B25">
        <v>5.66</v>
      </c>
    </row>
    <row r="26" spans="1:2">
      <c r="A26" s="2" t="s">
        <v>233</v>
      </c>
      <c r="B26">
        <v>4.4800000000000004</v>
      </c>
    </row>
    <row r="27" spans="1:2">
      <c r="A27" s="2" t="s">
        <v>148</v>
      </c>
      <c r="B27">
        <v>3.85</v>
      </c>
    </row>
    <row r="28" spans="1:2">
      <c r="A28" s="2" t="s">
        <v>69</v>
      </c>
      <c r="B28">
        <v>3.06</v>
      </c>
    </row>
    <row r="29" spans="1:2">
      <c r="A29" s="2" t="s">
        <v>127</v>
      </c>
      <c r="B29">
        <v>4.3499999999999996</v>
      </c>
    </row>
    <row r="30" spans="1:2">
      <c r="A30" s="2" t="s">
        <v>232</v>
      </c>
      <c r="B30">
        <v>16.46</v>
      </c>
    </row>
    <row r="31" spans="1:2">
      <c r="A31" s="2" t="s">
        <v>246</v>
      </c>
      <c r="B31">
        <v>60.550000000000004</v>
      </c>
    </row>
    <row r="37" spans="1:3">
      <c r="A37" s="26" t="s">
        <v>307</v>
      </c>
      <c r="B37" t="s">
        <v>883</v>
      </c>
      <c r="C37" t="s">
        <v>247</v>
      </c>
    </row>
    <row r="38" spans="1:3">
      <c r="A38" s="2" t="s">
        <v>192</v>
      </c>
      <c r="B38">
        <v>3038.3657199800696</v>
      </c>
      <c r="C38">
        <v>0.40110000000000001</v>
      </c>
    </row>
    <row r="39" spans="1:3">
      <c r="A39" s="2" t="s">
        <v>58</v>
      </c>
      <c r="B39">
        <v>194.8127278753729</v>
      </c>
      <c r="C39">
        <v>479.08</v>
      </c>
    </row>
    <row r="40" spans="1:3">
      <c r="A40" s="2" t="s">
        <v>134</v>
      </c>
      <c r="B40">
        <v>376.32933104631218</v>
      </c>
      <c r="C40">
        <v>0.99950000000000006</v>
      </c>
    </row>
    <row r="41" spans="1:3">
      <c r="A41" s="2" t="s">
        <v>242</v>
      </c>
      <c r="B41">
        <v>141.63440860215053</v>
      </c>
      <c r="C41">
        <v>5.2713999999999997E-2</v>
      </c>
    </row>
    <row r="42" spans="1:3">
      <c r="A42" s="2" t="s">
        <v>229</v>
      </c>
      <c r="B42">
        <v>324.37877770315646</v>
      </c>
      <c r="C42">
        <v>2.5579999999999999E-2</v>
      </c>
    </row>
    <row r="43" spans="1:3">
      <c r="A43" s="2" t="s">
        <v>118</v>
      </c>
      <c r="B43">
        <v>134.59516298633017</v>
      </c>
      <c r="C43">
        <v>8.0409999999999995E-3</v>
      </c>
    </row>
    <row r="44" spans="1:3">
      <c r="A44" s="2" t="s">
        <v>233</v>
      </c>
      <c r="B44">
        <v>221.58273381294964</v>
      </c>
      <c r="C44">
        <v>9.1189999999999999E-4</v>
      </c>
    </row>
    <row r="45" spans="1:3">
      <c r="A45" s="2" t="s">
        <v>20</v>
      </c>
      <c r="B45">
        <v>369.11764705882354</v>
      </c>
      <c r="C45">
        <v>1.2749999999999999E-2</v>
      </c>
    </row>
    <row r="46" spans="1:3">
      <c r="A46" s="2" t="s">
        <v>40</v>
      </c>
      <c r="B46">
        <v>163.35078534031413</v>
      </c>
      <c r="C46">
        <v>7.9080000000000003E-4</v>
      </c>
    </row>
    <row r="47" spans="1:3">
      <c r="A47" s="2" t="s">
        <v>301</v>
      </c>
      <c r="B47">
        <v>3658.7301587301586</v>
      </c>
      <c r="C47">
        <v>0.99980000000000002</v>
      </c>
    </row>
    <row r="48" spans="1:3">
      <c r="A48" s="2" t="s">
        <v>246</v>
      </c>
      <c r="B48">
        <v>8622.897453135638</v>
      </c>
      <c r="C48">
        <v>481.58118769999993</v>
      </c>
    </row>
    <row r="57" spans="1:24">
      <c r="A57" s="26" t="s">
        <v>307</v>
      </c>
      <c r="B57" t="s">
        <v>884</v>
      </c>
    </row>
    <row r="58" spans="1:24">
      <c r="A58" s="2" t="s">
        <v>5</v>
      </c>
      <c r="B58">
        <v>1260000000000</v>
      </c>
    </row>
    <row r="59" spans="1:24">
      <c r="A59" s="2" t="s">
        <v>267</v>
      </c>
      <c r="B59">
        <v>224490000000</v>
      </c>
    </row>
    <row r="60" spans="1:24">
      <c r="A60" s="2" t="s">
        <v>4</v>
      </c>
      <c r="B60">
        <v>183630000000</v>
      </c>
    </row>
    <row r="61" spans="1:24">
      <c r="A61" s="2" t="s">
        <v>6</v>
      </c>
      <c r="B61">
        <v>78080000000</v>
      </c>
    </row>
    <row r="62" spans="1:24">
      <c r="A62" s="2" t="s">
        <v>301</v>
      </c>
      <c r="B62">
        <v>71920000000</v>
      </c>
    </row>
    <row r="63" spans="1:24">
      <c r="A63" s="2" t="s">
        <v>7</v>
      </c>
      <c r="B63">
        <v>66340000000</v>
      </c>
      <c r="F63" t="s">
        <v>885</v>
      </c>
      <c r="G63">
        <f>GETPIVOTDATA("Market Cap",$B$58)</f>
        <v>2046242643250</v>
      </c>
    </row>
    <row r="64" spans="1:24">
      <c r="A64" s="2" t="s">
        <v>295</v>
      </c>
      <c r="B64">
        <v>42240000000</v>
      </c>
      <c r="W64" s="26" t="s">
        <v>307</v>
      </c>
      <c r="X64" t="s">
        <v>248</v>
      </c>
    </row>
    <row r="65" spans="1:24">
      <c r="A65" s="2" t="s">
        <v>9</v>
      </c>
      <c r="B65">
        <v>30910000000</v>
      </c>
      <c r="W65" s="2" t="s">
        <v>232</v>
      </c>
      <c r="X65">
        <v>16.46</v>
      </c>
    </row>
    <row r="66" spans="1:24">
      <c r="A66" s="2" t="s">
        <v>10</v>
      </c>
      <c r="B66">
        <v>13320000000</v>
      </c>
      <c r="D66" t="str">
        <f>A58</f>
        <v>Bitcoin</v>
      </c>
      <c r="E66">
        <f>B58</f>
        <v>1260000000000</v>
      </c>
      <c r="W66" s="20" t="s">
        <v>886</v>
      </c>
      <c r="X66">
        <v>16.46</v>
      </c>
    </row>
    <row r="67" spans="1:24">
      <c r="A67" s="2" t="s">
        <v>264</v>
      </c>
      <c r="B67">
        <v>10780000000</v>
      </c>
      <c r="D67" t="str">
        <f t="shared" ref="D67:D70" si="0">A59</f>
        <v>Ethereum</v>
      </c>
      <c r="E67">
        <f t="shared" ref="E67:E70" si="1">B59</f>
        <v>224490000000</v>
      </c>
      <c r="W67" s="2" t="s">
        <v>127</v>
      </c>
      <c r="X67">
        <v>4.3499999999999996</v>
      </c>
    </row>
    <row r="68" spans="1:24">
      <c r="A68" s="2" t="s">
        <v>300</v>
      </c>
      <c r="B68">
        <v>8970000000</v>
      </c>
      <c r="D68" t="str">
        <f t="shared" si="0"/>
        <v>Tether</v>
      </c>
      <c r="E68">
        <f t="shared" si="1"/>
        <v>183630000000</v>
      </c>
      <c r="W68" s="20" t="s">
        <v>127</v>
      </c>
      <c r="X68">
        <v>4.3499999999999996</v>
      </c>
    </row>
    <row r="69" spans="1:24">
      <c r="A69" s="2" t="s">
        <v>20</v>
      </c>
      <c r="B69">
        <v>8850000000</v>
      </c>
      <c r="D69" t="str">
        <f t="shared" si="0"/>
        <v>BNB</v>
      </c>
      <c r="E69">
        <f t="shared" si="1"/>
        <v>78080000000</v>
      </c>
      <c r="W69" s="2" t="s">
        <v>69</v>
      </c>
      <c r="X69">
        <v>3.06</v>
      </c>
    </row>
    <row r="70" spans="1:24">
      <c r="A70" s="2" t="s">
        <v>165</v>
      </c>
      <c r="B70">
        <v>8160000000</v>
      </c>
      <c r="D70" t="str">
        <f t="shared" si="0"/>
        <v>USDC</v>
      </c>
      <c r="E70">
        <f t="shared" si="1"/>
        <v>71920000000</v>
      </c>
      <c r="W70" s="20" t="s">
        <v>887</v>
      </c>
      <c r="X70">
        <v>3.06</v>
      </c>
    </row>
    <row r="71" spans="1:24">
      <c r="A71" s="2" t="s">
        <v>12</v>
      </c>
      <c r="B71">
        <v>7650000000</v>
      </c>
      <c r="D71" t="s">
        <v>888</v>
      </c>
      <c r="E71">
        <f>G63-SUM(E66,E67,E68,E69,E70)</f>
        <v>228122643250</v>
      </c>
      <c r="W71" s="2" t="s">
        <v>148</v>
      </c>
      <c r="X71">
        <v>3.85</v>
      </c>
    </row>
    <row r="72" spans="1:24">
      <c r="A72" s="2" t="s">
        <v>13</v>
      </c>
      <c r="B72">
        <v>6660000000</v>
      </c>
      <c r="W72" s="20" t="s">
        <v>710</v>
      </c>
      <c r="X72">
        <v>3.85</v>
      </c>
    </row>
    <row r="73" spans="1:24">
      <c r="A73" s="2" t="s">
        <v>11</v>
      </c>
      <c r="B73">
        <v>6160000000</v>
      </c>
      <c r="W73" s="2" t="s">
        <v>233</v>
      </c>
      <c r="X73">
        <v>4.4800000000000004</v>
      </c>
    </row>
    <row r="74" spans="1:24">
      <c r="A74" s="2" t="s">
        <v>140</v>
      </c>
      <c r="B74">
        <v>2150000000</v>
      </c>
      <c r="W74" s="20" t="s">
        <v>889</v>
      </c>
      <c r="X74">
        <v>4.4800000000000004</v>
      </c>
    </row>
    <row r="75" spans="1:24">
      <c r="A75" s="2" t="s">
        <v>17</v>
      </c>
      <c r="B75">
        <v>1590000000</v>
      </c>
      <c r="W75" s="2" t="s">
        <v>197</v>
      </c>
      <c r="X75">
        <v>5.66</v>
      </c>
    </row>
    <row r="76" spans="1:24">
      <c r="A76" s="2" t="s">
        <v>137</v>
      </c>
      <c r="B76">
        <v>1250000000</v>
      </c>
      <c r="W76" s="20" t="s">
        <v>890</v>
      </c>
      <c r="X76">
        <v>5.66</v>
      </c>
    </row>
    <row r="77" spans="1:24">
      <c r="A77" s="2" t="s">
        <v>30</v>
      </c>
      <c r="B77">
        <v>1110000000</v>
      </c>
      <c r="W77" s="2" t="s">
        <v>203</v>
      </c>
      <c r="X77">
        <v>3.39</v>
      </c>
    </row>
    <row r="78" spans="1:24">
      <c r="A78" s="2" t="s">
        <v>27</v>
      </c>
      <c r="B78">
        <v>867730000</v>
      </c>
      <c r="W78" s="20" t="s">
        <v>891</v>
      </c>
      <c r="X78">
        <v>3.39</v>
      </c>
    </row>
    <row r="79" spans="1:24">
      <c r="A79" s="2" t="s">
        <v>91</v>
      </c>
      <c r="B79">
        <v>797050000</v>
      </c>
      <c r="W79" s="2" t="s">
        <v>206</v>
      </c>
      <c r="X79">
        <v>9.1999999999999993</v>
      </c>
    </row>
    <row r="80" spans="1:24">
      <c r="A80" s="2" t="s">
        <v>31</v>
      </c>
      <c r="B80">
        <v>649330000</v>
      </c>
      <c r="W80" s="20" t="s">
        <v>892</v>
      </c>
      <c r="X80">
        <v>9.1999999999999993</v>
      </c>
    </row>
    <row r="81" spans="1:24">
      <c r="A81" s="2" t="s">
        <v>111</v>
      </c>
      <c r="B81">
        <v>647910000</v>
      </c>
      <c r="W81" s="2" t="s">
        <v>33</v>
      </c>
      <c r="X81">
        <v>4.53</v>
      </c>
    </row>
    <row r="82" spans="1:24">
      <c r="A82" s="2" t="s">
        <v>204</v>
      </c>
      <c r="B82">
        <v>556020000</v>
      </c>
      <c r="W82" s="20" t="s">
        <v>893</v>
      </c>
      <c r="X82">
        <v>4.53</v>
      </c>
    </row>
    <row r="83" spans="1:24">
      <c r="A83" s="2" t="s">
        <v>24</v>
      </c>
      <c r="B83">
        <v>518340000</v>
      </c>
      <c r="W83" s="2" t="s">
        <v>249</v>
      </c>
      <c r="X83">
        <v>5.57</v>
      </c>
    </row>
    <row r="84" spans="1:24">
      <c r="A84" s="2" t="s">
        <v>225</v>
      </c>
      <c r="B84">
        <v>501100000</v>
      </c>
      <c r="W84" s="20" t="s">
        <v>894</v>
      </c>
      <c r="X84">
        <v>5.57</v>
      </c>
    </row>
    <row r="85" spans="1:24">
      <c r="A85" s="2" t="s">
        <v>28</v>
      </c>
      <c r="B85">
        <v>395370000</v>
      </c>
      <c r="W85" s="2" t="s">
        <v>246</v>
      </c>
      <c r="X85">
        <v>60.550000000000004</v>
      </c>
    </row>
    <row r="86" spans="1:24">
      <c r="A86" s="2" t="s">
        <v>19</v>
      </c>
      <c r="B86">
        <v>268070000</v>
      </c>
    </row>
    <row r="87" spans="1:24">
      <c r="A87" s="2" t="s">
        <v>48</v>
      </c>
      <c r="B87">
        <v>266440000</v>
      </c>
    </row>
    <row r="88" spans="1:24">
      <c r="A88" s="2" t="s">
        <v>235</v>
      </c>
      <c r="B88">
        <v>260640000</v>
      </c>
    </row>
    <row r="89" spans="1:24">
      <c r="A89" s="2" t="s">
        <v>60</v>
      </c>
      <c r="B89">
        <v>258040000</v>
      </c>
    </row>
    <row r="90" spans="1:24">
      <c r="A90" s="2" t="s">
        <v>16</v>
      </c>
      <c r="B90">
        <v>255660000</v>
      </c>
    </row>
    <row r="91" spans="1:24">
      <c r="A91" s="2" t="s">
        <v>21</v>
      </c>
      <c r="B91">
        <v>255370000</v>
      </c>
    </row>
    <row r="92" spans="1:24">
      <c r="A92" s="2" t="s">
        <v>37</v>
      </c>
      <c r="B92">
        <v>252500000</v>
      </c>
    </row>
    <row r="93" spans="1:24">
      <c r="A93" s="2" t="s">
        <v>59</v>
      </c>
      <c r="B93">
        <v>251970000</v>
      </c>
    </row>
    <row r="94" spans="1:24">
      <c r="A94" s="2" t="s">
        <v>23</v>
      </c>
      <c r="B94">
        <v>247330000</v>
      </c>
    </row>
    <row r="95" spans="1:24">
      <c r="A95" s="2" t="s">
        <v>29</v>
      </c>
      <c r="B95">
        <v>244880000</v>
      </c>
    </row>
    <row r="96" spans="1:24">
      <c r="A96" s="2" t="s">
        <v>18</v>
      </c>
      <c r="B96">
        <v>244180000</v>
      </c>
    </row>
    <row r="97" spans="1:17">
      <c r="A97" s="2" t="s">
        <v>67</v>
      </c>
      <c r="B97">
        <v>230930000</v>
      </c>
    </row>
    <row r="98" spans="1:17">
      <c r="A98" s="2" t="s">
        <v>14</v>
      </c>
      <c r="B98">
        <v>223520000</v>
      </c>
    </row>
    <row r="99" spans="1:17">
      <c r="A99" s="2" t="s">
        <v>57</v>
      </c>
      <c r="B99">
        <v>218720000</v>
      </c>
    </row>
    <row r="100" spans="1:17">
      <c r="A100" s="2" t="s">
        <v>43</v>
      </c>
      <c r="B100">
        <v>212680000</v>
      </c>
    </row>
    <row r="101" spans="1:17">
      <c r="A101" s="2" t="s">
        <v>32</v>
      </c>
      <c r="B101">
        <v>212500000</v>
      </c>
    </row>
    <row r="102" spans="1:17">
      <c r="A102" s="2" t="s">
        <v>89</v>
      </c>
      <c r="B102">
        <v>58580000</v>
      </c>
    </row>
    <row r="103" spans="1:17">
      <c r="A103" s="2" t="s">
        <v>54</v>
      </c>
      <c r="B103">
        <v>58250000</v>
      </c>
    </row>
    <row r="104" spans="1:17">
      <c r="A104" s="2" t="s">
        <v>72</v>
      </c>
      <c r="B104">
        <v>57820000</v>
      </c>
    </row>
    <row r="105" spans="1:17">
      <c r="A105" s="2" t="s">
        <v>42</v>
      </c>
      <c r="B105">
        <v>57720000</v>
      </c>
    </row>
    <row r="106" spans="1:17">
      <c r="A106" s="2" t="s">
        <v>51</v>
      </c>
      <c r="B106">
        <v>56390000</v>
      </c>
    </row>
    <row r="107" spans="1:17">
      <c r="A107" s="2" t="s">
        <v>63</v>
      </c>
      <c r="B107">
        <v>55980000</v>
      </c>
    </row>
    <row r="108" spans="1:17">
      <c r="A108" s="2" t="s">
        <v>119</v>
      </c>
      <c r="B108">
        <v>55420000</v>
      </c>
      <c r="N108" t="s">
        <v>895</v>
      </c>
      <c r="Q108" t="s">
        <v>884</v>
      </c>
    </row>
    <row r="109" spans="1:17">
      <c r="A109" s="2" t="s">
        <v>85</v>
      </c>
      <c r="B109">
        <v>54950000</v>
      </c>
      <c r="Q109">
        <v>2046242643250</v>
      </c>
    </row>
    <row r="110" spans="1:17">
      <c r="A110" s="2" t="s">
        <v>40</v>
      </c>
      <c r="B110">
        <v>54570000</v>
      </c>
      <c r="N110" t="s">
        <v>896</v>
      </c>
    </row>
    <row r="111" spans="1:17">
      <c r="A111" s="2" t="s">
        <v>22</v>
      </c>
      <c r="B111">
        <v>54510000</v>
      </c>
      <c r="Q111" t="s">
        <v>247</v>
      </c>
    </row>
    <row r="112" spans="1:17">
      <c r="A112" s="2" t="s">
        <v>81</v>
      </c>
      <c r="B112">
        <v>54060000</v>
      </c>
      <c r="N112" t="s">
        <v>897</v>
      </c>
      <c r="Q112">
        <v>75333.418445849922</v>
      </c>
    </row>
    <row r="113" spans="1:17">
      <c r="A113" s="2" t="s">
        <v>298</v>
      </c>
      <c r="B113">
        <v>53790000</v>
      </c>
    </row>
    <row r="114" spans="1:17">
      <c r="A114" s="2" t="s">
        <v>39</v>
      </c>
      <c r="B114">
        <v>53740000</v>
      </c>
      <c r="N114" t="s">
        <v>898</v>
      </c>
      <c r="Q114" t="s">
        <v>899</v>
      </c>
    </row>
    <row r="115" spans="1:17">
      <c r="A115" s="2" t="s">
        <v>167</v>
      </c>
      <c r="B115">
        <v>53710000</v>
      </c>
      <c r="Q115">
        <v>5923179575539050</v>
      </c>
    </row>
    <row r="116" spans="1:17">
      <c r="A116" s="2" t="s">
        <v>99</v>
      </c>
      <c r="B116">
        <v>53410000</v>
      </c>
      <c r="N116" t="s">
        <v>900</v>
      </c>
      <c r="P116" t="str">
        <f>A4</f>
        <v>Bitcoin</v>
      </c>
    </row>
    <row r="117" spans="1:17">
      <c r="A117" s="2" t="s">
        <v>78</v>
      </c>
      <c r="B117">
        <v>38940000</v>
      </c>
    </row>
    <row r="118" spans="1:17">
      <c r="A118" s="2" t="s">
        <v>41</v>
      </c>
      <c r="B118">
        <v>38920000</v>
      </c>
      <c r="N118" t="s">
        <v>901</v>
      </c>
      <c r="P118">
        <f>B4</f>
        <v>62905.02</v>
      </c>
    </row>
    <row r="119" spans="1:17">
      <c r="A119" s="2" t="s">
        <v>76</v>
      </c>
      <c r="B119">
        <v>38900000</v>
      </c>
    </row>
    <row r="120" spans="1:17">
      <c r="A120" s="2" t="s">
        <v>182</v>
      </c>
      <c r="B120">
        <v>38890000</v>
      </c>
    </row>
    <row r="121" spans="1:17">
      <c r="A121" s="2" t="s">
        <v>35</v>
      </c>
      <c r="B121">
        <v>38830000</v>
      </c>
    </row>
    <row r="122" spans="1:17">
      <c r="A122" s="2" t="s">
        <v>52</v>
      </c>
      <c r="B122">
        <v>38730000</v>
      </c>
    </row>
    <row r="123" spans="1:17">
      <c r="A123" s="2" t="s">
        <v>44</v>
      </c>
      <c r="B123">
        <v>38620000</v>
      </c>
    </row>
    <row r="124" spans="1:17">
      <c r="A124" s="2" t="s">
        <v>134</v>
      </c>
      <c r="B124">
        <v>38620000</v>
      </c>
    </row>
    <row r="125" spans="1:17">
      <c r="A125" s="2" t="s">
        <v>62</v>
      </c>
      <c r="B125">
        <v>38550000</v>
      </c>
    </row>
    <row r="126" spans="1:17">
      <c r="A126" s="2" t="s">
        <v>68</v>
      </c>
      <c r="B126">
        <v>38460000</v>
      </c>
    </row>
    <row r="127" spans="1:17">
      <c r="A127" s="2" t="s">
        <v>53</v>
      </c>
      <c r="B127">
        <v>38180000</v>
      </c>
    </row>
    <row r="128" spans="1:17">
      <c r="A128" s="2" t="s">
        <v>26</v>
      </c>
      <c r="B128">
        <v>38100000</v>
      </c>
    </row>
    <row r="129" spans="1:2">
      <c r="A129" s="2" t="s">
        <v>92</v>
      </c>
      <c r="B129">
        <v>37890000</v>
      </c>
    </row>
    <row r="130" spans="1:2">
      <c r="A130" s="2" t="s">
        <v>38</v>
      </c>
      <c r="B130">
        <v>37840000</v>
      </c>
    </row>
    <row r="131" spans="1:2">
      <c r="A131" s="2" t="s">
        <v>138</v>
      </c>
      <c r="B131">
        <v>37760000</v>
      </c>
    </row>
    <row r="132" spans="1:2">
      <c r="A132" s="2" t="s">
        <v>229</v>
      </c>
      <c r="B132">
        <v>28590000</v>
      </c>
    </row>
    <row r="133" spans="1:2">
      <c r="A133" s="2" t="s">
        <v>136</v>
      </c>
      <c r="B133">
        <v>28590000</v>
      </c>
    </row>
    <row r="134" spans="1:2">
      <c r="A134" s="2" t="s">
        <v>302</v>
      </c>
      <c r="B134">
        <v>28580000</v>
      </c>
    </row>
    <row r="135" spans="1:2">
      <c r="A135" s="2" t="s">
        <v>125</v>
      </c>
      <c r="B135">
        <v>28540000</v>
      </c>
    </row>
    <row r="136" spans="1:2">
      <c r="A136" s="2" t="s">
        <v>33</v>
      </c>
      <c r="B136">
        <v>28430000</v>
      </c>
    </row>
    <row r="137" spans="1:2">
      <c r="A137" s="2" t="s">
        <v>174</v>
      </c>
      <c r="B137">
        <v>28410000</v>
      </c>
    </row>
    <row r="138" spans="1:2">
      <c r="A138" s="2" t="s">
        <v>46</v>
      </c>
      <c r="B138">
        <v>28350000</v>
      </c>
    </row>
    <row r="139" spans="1:2">
      <c r="A139" s="2" t="s">
        <v>82</v>
      </c>
      <c r="B139">
        <v>28220000</v>
      </c>
    </row>
    <row r="140" spans="1:2">
      <c r="A140" s="2" t="s">
        <v>71</v>
      </c>
      <c r="B140">
        <v>28210000</v>
      </c>
    </row>
    <row r="141" spans="1:2">
      <c r="A141" s="2" t="s">
        <v>273</v>
      </c>
      <c r="B141">
        <v>28010000</v>
      </c>
    </row>
    <row r="142" spans="1:2">
      <c r="A142" s="2" t="s">
        <v>88</v>
      </c>
      <c r="B142">
        <v>27990000</v>
      </c>
    </row>
    <row r="143" spans="1:2">
      <c r="A143" s="2" t="s">
        <v>15</v>
      </c>
      <c r="B143">
        <v>27900000</v>
      </c>
    </row>
    <row r="144" spans="1:2">
      <c r="A144" s="2" t="s">
        <v>8</v>
      </c>
      <c r="B144">
        <v>27890000</v>
      </c>
    </row>
    <row r="145" spans="1:2">
      <c r="A145" s="2" t="s">
        <v>79</v>
      </c>
      <c r="B145">
        <v>27830000</v>
      </c>
    </row>
    <row r="146" spans="1:2">
      <c r="A146" s="2" t="s">
        <v>104</v>
      </c>
      <c r="B146">
        <v>27810000</v>
      </c>
    </row>
    <row r="147" spans="1:2">
      <c r="A147" s="2" t="s">
        <v>106</v>
      </c>
      <c r="B147">
        <v>20820000</v>
      </c>
    </row>
    <row r="148" spans="1:2">
      <c r="A148" s="2" t="s">
        <v>296</v>
      </c>
      <c r="B148">
        <v>20630000</v>
      </c>
    </row>
    <row r="149" spans="1:2">
      <c r="A149" s="2" t="s">
        <v>36</v>
      </c>
      <c r="B149">
        <v>20600000</v>
      </c>
    </row>
    <row r="150" spans="1:2">
      <c r="A150" s="2" t="s">
        <v>120</v>
      </c>
      <c r="B150">
        <v>20580000</v>
      </c>
    </row>
    <row r="151" spans="1:2">
      <c r="A151" s="2" t="s">
        <v>130</v>
      </c>
      <c r="B151">
        <v>20520000</v>
      </c>
    </row>
    <row r="152" spans="1:2">
      <c r="A152" s="2" t="s">
        <v>274</v>
      </c>
      <c r="B152">
        <v>20490000</v>
      </c>
    </row>
    <row r="153" spans="1:2">
      <c r="A153" s="2" t="s">
        <v>61</v>
      </c>
      <c r="B153">
        <v>20440000</v>
      </c>
    </row>
    <row r="154" spans="1:2">
      <c r="A154" s="2" t="s">
        <v>292</v>
      </c>
      <c r="B154">
        <v>20380000</v>
      </c>
    </row>
    <row r="155" spans="1:2">
      <c r="A155" s="2" t="s">
        <v>179</v>
      </c>
      <c r="B155">
        <v>20290000</v>
      </c>
    </row>
    <row r="156" spans="1:2">
      <c r="A156" s="2" t="s">
        <v>86</v>
      </c>
      <c r="B156">
        <v>20290000</v>
      </c>
    </row>
    <row r="157" spans="1:2">
      <c r="A157" s="2" t="s">
        <v>217</v>
      </c>
      <c r="B157">
        <v>20150000</v>
      </c>
    </row>
    <row r="158" spans="1:2">
      <c r="A158" s="2" t="s">
        <v>64</v>
      </c>
      <c r="B158">
        <v>20110000</v>
      </c>
    </row>
    <row r="159" spans="1:2">
      <c r="A159" s="2" t="s">
        <v>149</v>
      </c>
      <c r="B159">
        <v>20090000</v>
      </c>
    </row>
    <row r="160" spans="1:2">
      <c r="A160" s="2" t="s">
        <v>219</v>
      </c>
      <c r="B160">
        <v>20060000</v>
      </c>
    </row>
    <row r="161" spans="1:2">
      <c r="A161" s="2" t="s">
        <v>151</v>
      </c>
      <c r="B161">
        <v>20010000</v>
      </c>
    </row>
    <row r="162" spans="1:2">
      <c r="A162" s="2" t="s">
        <v>116</v>
      </c>
      <c r="B162">
        <v>16010000</v>
      </c>
    </row>
    <row r="163" spans="1:2">
      <c r="A163" s="2" t="s">
        <v>103</v>
      </c>
      <c r="B163">
        <v>15890000</v>
      </c>
    </row>
    <row r="164" spans="1:2">
      <c r="A164" s="2" t="s">
        <v>102</v>
      </c>
      <c r="B164">
        <v>15880000</v>
      </c>
    </row>
    <row r="165" spans="1:2">
      <c r="A165" s="2" t="s">
        <v>243</v>
      </c>
      <c r="B165">
        <v>15860000</v>
      </c>
    </row>
    <row r="166" spans="1:2">
      <c r="A166" s="2" t="s">
        <v>215</v>
      </c>
      <c r="B166">
        <v>15840000</v>
      </c>
    </row>
    <row r="167" spans="1:2">
      <c r="A167" s="2" t="s">
        <v>77</v>
      </c>
      <c r="B167">
        <v>15820000</v>
      </c>
    </row>
    <row r="168" spans="1:2">
      <c r="A168" s="2" t="s">
        <v>303</v>
      </c>
      <c r="B168">
        <v>15800000</v>
      </c>
    </row>
    <row r="169" spans="1:2">
      <c r="A169" s="2" t="s">
        <v>49</v>
      </c>
      <c r="B169">
        <v>15790000</v>
      </c>
    </row>
    <row r="170" spans="1:2">
      <c r="A170" s="2" t="s">
        <v>101</v>
      </c>
      <c r="B170">
        <v>15660000</v>
      </c>
    </row>
    <row r="171" spans="1:2">
      <c r="A171" s="2" t="s">
        <v>127</v>
      </c>
      <c r="B171">
        <v>15580000</v>
      </c>
    </row>
    <row r="172" spans="1:2">
      <c r="A172" s="2" t="s">
        <v>73</v>
      </c>
      <c r="B172">
        <v>15570000</v>
      </c>
    </row>
    <row r="173" spans="1:2">
      <c r="A173" s="2" t="s">
        <v>100</v>
      </c>
      <c r="B173">
        <v>15550000</v>
      </c>
    </row>
    <row r="174" spans="1:2">
      <c r="A174" s="2" t="s">
        <v>192</v>
      </c>
      <c r="B174">
        <v>15540000</v>
      </c>
    </row>
    <row r="175" spans="1:2">
      <c r="A175" s="2" t="s">
        <v>98</v>
      </c>
      <c r="B175">
        <v>15350000</v>
      </c>
    </row>
    <row r="176" spans="1:2">
      <c r="A176" s="2" t="s">
        <v>155</v>
      </c>
      <c r="B176">
        <v>15300000</v>
      </c>
    </row>
    <row r="177" spans="1:2">
      <c r="A177" s="2" t="s">
        <v>144</v>
      </c>
      <c r="B177">
        <v>12160000</v>
      </c>
    </row>
    <row r="178" spans="1:2">
      <c r="A178" s="2" t="s">
        <v>161</v>
      </c>
      <c r="B178">
        <v>12150000</v>
      </c>
    </row>
    <row r="179" spans="1:2">
      <c r="A179" s="2" t="s">
        <v>162</v>
      </c>
      <c r="B179">
        <v>12090000</v>
      </c>
    </row>
    <row r="180" spans="1:2">
      <c r="A180" s="2" t="s">
        <v>163</v>
      </c>
      <c r="B180">
        <v>12050000</v>
      </c>
    </row>
    <row r="181" spans="1:2">
      <c r="A181" s="2" t="s">
        <v>286</v>
      </c>
      <c r="B181">
        <v>12030000</v>
      </c>
    </row>
    <row r="182" spans="1:2">
      <c r="A182" s="2" t="s">
        <v>200</v>
      </c>
      <c r="B182">
        <v>12010000</v>
      </c>
    </row>
    <row r="183" spans="1:2">
      <c r="A183" s="2" t="s">
        <v>297</v>
      </c>
      <c r="B183">
        <v>11960000</v>
      </c>
    </row>
    <row r="184" spans="1:2">
      <c r="A184" s="2" t="s">
        <v>224</v>
      </c>
      <c r="B184">
        <v>11960000</v>
      </c>
    </row>
    <row r="185" spans="1:2">
      <c r="A185" s="2" t="s">
        <v>124</v>
      </c>
      <c r="B185">
        <v>11940000</v>
      </c>
    </row>
    <row r="186" spans="1:2">
      <c r="A186" s="2" t="s">
        <v>87</v>
      </c>
      <c r="B186">
        <v>11930000</v>
      </c>
    </row>
    <row r="187" spans="1:2">
      <c r="A187" s="2" t="s">
        <v>214</v>
      </c>
      <c r="B187">
        <v>11860000</v>
      </c>
    </row>
    <row r="188" spans="1:2">
      <c r="A188" s="2" t="s">
        <v>69</v>
      </c>
      <c r="B188">
        <v>11820000</v>
      </c>
    </row>
    <row r="189" spans="1:2">
      <c r="A189" s="2" t="s">
        <v>143</v>
      </c>
      <c r="B189">
        <v>11780000</v>
      </c>
    </row>
    <row r="190" spans="1:2">
      <c r="A190" s="2" t="s">
        <v>254</v>
      </c>
      <c r="B190">
        <v>11780000</v>
      </c>
    </row>
    <row r="191" spans="1:2">
      <c r="A191" s="2" t="s">
        <v>34</v>
      </c>
      <c r="B191">
        <v>11760000</v>
      </c>
    </row>
    <row r="192" spans="1:2">
      <c r="A192" s="2" t="s">
        <v>244</v>
      </c>
      <c r="B192">
        <v>9550000</v>
      </c>
    </row>
    <row r="193" spans="1:2">
      <c r="A193" s="2" t="s">
        <v>118</v>
      </c>
      <c r="B193">
        <v>9430000</v>
      </c>
    </row>
    <row r="194" spans="1:2">
      <c r="A194" s="2" t="s">
        <v>282</v>
      </c>
      <c r="B194">
        <v>9400000</v>
      </c>
    </row>
    <row r="195" spans="1:2">
      <c r="A195" s="2" t="s">
        <v>112</v>
      </c>
      <c r="B195">
        <v>9340000</v>
      </c>
    </row>
    <row r="196" spans="1:2">
      <c r="A196" s="2" t="s">
        <v>126</v>
      </c>
      <c r="B196">
        <v>9290000</v>
      </c>
    </row>
    <row r="197" spans="1:2">
      <c r="A197" s="2" t="s">
        <v>259</v>
      </c>
      <c r="B197">
        <v>9260000</v>
      </c>
    </row>
    <row r="198" spans="1:2">
      <c r="A198" s="2" t="s">
        <v>160</v>
      </c>
      <c r="B198">
        <v>9210000</v>
      </c>
    </row>
    <row r="199" spans="1:2">
      <c r="A199" s="2" t="s">
        <v>80</v>
      </c>
      <c r="B199">
        <v>9200000</v>
      </c>
    </row>
    <row r="200" spans="1:2">
      <c r="A200" s="2" t="s">
        <v>50</v>
      </c>
      <c r="B200">
        <v>9200000</v>
      </c>
    </row>
    <row r="201" spans="1:2">
      <c r="A201" s="2" t="s">
        <v>56</v>
      </c>
      <c r="B201">
        <v>9180000</v>
      </c>
    </row>
    <row r="202" spans="1:2">
      <c r="A202" s="2" t="s">
        <v>45</v>
      </c>
      <c r="B202">
        <v>9180000</v>
      </c>
    </row>
    <row r="203" spans="1:2">
      <c r="A203" s="2" t="s">
        <v>65</v>
      </c>
      <c r="B203">
        <v>9170000</v>
      </c>
    </row>
    <row r="204" spans="1:2">
      <c r="A204" s="2" t="s">
        <v>168</v>
      </c>
      <c r="B204">
        <v>9170000</v>
      </c>
    </row>
    <row r="205" spans="1:2">
      <c r="A205" s="2" t="s">
        <v>146</v>
      </c>
      <c r="B205">
        <v>9150000</v>
      </c>
    </row>
    <row r="206" spans="1:2">
      <c r="A206" s="2" t="s">
        <v>74</v>
      </c>
      <c r="B206">
        <v>9150000</v>
      </c>
    </row>
    <row r="207" spans="1:2">
      <c r="A207" s="2" t="s">
        <v>84</v>
      </c>
      <c r="B207">
        <v>7420000</v>
      </c>
    </row>
    <row r="208" spans="1:2">
      <c r="A208" s="2" t="s">
        <v>251</v>
      </c>
      <c r="B208">
        <v>7390000</v>
      </c>
    </row>
    <row r="209" spans="1:2">
      <c r="A209" s="2" t="s">
        <v>108</v>
      </c>
      <c r="B209">
        <v>7380000</v>
      </c>
    </row>
    <row r="210" spans="1:2">
      <c r="A210" s="2" t="s">
        <v>281</v>
      </c>
      <c r="B210">
        <v>7370000</v>
      </c>
    </row>
    <row r="211" spans="1:2">
      <c r="A211" s="2" t="s">
        <v>94</v>
      </c>
      <c r="B211">
        <v>7370000</v>
      </c>
    </row>
    <row r="212" spans="1:2">
      <c r="A212" s="2" t="s">
        <v>252</v>
      </c>
      <c r="B212">
        <v>7340000</v>
      </c>
    </row>
    <row r="213" spans="1:2">
      <c r="A213" s="2" t="s">
        <v>139</v>
      </c>
      <c r="B213">
        <v>7250000</v>
      </c>
    </row>
    <row r="214" spans="1:2">
      <c r="A214" s="2" t="s">
        <v>142</v>
      </c>
      <c r="B214">
        <v>7240000</v>
      </c>
    </row>
    <row r="215" spans="1:2">
      <c r="A215" s="2" t="s">
        <v>241</v>
      </c>
      <c r="B215">
        <v>7230000</v>
      </c>
    </row>
    <row r="216" spans="1:2">
      <c r="A216" s="2" t="s">
        <v>96</v>
      </c>
      <c r="B216">
        <v>7230000</v>
      </c>
    </row>
    <row r="217" spans="1:2">
      <c r="A217" s="2" t="s">
        <v>304</v>
      </c>
      <c r="B217">
        <v>7190000</v>
      </c>
    </row>
    <row r="218" spans="1:2">
      <c r="A218" s="2" t="s">
        <v>147</v>
      </c>
      <c r="B218">
        <v>7130000</v>
      </c>
    </row>
    <row r="219" spans="1:2">
      <c r="A219" s="2" t="s">
        <v>152</v>
      </c>
      <c r="B219">
        <v>7080000</v>
      </c>
    </row>
    <row r="220" spans="1:2">
      <c r="A220" s="2" t="s">
        <v>213</v>
      </c>
      <c r="B220">
        <v>7080000</v>
      </c>
    </row>
    <row r="221" spans="1:2">
      <c r="A221" s="2" t="s">
        <v>83</v>
      </c>
      <c r="B221">
        <v>7060000</v>
      </c>
    </row>
    <row r="222" spans="1:2">
      <c r="A222" s="2" t="s">
        <v>260</v>
      </c>
      <c r="B222">
        <v>6050000</v>
      </c>
    </row>
    <row r="223" spans="1:2">
      <c r="A223" s="2" t="s">
        <v>135</v>
      </c>
      <c r="B223">
        <v>5710000</v>
      </c>
    </row>
    <row r="224" spans="1:2">
      <c r="A224" s="2" t="s">
        <v>95</v>
      </c>
      <c r="B224">
        <v>5710000</v>
      </c>
    </row>
    <row r="225" spans="1:2">
      <c r="A225" s="2" t="s">
        <v>169</v>
      </c>
      <c r="B225">
        <v>5710000</v>
      </c>
    </row>
    <row r="226" spans="1:2">
      <c r="A226" s="2" t="s">
        <v>159</v>
      </c>
      <c r="B226">
        <v>5700000</v>
      </c>
    </row>
    <row r="227" spans="1:2">
      <c r="A227" s="2" t="s">
        <v>141</v>
      </c>
      <c r="B227">
        <v>5680000</v>
      </c>
    </row>
    <row r="228" spans="1:2">
      <c r="A228" s="2" t="s">
        <v>25</v>
      </c>
      <c r="B228">
        <v>5680000</v>
      </c>
    </row>
    <row r="229" spans="1:2">
      <c r="A229" s="2" t="s">
        <v>266</v>
      </c>
      <c r="B229">
        <v>5670000</v>
      </c>
    </row>
    <row r="230" spans="1:2">
      <c r="A230" s="2" t="s">
        <v>220</v>
      </c>
      <c r="B230">
        <v>5670000</v>
      </c>
    </row>
    <row r="231" spans="1:2">
      <c r="A231" s="2" t="s">
        <v>75</v>
      </c>
      <c r="B231">
        <v>5660000</v>
      </c>
    </row>
    <row r="232" spans="1:2">
      <c r="A232" s="2" t="s">
        <v>132</v>
      </c>
      <c r="B232">
        <v>5660000</v>
      </c>
    </row>
    <row r="233" spans="1:2">
      <c r="A233" s="2" t="s">
        <v>128</v>
      </c>
      <c r="B233">
        <v>5630000</v>
      </c>
    </row>
    <row r="234" spans="1:2">
      <c r="A234" s="2" t="s">
        <v>66</v>
      </c>
      <c r="B234">
        <v>5610000</v>
      </c>
    </row>
    <row r="235" spans="1:2">
      <c r="A235" s="2" t="s">
        <v>70</v>
      </c>
      <c r="B235">
        <v>5600000</v>
      </c>
    </row>
    <row r="236" spans="1:2">
      <c r="A236" s="2" t="s">
        <v>55</v>
      </c>
      <c r="B236">
        <v>5590000</v>
      </c>
    </row>
    <row r="237" spans="1:2">
      <c r="A237" s="2" t="s">
        <v>293</v>
      </c>
      <c r="B237">
        <v>5570000</v>
      </c>
    </row>
    <row r="238" spans="1:2">
      <c r="A238" s="2" t="s">
        <v>133</v>
      </c>
      <c r="B238">
        <v>4380000</v>
      </c>
    </row>
    <row r="239" spans="1:2">
      <c r="A239" s="2" t="s">
        <v>305</v>
      </c>
      <c r="B239">
        <v>4350000</v>
      </c>
    </row>
    <row r="240" spans="1:2">
      <c r="A240" s="2" t="s">
        <v>227</v>
      </c>
      <c r="B240">
        <v>4350000</v>
      </c>
    </row>
    <row r="241" spans="1:2">
      <c r="A241" s="2" t="s">
        <v>114</v>
      </c>
      <c r="B241">
        <v>4350000</v>
      </c>
    </row>
    <row r="242" spans="1:2">
      <c r="A242" s="2" t="s">
        <v>176</v>
      </c>
      <c r="B242">
        <v>4320000</v>
      </c>
    </row>
    <row r="243" spans="1:2">
      <c r="A243" s="2" t="s">
        <v>164</v>
      </c>
      <c r="B243">
        <v>4310000</v>
      </c>
    </row>
    <row r="244" spans="1:2">
      <c r="A244" s="2" t="s">
        <v>226</v>
      </c>
      <c r="B244">
        <v>4290000</v>
      </c>
    </row>
    <row r="245" spans="1:2">
      <c r="A245" s="2" t="s">
        <v>256</v>
      </c>
      <c r="B245">
        <v>4280000</v>
      </c>
    </row>
    <row r="246" spans="1:2">
      <c r="A246" s="2" t="s">
        <v>245</v>
      </c>
      <c r="B246">
        <v>4270000</v>
      </c>
    </row>
    <row r="247" spans="1:2">
      <c r="A247" s="2" t="s">
        <v>109</v>
      </c>
      <c r="B247">
        <v>4260000</v>
      </c>
    </row>
    <row r="248" spans="1:2">
      <c r="A248" s="2" t="s">
        <v>193</v>
      </c>
      <c r="B248">
        <v>4230000</v>
      </c>
    </row>
    <row r="249" spans="1:2">
      <c r="A249" s="2" t="s">
        <v>270</v>
      </c>
      <c r="B249">
        <v>4220000</v>
      </c>
    </row>
    <row r="250" spans="1:2">
      <c r="A250" s="2" t="s">
        <v>121</v>
      </c>
      <c r="B250">
        <v>4210000</v>
      </c>
    </row>
    <row r="251" spans="1:2">
      <c r="A251" s="2" t="s">
        <v>236</v>
      </c>
      <c r="B251">
        <v>4200000</v>
      </c>
    </row>
    <row r="252" spans="1:2">
      <c r="A252" s="2" t="s">
        <v>107</v>
      </c>
      <c r="B252">
        <v>4200000</v>
      </c>
    </row>
    <row r="253" spans="1:2">
      <c r="A253" s="2" t="s">
        <v>148</v>
      </c>
      <c r="B253">
        <v>3360000</v>
      </c>
    </row>
    <row r="254" spans="1:2">
      <c r="A254" s="2" t="s">
        <v>306</v>
      </c>
      <c r="B254">
        <v>3310000</v>
      </c>
    </row>
    <row r="255" spans="1:2">
      <c r="A255" s="2" t="s">
        <v>110</v>
      </c>
      <c r="B255">
        <v>3300000</v>
      </c>
    </row>
    <row r="256" spans="1:2">
      <c r="A256" s="2" t="s">
        <v>171</v>
      </c>
      <c r="B256">
        <v>3300000</v>
      </c>
    </row>
    <row r="257" spans="1:2">
      <c r="A257" s="2" t="s">
        <v>189</v>
      </c>
      <c r="B257">
        <v>3290000</v>
      </c>
    </row>
    <row r="258" spans="1:2">
      <c r="A258" s="2" t="s">
        <v>263</v>
      </c>
      <c r="B258">
        <v>3290000</v>
      </c>
    </row>
    <row r="259" spans="1:2">
      <c r="A259" s="2" t="s">
        <v>279</v>
      </c>
      <c r="B259">
        <v>3290000</v>
      </c>
    </row>
    <row r="260" spans="1:2">
      <c r="A260" s="2" t="s">
        <v>223</v>
      </c>
      <c r="B260">
        <v>3290000</v>
      </c>
    </row>
    <row r="261" spans="1:2">
      <c r="A261" s="2" t="s">
        <v>249</v>
      </c>
      <c r="B261">
        <v>3280000</v>
      </c>
    </row>
    <row r="262" spans="1:2">
      <c r="A262" s="2" t="s">
        <v>269</v>
      </c>
      <c r="B262">
        <v>3280000</v>
      </c>
    </row>
    <row r="263" spans="1:2">
      <c r="A263" s="2" t="s">
        <v>181</v>
      </c>
      <c r="B263">
        <v>3280000</v>
      </c>
    </row>
    <row r="264" spans="1:2">
      <c r="A264" s="2" t="s">
        <v>97</v>
      </c>
      <c r="B264">
        <v>3280000</v>
      </c>
    </row>
    <row r="265" spans="1:2">
      <c r="A265" s="2" t="s">
        <v>58</v>
      </c>
      <c r="B265">
        <v>3280000</v>
      </c>
    </row>
    <row r="266" spans="1:2">
      <c r="A266" s="2" t="s">
        <v>175</v>
      </c>
      <c r="B266">
        <v>3280000</v>
      </c>
    </row>
    <row r="267" spans="1:2">
      <c r="A267" s="2" t="s">
        <v>170</v>
      </c>
      <c r="B267">
        <v>3270000</v>
      </c>
    </row>
    <row r="268" spans="1:2">
      <c r="A268" s="2" t="s">
        <v>205</v>
      </c>
      <c r="B268">
        <v>2640000</v>
      </c>
    </row>
    <row r="269" spans="1:2">
      <c r="A269" s="2" t="s">
        <v>156</v>
      </c>
      <c r="B269">
        <v>2620000</v>
      </c>
    </row>
    <row r="270" spans="1:2">
      <c r="A270" s="2" t="s">
        <v>228</v>
      </c>
      <c r="B270">
        <v>2620000</v>
      </c>
    </row>
    <row r="271" spans="1:2">
      <c r="A271" s="2" t="s">
        <v>255</v>
      </c>
      <c r="B271">
        <v>2610000</v>
      </c>
    </row>
    <row r="272" spans="1:2">
      <c r="A272" s="2" t="s">
        <v>172</v>
      </c>
      <c r="B272">
        <v>2600000</v>
      </c>
    </row>
    <row r="273" spans="1:2">
      <c r="A273" s="2" t="s">
        <v>178</v>
      </c>
      <c r="B273">
        <v>2590000</v>
      </c>
    </row>
    <row r="274" spans="1:2">
      <c r="A274" s="2" t="s">
        <v>234</v>
      </c>
      <c r="B274">
        <v>2580000</v>
      </c>
    </row>
    <row r="275" spans="1:2">
      <c r="A275" s="2" t="s">
        <v>150</v>
      </c>
      <c r="B275">
        <v>2570000</v>
      </c>
    </row>
    <row r="276" spans="1:2">
      <c r="A276" s="2" t="s">
        <v>185</v>
      </c>
      <c r="B276">
        <v>2570000</v>
      </c>
    </row>
    <row r="277" spans="1:2">
      <c r="A277" s="2" t="s">
        <v>238</v>
      </c>
      <c r="B277">
        <v>2560000</v>
      </c>
    </row>
    <row r="278" spans="1:2">
      <c r="A278" s="2" t="s">
        <v>177</v>
      </c>
      <c r="B278">
        <v>2550000</v>
      </c>
    </row>
    <row r="279" spans="1:2">
      <c r="A279" s="2" t="s">
        <v>212</v>
      </c>
      <c r="B279">
        <v>2540000</v>
      </c>
    </row>
    <row r="280" spans="1:2">
      <c r="A280" s="2" t="s">
        <v>222</v>
      </c>
      <c r="B280">
        <v>2540000</v>
      </c>
    </row>
    <row r="281" spans="1:2">
      <c r="A281" s="2" t="s">
        <v>216</v>
      </c>
      <c r="B281">
        <v>2540000</v>
      </c>
    </row>
    <row r="282" spans="1:2">
      <c r="A282" s="2" t="s">
        <v>186</v>
      </c>
      <c r="B282">
        <v>2540000</v>
      </c>
    </row>
    <row r="283" spans="1:2">
      <c r="A283" s="2" t="s">
        <v>268</v>
      </c>
      <c r="B283">
        <v>2040000</v>
      </c>
    </row>
    <row r="284" spans="1:2">
      <c r="A284" s="2" t="s">
        <v>299</v>
      </c>
      <c r="B284">
        <v>2040000</v>
      </c>
    </row>
    <row r="285" spans="1:2">
      <c r="A285" s="2" t="s">
        <v>265</v>
      </c>
      <c r="B285">
        <v>2040000</v>
      </c>
    </row>
    <row r="286" spans="1:2">
      <c r="A286" s="2" t="s">
        <v>284</v>
      </c>
      <c r="B286">
        <v>2030000</v>
      </c>
    </row>
    <row r="287" spans="1:2">
      <c r="A287" s="2" t="s">
        <v>283</v>
      </c>
      <c r="B287">
        <v>2030000</v>
      </c>
    </row>
    <row r="288" spans="1:2">
      <c r="A288" s="2" t="s">
        <v>47</v>
      </c>
      <c r="B288">
        <v>2030000</v>
      </c>
    </row>
    <row r="289" spans="1:2">
      <c r="A289" s="2" t="s">
        <v>105</v>
      </c>
      <c r="B289">
        <v>2020000</v>
      </c>
    </row>
    <row r="290" spans="1:2">
      <c r="A290" s="2" t="s">
        <v>115</v>
      </c>
      <c r="B290">
        <v>2020000</v>
      </c>
    </row>
    <row r="291" spans="1:2">
      <c r="A291" s="2" t="s">
        <v>196</v>
      </c>
      <c r="B291">
        <v>2010000</v>
      </c>
    </row>
    <row r="292" spans="1:2">
      <c r="A292" s="2" t="s">
        <v>221</v>
      </c>
      <c r="B292">
        <v>2000000</v>
      </c>
    </row>
    <row r="293" spans="1:2">
      <c r="A293" s="2" t="s">
        <v>277</v>
      </c>
      <c r="B293">
        <v>2000000</v>
      </c>
    </row>
    <row r="294" spans="1:2">
      <c r="A294" s="2" t="s">
        <v>231</v>
      </c>
      <c r="B294">
        <v>1990000</v>
      </c>
    </row>
    <row r="295" spans="1:2">
      <c r="A295" s="2" t="s">
        <v>195</v>
      </c>
      <c r="B295">
        <v>1990000</v>
      </c>
    </row>
    <row r="296" spans="1:2">
      <c r="A296" s="2" t="s">
        <v>237</v>
      </c>
      <c r="B296">
        <v>1980000</v>
      </c>
    </row>
    <row r="297" spans="1:2">
      <c r="A297" s="2" t="s">
        <v>187</v>
      </c>
      <c r="B297">
        <v>1980000</v>
      </c>
    </row>
    <row r="298" spans="1:2">
      <c r="A298" s="2" t="s">
        <v>240</v>
      </c>
      <c r="B298">
        <v>1620000</v>
      </c>
    </row>
    <row r="299" spans="1:2">
      <c r="A299" s="2" t="s">
        <v>275</v>
      </c>
      <c r="B299">
        <v>1610000</v>
      </c>
    </row>
    <row r="300" spans="1:2">
      <c r="A300" s="2" t="s">
        <v>253</v>
      </c>
      <c r="B300">
        <v>1600000</v>
      </c>
    </row>
    <row r="301" spans="1:2">
      <c r="A301" s="2" t="s">
        <v>180</v>
      </c>
      <c r="B301">
        <v>1600000</v>
      </c>
    </row>
    <row r="302" spans="1:2">
      <c r="A302" s="2" t="s">
        <v>145</v>
      </c>
      <c r="B302">
        <v>1600000</v>
      </c>
    </row>
    <row r="303" spans="1:2">
      <c r="A303" s="2" t="s">
        <v>210</v>
      </c>
      <c r="B303">
        <v>1590000</v>
      </c>
    </row>
    <row r="304" spans="1:2">
      <c r="A304" s="2" t="s">
        <v>153</v>
      </c>
      <c r="B304">
        <v>1590000</v>
      </c>
    </row>
    <row r="305" spans="1:2">
      <c r="A305" s="2" t="s">
        <v>122</v>
      </c>
      <c r="B305">
        <v>1590000</v>
      </c>
    </row>
    <row r="306" spans="1:2">
      <c r="A306" s="2" t="s">
        <v>290</v>
      </c>
      <c r="B306">
        <v>1580000</v>
      </c>
    </row>
    <row r="307" spans="1:2">
      <c r="A307" s="2" t="s">
        <v>250</v>
      </c>
      <c r="B307">
        <v>1580000</v>
      </c>
    </row>
    <row r="308" spans="1:2">
      <c r="A308" s="2" t="s">
        <v>280</v>
      </c>
      <c r="B308">
        <v>1580000</v>
      </c>
    </row>
    <row r="309" spans="1:2">
      <c r="A309" s="2" t="s">
        <v>287</v>
      </c>
      <c r="B309">
        <v>1570000</v>
      </c>
    </row>
    <row r="310" spans="1:2">
      <c r="A310" s="2" t="s">
        <v>291</v>
      </c>
      <c r="B310">
        <v>1570000</v>
      </c>
    </row>
    <row r="311" spans="1:2">
      <c r="A311" s="2" t="s">
        <v>271</v>
      </c>
      <c r="B311">
        <v>1570000</v>
      </c>
    </row>
    <row r="312" spans="1:2">
      <c r="A312" s="2" t="s">
        <v>206</v>
      </c>
      <c r="B312">
        <v>1530000</v>
      </c>
    </row>
    <row r="313" spans="1:2">
      <c r="A313" s="2" t="s">
        <v>157</v>
      </c>
      <c r="B313">
        <v>1300000</v>
      </c>
    </row>
    <row r="314" spans="1:2">
      <c r="A314" s="2" t="s">
        <v>113</v>
      </c>
      <c r="B314">
        <v>1290000</v>
      </c>
    </row>
    <row r="315" spans="1:2">
      <c r="A315" s="2" t="s">
        <v>288</v>
      </c>
      <c r="B315">
        <v>1290000</v>
      </c>
    </row>
    <row r="316" spans="1:2">
      <c r="A316" s="2" t="s">
        <v>184</v>
      </c>
      <c r="B316">
        <v>1290000</v>
      </c>
    </row>
    <row r="317" spans="1:2">
      <c r="A317" s="2" t="s">
        <v>258</v>
      </c>
      <c r="B317">
        <v>1280000</v>
      </c>
    </row>
    <row r="318" spans="1:2">
      <c r="A318" s="2" t="s">
        <v>262</v>
      </c>
      <c r="B318">
        <v>1280000</v>
      </c>
    </row>
    <row r="319" spans="1:2">
      <c r="A319" s="2" t="s">
        <v>191</v>
      </c>
      <c r="B319">
        <v>1270000</v>
      </c>
    </row>
    <row r="320" spans="1:2">
      <c r="A320" s="2" t="s">
        <v>190</v>
      </c>
      <c r="B320">
        <v>1270000</v>
      </c>
    </row>
    <row r="321" spans="1:2">
      <c r="A321" s="2" t="s">
        <v>154</v>
      </c>
      <c r="B321">
        <v>1270000</v>
      </c>
    </row>
    <row r="322" spans="1:2">
      <c r="A322" s="2" t="s">
        <v>239</v>
      </c>
      <c r="B322">
        <v>1270000</v>
      </c>
    </row>
    <row r="323" spans="1:2">
      <c r="A323" s="2" t="s">
        <v>197</v>
      </c>
      <c r="B323">
        <v>1270000</v>
      </c>
    </row>
    <row r="324" spans="1:2">
      <c r="A324" s="2" t="s">
        <v>289</v>
      </c>
      <c r="B324">
        <v>1270000</v>
      </c>
    </row>
    <row r="325" spans="1:2">
      <c r="A325" s="2" t="s">
        <v>199</v>
      </c>
      <c r="B325">
        <v>1270000</v>
      </c>
    </row>
    <row r="326" spans="1:2">
      <c r="A326" s="2" t="s">
        <v>209</v>
      </c>
      <c r="B326">
        <v>1260000</v>
      </c>
    </row>
    <row r="327" spans="1:2">
      <c r="A327" s="2" t="s">
        <v>198</v>
      </c>
      <c r="B327">
        <v>1260000</v>
      </c>
    </row>
    <row r="328" spans="1:2">
      <c r="A328" s="2" t="s">
        <v>211</v>
      </c>
      <c r="B328">
        <v>1060000</v>
      </c>
    </row>
    <row r="329" spans="1:2">
      <c r="A329" s="2" t="s">
        <v>242</v>
      </c>
      <c r="B329">
        <v>1060000</v>
      </c>
    </row>
    <row r="330" spans="1:2">
      <c r="A330" s="2" t="s">
        <v>207</v>
      </c>
      <c r="B330">
        <v>1050000</v>
      </c>
    </row>
    <row r="331" spans="1:2">
      <c r="A331" s="2" t="s">
        <v>166</v>
      </c>
      <c r="B331">
        <v>1050000</v>
      </c>
    </row>
    <row r="332" spans="1:2">
      <c r="A332" s="2" t="s">
        <v>203</v>
      </c>
      <c r="B332">
        <v>1050000</v>
      </c>
    </row>
    <row r="333" spans="1:2">
      <c r="A333" s="2" t="s">
        <v>158</v>
      </c>
      <c r="B333">
        <v>1050000</v>
      </c>
    </row>
    <row r="334" spans="1:2">
      <c r="A334" s="2" t="s">
        <v>129</v>
      </c>
      <c r="B334">
        <v>1050000</v>
      </c>
    </row>
    <row r="335" spans="1:2">
      <c r="A335" s="2" t="s">
        <v>285</v>
      </c>
      <c r="B335">
        <v>1040000</v>
      </c>
    </row>
    <row r="336" spans="1:2">
      <c r="A336" s="2" t="s">
        <v>232</v>
      </c>
      <c r="B336">
        <v>1040000</v>
      </c>
    </row>
    <row r="337" spans="1:2">
      <c r="A337" s="2" t="s">
        <v>183</v>
      </c>
      <c r="B337">
        <v>1040000</v>
      </c>
    </row>
    <row r="338" spans="1:2">
      <c r="A338" s="2" t="s">
        <v>93</v>
      </c>
      <c r="B338">
        <v>1040000</v>
      </c>
    </row>
    <row r="339" spans="1:2">
      <c r="A339" s="2" t="s">
        <v>131</v>
      </c>
      <c r="B339">
        <v>1040000</v>
      </c>
    </row>
    <row r="340" spans="1:2">
      <c r="A340" s="2" t="s">
        <v>201</v>
      </c>
      <c r="B340">
        <v>1040000</v>
      </c>
    </row>
    <row r="341" spans="1:2">
      <c r="A341" s="2" t="s">
        <v>276</v>
      </c>
      <c r="B341">
        <v>1040000</v>
      </c>
    </row>
    <row r="342" spans="1:2">
      <c r="A342" s="2" t="s">
        <v>188</v>
      </c>
      <c r="B342">
        <v>1040000</v>
      </c>
    </row>
    <row r="343" spans="1:2">
      <c r="A343" s="2" t="s">
        <v>278</v>
      </c>
      <c r="B343">
        <v>882520</v>
      </c>
    </row>
    <row r="344" spans="1:2">
      <c r="A344" s="2" t="s">
        <v>123</v>
      </c>
      <c r="B344">
        <v>881280</v>
      </c>
    </row>
    <row r="345" spans="1:2">
      <c r="A345" s="2" t="s">
        <v>257</v>
      </c>
      <c r="B345">
        <v>880500</v>
      </c>
    </row>
    <row r="346" spans="1:2">
      <c r="A346" s="2" t="s">
        <v>218</v>
      </c>
      <c r="B346">
        <v>880190</v>
      </c>
    </row>
    <row r="347" spans="1:2">
      <c r="A347" s="2" t="s">
        <v>230</v>
      </c>
      <c r="B347">
        <v>878560</v>
      </c>
    </row>
    <row r="348" spans="1:2">
      <c r="A348" s="2" t="s">
        <v>261</v>
      </c>
      <c r="B348">
        <v>874010</v>
      </c>
    </row>
    <row r="349" spans="1:2">
      <c r="A349" s="2" t="s">
        <v>294</v>
      </c>
      <c r="B349">
        <v>873610</v>
      </c>
    </row>
    <row r="350" spans="1:2">
      <c r="A350" s="2" t="s">
        <v>117</v>
      </c>
      <c r="B350">
        <v>873320</v>
      </c>
    </row>
    <row r="351" spans="1:2">
      <c r="A351" s="2" t="s">
        <v>272</v>
      </c>
      <c r="B351">
        <v>870690</v>
      </c>
    </row>
    <row r="352" spans="1:2">
      <c r="A352" s="2" t="s">
        <v>208</v>
      </c>
      <c r="B352">
        <v>870390</v>
      </c>
    </row>
    <row r="353" spans="1:2">
      <c r="A353" s="2" t="s">
        <v>90</v>
      </c>
      <c r="B353">
        <v>865490</v>
      </c>
    </row>
    <row r="354" spans="1:2">
      <c r="A354" s="2" t="s">
        <v>202</v>
      </c>
      <c r="B354">
        <v>864710</v>
      </c>
    </row>
    <row r="355" spans="1:2">
      <c r="A355" s="2" t="s">
        <v>194</v>
      </c>
      <c r="B355">
        <v>863810</v>
      </c>
    </row>
    <row r="356" spans="1:2">
      <c r="A356" s="2" t="s">
        <v>173</v>
      </c>
      <c r="B356">
        <v>863090</v>
      </c>
    </row>
    <row r="357" spans="1:2">
      <c r="A357" s="2" t="s">
        <v>233</v>
      </c>
      <c r="B357">
        <v>861080</v>
      </c>
    </row>
    <row r="358" spans="1:2">
      <c r="A358" s="2" t="s">
        <v>246</v>
      </c>
      <c r="B358">
        <v>2046242643250</v>
      </c>
    </row>
  </sheetData>
  <conditionalFormatting sqref="W67">
    <cfRule type="dataBar" priority="3">
      <dataBar>
        <cfvo type="min"/>
        <cfvo type="max"/>
        <color rgb="FF63C384"/>
      </dataBar>
      <extLst>
        <ext xmlns:x14="http://schemas.microsoft.com/office/spreadsheetml/2009/9/main" uri="{B025F937-C7B1-47D3-B67F-A62EFF666E3E}">
          <x14:id>{1E635216-AC0A-4C51-A84D-41E8C6CF308F}</x14:id>
        </ext>
      </extLst>
    </cfRule>
  </conditionalFormatting>
  <conditionalFormatting sqref="W65:W84">
    <cfRule type="dataBar" priority="1">
      <dataBar>
        <cfvo type="min"/>
        <cfvo type="max"/>
        <color rgb="FF63C384"/>
      </dataBar>
      <extLst>
        <ext xmlns:x14="http://schemas.microsoft.com/office/spreadsheetml/2009/9/main" uri="{B025F937-C7B1-47D3-B67F-A62EFF666E3E}">
          <x14:id>{62BBC43D-C74D-4E7A-A4A0-5F72D0388343}</x14:id>
        </ext>
      </extLst>
    </cfRule>
    <cfRule type="dataBar" priority="2">
      <dataBar>
        <cfvo type="min"/>
        <cfvo type="max"/>
        <color rgb="FF63C384"/>
      </dataBar>
      <extLst>
        <ext xmlns:x14="http://schemas.microsoft.com/office/spreadsheetml/2009/9/main" uri="{B025F937-C7B1-47D3-B67F-A62EFF666E3E}">
          <x14:id>{9C907949-50E0-4FC4-A134-D8C1B008A3AF}</x14:id>
        </ext>
      </extLst>
    </cfRule>
    <cfRule type="dataBar" priority="4">
      <dataBar>
        <cfvo type="min"/>
        <cfvo type="max"/>
        <color rgb="FF63C384"/>
      </dataBar>
      <extLst>
        <ext xmlns:x14="http://schemas.microsoft.com/office/spreadsheetml/2009/9/main" uri="{B025F937-C7B1-47D3-B67F-A62EFF666E3E}">
          <x14:id>{A5DB8AE8-CA16-4926-A881-4E97E4472B28}</x14:id>
        </ext>
      </extLst>
    </cfRule>
    <cfRule type="dataBar" priority="5">
      <dataBar>
        <cfvo type="min"/>
        <cfvo type="max"/>
        <color rgb="FF63C384"/>
      </dataBar>
      <extLst>
        <ext xmlns:x14="http://schemas.microsoft.com/office/spreadsheetml/2009/9/main" uri="{B025F937-C7B1-47D3-B67F-A62EFF666E3E}">
          <x14:id>{1B783660-9D7B-46C0-84FA-CA6EA0233D0D}</x14:id>
        </ext>
      </extLst>
    </cfRule>
    <cfRule type="dataBar" priority="6">
      <dataBar>
        <cfvo type="min"/>
        <cfvo type="max"/>
        <color rgb="FF63C384"/>
      </dataBar>
      <extLst>
        <ext xmlns:x14="http://schemas.microsoft.com/office/spreadsheetml/2009/9/main" uri="{B025F937-C7B1-47D3-B67F-A62EFF666E3E}">
          <x14:id>{FFE80153-5B72-4F56-8E6B-D81A7D447873}</x14:id>
        </ext>
      </extLst>
    </cfRule>
  </conditionalFormatting>
  <pageMargins left="0.7" right="0.7" top="0.75" bottom="0.75" header="0.3" footer="0.3"/>
  <drawing r:id="rId9"/>
  <extLst>
    <ext xmlns:x14="http://schemas.microsoft.com/office/spreadsheetml/2009/9/main" uri="{78C0D931-6437-407d-A8EE-F0AAD7539E65}">
      <x14:conditionalFormattings>
        <x14:conditionalFormatting xmlns:xm="http://schemas.microsoft.com/office/excel/2006/main">
          <x14:cfRule type="dataBar" id="{1E635216-AC0A-4C51-A84D-41E8C6CF308F}">
            <x14:dataBar minLength="0" maxLength="100" gradient="0">
              <x14:cfvo type="autoMin"/>
              <x14:cfvo type="autoMax"/>
              <x14:negativeFillColor rgb="FFFF0000"/>
              <x14:axisColor rgb="FF000000"/>
            </x14:dataBar>
          </x14:cfRule>
          <xm:sqref>W67</xm:sqref>
        </x14:conditionalFormatting>
        <x14:conditionalFormatting xmlns:xm="http://schemas.microsoft.com/office/excel/2006/main">
          <x14:cfRule type="dataBar" id="{62BBC43D-C74D-4E7A-A4A0-5F72D0388343}">
            <x14:dataBar minLength="0" maxLength="100" gradient="0">
              <x14:cfvo type="autoMin"/>
              <x14:cfvo type="autoMax"/>
              <x14:negativeFillColor rgb="FFFF0000"/>
              <x14:axisColor rgb="FF000000"/>
            </x14:dataBar>
          </x14:cfRule>
          <x14:cfRule type="dataBar" id="{9C907949-50E0-4FC4-A134-D8C1B008A3AF}">
            <x14:dataBar minLength="0" maxLength="100" gradient="0">
              <x14:cfvo type="autoMin"/>
              <x14:cfvo type="autoMax"/>
              <x14:negativeFillColor rgb="FFFF0000"/>
              <x14:axisColor rgb="FF000000"/>
            </x14:dataBar>
          </x14:cfRule>
          <x14:cfRule type="dataBar" id="{A5DB8AE8-CA16-4926-A881-4E97E4472B28}">
            <x14:dataBar minLength="0" maxLength="100" gradient="0">
              <x14:cfvo type="autoMin"/>
              <x14:cfvo type="autoMax"/>
              <x14:negativeFillColor rgb="FFFF0000"/>
              <x14:axisColor rgb="FF000000"/>
            </x14:dataBar>
          </x14:cfRule>
          <x14:cfRule type="dataBar" id="{1B783660-9D7B-46C0-84FA-CA6EA0233D0D}">
            <x14:dataBar minLength="0" maxLength="100" gradient="0">
              <x14:cfvo type="autoMin"/>
              <x14:cfvo type="autoMax"/>
              <x14:negativeFillColor rgb="FFFF0000"/>
              <x14:axisColor rgb="FF000000"/>
            </x14:dataBar>
          </x14:cfRule>
          <x14:cfRule type="dataBar" id="{FFE80153-5B72-4F56-8E6B-D81A7D447873}">
            <x14:dataBar minLength="0" maxLength="100" border="1" negativeBarBorderColorSameAsPositive="0">
              <x14:cfvo type="autoMin"/>
              <x14:cfvo type="autoMax"/>
              <x14:borderColor rgb="FF63C384"/>
              <x14:negativeFillColor rgb="FFFF0000"/>
              <x14:negativeBorderColor rgb="FFFF0000"/>
              <x14:axisColor rgb="FF000000"/>
            </x14:dataBar>
          </x14:cfRule>
          <xm:sqref>W65:W84</xm:sqref>
        </x14:conditionalFormatting>
      </x14:conditionalFormattings>
    </ext>
    <ext xmlns:x14="http://schemas.microsoft.com/office/spreadsheetml/2009/9/main" uri="{A8765BA9-456A-4dab-B4F3-ACF838C121DE}">
      <x14:slicerList>
        <x14:slicer r:id="rId10"/>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16176-396D-40E3-B9AE-79D568D46148}">
  <dimension ref="A1:F301"/>
  <sheetViews>
    <sheetView workbookViewId="0">
      <selection sqref="A1:F301"/>
    </sheetView>
  </sheetViews>
  <sheetFormatPr defaultRowHeight="14.4"/>
  <cols>
    <col min="1" max="1" width="36.77734375" bestFit="1" customWidth="1"/>
    <col min="3" max="3" width="11.5546875" bestFit="1" customWidth="1"/>
    <col min="4" max="4" width="12.44140625" bestFit="1" customWidth="1"/>
    <col min="5" max="5" width="14.88671875" bestFit="1" customWidth="1"/>
    <col min="6" max="6" width="12.88671875" bestFit="1" customWidth="1"/>
  </cols>
  <sheetData>
    <row r="1" spans="1:6">
      <c r="A1" t="s">
        <v>307</v>
      </c>
      <c r="B1" t="s">
        <v>308</v>
      </c>
      <c r="C1" t="s">
        <v>1132</v>
      </c>
      <c r="D1" t="s">
        <v>310</v>
      </c>
      <c r="E1" t="s">
        <v>317</v>
      </c>
      <c r="F1" t="s">
        <v>1120</v>
      </c>
    </row>
    <row r="2" spans="1:6">
      <c r="A2" t="str">
        <f>Task5_Data!A2</f>
        <v>Act I : The AI Prophecy</v>
      </c>
      <c r="B2" t="str">
        <f>Task5_Data!B2</f>
        <v>ACT</v>
      </c>
      <c r="C2">
        <f>Task5_Data!C2</f>
        <v>1.0789999999999999E-2</v>
      </c>
      <c r="D2">
        <f>Task5_Data!D2</f>
        <v>1.21</v>
      </c>
      <c r="E2">
        <f>C2/(1+D2/100)</f>
        <v>1.0661001877284852E-2</v>
      </c>
      <c r="F2" t="str">
        <f>IF(C2&lt;10,"Up to $10","$10 and above")</f>
        <v>Up to $10</v>
      </c>
    </row>
    <row r="3" spans="1:6">
      <c r="A3" t="str">
        <f>Task5_Data!A3</f>
        <v>Advanced Micro Devices Tokenized bStocks</v>
      </c>
      <c r="B3" t="str">
        <f>Task5_Data!B3</f>
        <v>AMDB</v>
      </c>
      <c r="C3">
        <f>Task5_Data!C3</f>
        <v>462.54</v>
      </c>
      <c r="D3">
        <f>Task5_Data!D3</f>
        <v>0.21</v>
      </c>
      <c r="E3">
        <f t="shared" ref="E3:E66" si="0">C3/(1+D3/100)</f>
        <v>461.57070152679375</v>
      </c>
      <c r="F3" t="str">
        <f t="shared" ref="F3:F66" si="1">IF(C3&lt;10,"Up to $10","$10 and above")</f>
        <v>$10 and above</v>
      </c>
    </row>
    <row r="4" spans="1:6">
      <c r="A4" t="str">
        <f>Task5_Data!A4</f>
        <v>AEON</v>
      </c>
      <c r="B4" t="str">
        <f>Task5_Data!B4</f>
        <v>AEON</v>
      </c>
      <c r="C4">
        <f>Task5_Data!C4</f>
        <v>5.6610000000000001E-2</v>
      </c>
      <c r="D4">
        <f>Task5_Data!D4</f>
        <v>0.31</v>
      </c>
      <c r="E4">
        <f t="shared" si="0"/>
        <v>5.6435051340843381E-2</v>
      </c>
      <c r="F4" t="str">
        <f t="shared" si="1"/>
        <v>Up to $10</v>
      </c>
    </row>
    <row r="5" spans="1:6">
      <c r="A5" t="str">
        <f>Task5_Data!A5</f>
        <v>Æternity</v>
      </c>
      <c r="B5" t="str">
        <f>Task5_Data!B5</f>
        <v>AE</v>
      </c>
      <c r="C5">
        <f>Task5_Data!C5</f>
        <v>4.9899999999999996E-3</v>
      </c>
      <c r="D5">
        <f>Task5_Data!D5</f>
        <v>0.03</v>
      </c>
      <c r="E5">
        <f t="shared" si="0"/>
        <v>4.9885034489653103E-3</v>
      </c>
      <c r="F5" t="str">
        <f t="shared" si="1"/>
        <v>Up to $10</v>
      </c>
    </row>
    <row r="6" spans="1:6">
      <c r="A6" t="str">
        <f>Task5_Data!A6</f>
        <v>AINFT</v>
      </c>
      <c r="B6" t="str">
        <f>Task5_Data!B6</f>
        <v>NFT</v>
      </c>
      <c r="C6">
        <f>Task5_Data!C6</f>
        <v>6.2762999999999999E-2</v>
      </c>
      <c r="D6">
        <f>Task5_Data!D6</f>
        <v>0.23</v>
      </c>
      <c r="E6">
        <f t="shared" si="0"/>
        <v>6.2618976354384917E-2</v>
      </c>
      <c r="F6" t="str">
        <f t="shared" si="1"/>
        <v>Up to $10</v>
      </c>
    </row>
    <row r="7" spans="1:6">
      <c r="A7" t="str">
        <f>Task5_Data!A7</f>
        <v>Aleph Cloud</v>
      </c>
      <c r="B7" t="str">
        <f>Task5_Data!B7</f>
        <v>ALEPH</v>
      </c>
      <c r="C7">
        <f>Task5_Data!C7</f>
        <v>9.6659999999999992E-3</v>
      </c>
      <c r="D7">
        <f>Task5_Data!D7</f>
        <v>0.89</v>
      </c>
      <c r="E7">
        <f t="shared" si="0"/>
        <v>9.5807314897413034E-3</v>
      </c>
      <c r="F7" t="str">
        <f t="shared" si="1"/>
        <v>Up to $10</v>
      </c>
    </row>
    <row r="8" spans="1:6">
      <c r="A8" t="str">
        <f>Task5_Data!A8</f>
        <v>Aleph Zero</v>
      </c>
      <c r="B8" t="str">
        <f>Task5_Data!B8</f>
        <v>AZERO</v>
      </c>
      <c r="C8">
        <f>Task5_Data!C8</f>
        <v>9.1970000000000003E-3</v>
      </c>
      <c r="D8">
        <f>Task5_Data!D8</f>
        <v>5.71</v>
      </c>
      <c r="E8">
        <f t="shared" si="0"/>
        <v>8.7002175763882337E-3</v>
      </c>
      <c r="F8" t="str">
        <f t="shared" si="1"/>
        <v>Up to $10</v>
      </c>
    </row>
    <row r="9" spans="1:6">
      <c r="A9" t="str">
        <f>Task5_Data!A9</f>
        <v>AllUnity EUR</v>
      </c>
      <c r="B9" t="str">
        <f>Task5_Data!B9</f>
        <v>EURAU</v>
      </c>
      <c r="C9">
        <f>Task5_Data!C9</f>
        <v>1.1599999999999999</v>
      </c>
      <c r="D9">
        <f>Task5_Data!D9</f>
        <v>0.02</v>
      </c>
      <c r="E9">
        <f t="shared" si="0"/>
        <v>1.1597680463907218</v>
      </c>
      <c r="F9" t="str">
        <f t="shared" si="1"/>
        <v>Up to $10</v>
      </c>
    </row>
    <row r="10" spans="1:6">
      <c r="A10" t="str">
        <f>Task5_Data!A10</f>
        <v>Ambire Wallet</v>
      </c>
      <c r="B10" t="str">
        <f>Task5_Data!B10</f>
        <v>WALLET</v>
      </c>
      <c r="C10">
        <f>Task5_Data!C10</f>
        <v>1.4080000000000001E-2</v>
      </c>
      <c r="D10">
        <f>Task5_Data!D10</f>
        <v>3.23</v>
      </c>
      <c r="E10">
        <f t="shared" si="0"/>
        <v>1.3639445897510415E-2</v>
      </c>
      <c r="F10" t="str">
        <f t="shared" si="1"/>
        <v>Up to $10</v>
      </c>
    </row>
    <row r="11" spans="1:6">
      <c r="A11" t="str">
        <f>Task5_Data!A11</f>
        <v>AMD Tokenised Stock (xStock)</v>
      </c>
      <c r="B11" t="str">
        <f>Task5_Data!B11</f>
        <v>AMDx</v>
      </c>
      <c r="C11">
        <f>Task5_Data!C11</f>
        <v>462.24</v>
      </c>
      <c r="D11">
        <f>Task5_Data!D11</f>
        <v>0.18</v>
      </c>
      <c r="E11">
        <f t="shared" si="0"/>
        <v>461.40946296665999</v>
      </c>
      <c r="F11" t="str">
        <f t="shared" si="1"/>
        <v>$10 and above</v>
      </c>
    </row>
    <row r="12" spans="1:6">
      <c r="A12" t="str">
        <f>Task5_Data!A12</f>
        <v>AMO Coin</v>
      </c>
      <c r="B12" t="str">
        <f>Task5_Data!B12</f>
        <v>AMO</v>
      </c>
      <c r="C12">
        <f>Task5_Data!C12</f>
        <v>2.4729999999999999E-4</v>
      </c>
      <c r="D12">
        <f>Task5_Data!D12</f>
        <v>0.22</v>
      </c>
      <c r="E12">
        <f t="shared" si="0"/>
        <v>2.4675713430453002E-4</v>
      </c>
      <c r="F12" t="str">
        <f t="shared" si="1"/>
        <v>Up to $10</v>
      </c>
    </row>
    <row r="13" spans="1:6">
      <c r="A13" t="str">
        <f>Task5_Data!A13</f>
        <v>Anoma</v>
      </c>
      <c r="B13" t="str">
        <f>Task5_Data!B13</f>
        <v>XAN</v>
      </c>
      <c r="C13">
        <f>Task5_Data!C13</f>
        <v>1.184E-2</v>
      </c>
      <c r="D13">
        <f>Task5_Data!D13</f>
        <v>1.46</v>
      </c>
      <c r="E13">
        <f t="shared" si="0"/>
        <v>1.1669623496944609E-2</v>
      </c>
      <c r="F13" t="str">
        <f t="shared" si="1"/>
        <v>Up to $10</v>
      </c>
    </row>
    <row r="14" spans="1:6">
      <c r="A14" t="str">
        <f>Task5_Data!A14</f>
        <v>ANyONe Protocol</v>
      </c>
      <c r="B14" t="str">
        <f>Task5_Data!B14</f>
        <v>ANYONE</v>
      </c>
      <c r="C14">
        <f>Task5_Data!C14</f>
        <v>8.7129999999999999E-2</v>
      </c>
      <c r="D14">
        <f>Task5_Data!D14</f>
        <v>0.28000000000000003</v>
      </c>
      <c r="E14">
        <f t="shared" si="0"/>
        <v>8.6886717191862792E-2</v>
      </c>
      <c r="F14" t="str">
        <f t="shared" si="1"/>
        <v>Up to $10</v>
      </c>
    </row>
    <row r="15" spans="1:6">
      <c r="A15" t="str">
        <f>Task5_Data!A15</f>
        <v>AO</v>
      </c>
      <c r="B15" t="str">
        <f>Task5_Data!B15</f>
        <v>AO</v>
      </c>
      <c r="C15">
        <f>Task5_Data!C15</f>
        <v>2.99</v>
      </c>
      <c r="D15">
        <f>Task5_Data!D15</f>
        <v>0.39</v>
      </c>
      <c r="E15">
        <f t="shared" si="0"/>
        <v>2.9783843012252218</v>
      </c>
      <c r="F15" t="str">
        <f t="shared" si="1"/>
        <v>Up to $10</v>
      </c>
    </row>
    <row r="16" spans="1:6">
      <c r="A16" t="str">
        <f>Task5_Data!A16</f>
        <v>ApeX Protocol</v>
      </c>
      <c r="B16" t="str">
        <f>Task5_Data!B16</f>
        <v>APEX</v>
      </c>
      <c r="C16">
        <f>Task5_Data!C16</f>
        <v>0.28749999999999998</v>
      </c>
      <c r="D16">
        <f>Task5_Data!D16</f>
        <v>1.3</v>
      </c>
      <c r="E16">
        <f t="shared" si="0"/>
        <v>0.28381046396841064</v>
      </c>
      <c r="F16" t="str">
        <f t="shared" si="1"/>
        <v>Up to $10</v>
      </c>
    </row>
    <row r="17" spans="1:6">
      <c r="A17" t="str">
        <f>Task5_Data!A17</f>
        <v>Apple Tokenized Stock (Ondo)</v>
      </c>
      <c r="B17" t="str">
        <f>Task5_Data!B17</f>
        <v>AAPLon</v>
      </c>
      <c r="C17">
        <f>Task5_Data!C17</f>
        <v>310.51</v>
      </c>
      <c r="D17">
        <f>Task5_Data!D17</f>
        <v>0.1</v>
      </c>
      <c r="E17">
        <f t="shared" si="0"/>
        <v>310.19980019980022</v>
      </c>
      <c r="F17" t="str">
        <f t="shared" si="1"/>
        <v>$10 and above</v>
      </c>
    </row>
    <row r="18" spans="1:6">
      <c r="A18" t="str">
        <f>Task5_Data!A18</f>
        <v>Apple Tokenized Stock (Robinhood)</v>
      </c>
      <c r="B18" t="str">
        <f>Task5_Data!B18</f>
        <v>AAPL</v>
      </c>
      <c r="C18">
        <f>Task5_Data!C18</f>
        <v>309.61</v>
      </c>
      <c r="D18">
        <f>Task5_Data!D18</f>
        <v>0.24</v>
      </c>
      <c r="E18">
        <f t="shared" si="0"/>
        <v>308.86871508379892</v>
      </c>
      <c r="F18" t="str">
        <f t="shared" si="1"/>
        <v>$10 and above</v>
      </c>
    </row>
    <row r="19" spans="1:6">
      <c r="A19" t="str">
        <f>Task5_Data!A19</f>
        <v>Aragon</v>
      </c>
      <c r="B19" t="str">
        <f>Task5_Data!B19</f>
        <v>ANT</v>
      </c>
      <c r="C19">
        <f>Task5_Data!C19</f>
        <v>9.0090000000000003E-2</v>
      </c>
      <c r="D19">
        <f>Task5_Data!D19</f>
        <v>0</v>
      </c>
      <c r="E19">
        <f t="shared" si="0"/>
        <v>9.0090000000000003E-2</v>
      </c>
      <c r="F19" t="str">
        <f t="shared" si="1"/>
        <v>Up to $10</v>
      </c>
    </row>
    <row r="20" spans="1:6">
      <c r="A20" t="str">
        <f>Task5_Data!A20</f>
        <v>ArchLoot</v>
      </c>
      <c r="B20" t="str">
        <f>Task5_Data!B20</f>
        <v>AL</v>
      </c>
      <c r="C20">
        <f>Task5_Data!C20</f>
        <v>1.624E-3</v>
      </c>
      <c r="D20">
        <f>Task5_Data!D20</f>
        <v>0.26</v>
      </c>
      <c r="E20">
        <f t="shared" si="0"/>
        <v>1.6197885497705965E-3</v>
      </c>
      <c r="F20" t="str">
        <f t="shared" si="1"/>
        <v>Up to $10</v>
      </c>
    </row>
    <row r="21" spans="1:6">
      <c r="A21" t="str">
        <f>Task5_Data!A21</f>
        <v>AriaAI</v>
      </c>
      <c r="B21" t="str">
        <f>Task5_Data!B21</f>
        <v>ARIA</v>
      </c>
      <c r="C21">
        <f>Task5_Data!C21</f>
        <v>2.869E-2</v>
      </c>
      <c r="D21">
        <f>Task5_Data!D21</f>
        <v>0.37</v>
      </c>
      <c r="E21">
        <f t="shared" si="0"/>
        <v>2.8584238318222575E-2</v>
      </c>
      <c r="F21" t="str">
        <f t="shared" si="1"/>
        <v>Up to $10</v>
      </c>
    </row>
    <row r="22" spans="1:6">
      <c r="A22" t="str">
        <f>Task5_Data!A22</f>
        <v>Arrow Finance</v>
      </c>
      <c r="B22" t="str">
        <f>Task5_Data!B22</f>
        <v>ARROW</v>
      </c>
      <c r="C22">
        <f>Task5_Data!C22</f>
        <v>0.3377</v>
      </c>
      <c r="D22">
        <f>Task5_Data!D22</f>
        <v>45.45</v>
      </c>
      <c r="E22">
        <f t="shared" si="0"/>
        <v>0.23217600550017189</v>
      </c>
      <c r="F22" t="str">
        <f t="shared" si="1"/>
        <v>Up to $10</v>
      </c>
    </row>
    <row r="23" spans="1:6">
      <c r="A23" t="str">
        <f>Task5_Data!A23</f>
        <v>Arsenal Fan Token</v>
      </c>
      <c r="B23" t="str">
        <f>Task5_Data!B23</f>
        <v>AFC</v>
      </c>
      <c r="C23">
        <f>Task5_Data!C23</f>
        <v>0.17150000000000001</v>
      </c>
      <c r="D23">
        <f>Task5_Data!D23</f>
        <v>0.13</v>
      </c>
      <c r="E23">
        <f t="shared" si="0"/>
        <v>0.17127733945870369</v>
      </c>
      <c r="F23" t="str">
        <f t="shared" si="1"/>
        <v>Up to $10</v>
      </c>
    </row>
    <row r="24" spans="1:6">
      <c r="A24" t="str">
        <f>Task5_Data!A24</f>
        <v>AST SpaceMobile Tokenized bStocks</v>
      </c>
      <c r="B24" t="str">
        <f>Task5_Data!B24</f>
        <v>ASTSB</v>
      </c>
      <c r="C24">
        <f>Task5_Data!C24</f>
        <v>63.35</v>
      </c>
      <c r="D24">
        <f>Task5_Data!D24</f>
        <v>0.22</v>
      </c>
      <c r="E24">
        <f t="shared" si="0"/>
        <v>63.210935940929957</v>
      </c>
      <c r="F24" t="str">
        <f t="shared" si="1"/>
        <v>$10 and above</v>
      </c>
    </row>
    <row r="25" spans="1:6">
      <c r="A25" t="str">
        <f>Task5_Data!A25</f>
        <v>Audiera</v>
      </c>
      <c r="B25" t="str">
        <f>Task5_Data!B25</f>
        <v>BEAT</v>
      </c>
      <c r="C25">
        <f>Task5_Data!C25</f>
        <v>0.12989999999999999</v>
      </c>
      <c r="D25">
        <f>Task5_Data!D25</f>
        <v>1.88</v>
      </c>
      <c r="E25">
        <f t="shared" si="0"/>
        <v>0.12750294464075382</v>
      </c>
      <c r="F25" t="str">
        <f t="shared" si="1"/>
        <v>Up to $10</v>
      </c>
    </row>
    <row r="26" spans="1:6">
      <c r="A26" t="str">
        <f>Task5_Data!A26</f>
        <v>Avalon Labs (AVL)</v>
      </c>
      <c r="B26" t="str">
        <f>Task5_Data!B26</f>
        <v>AVL</v>
      </c>
      <c r="C26">
        <f>Task5_Data!C26</f>
        <v>1.866E-2</v>
      </c>
      <c r="D26">
        <f>Task5_Data!D26</f>
        <v>3.55</v>
      </c>
      <c r="E26">
        <f t="shared" si="0"/>
        <v>1.8020280057943022E-2</v>
      </c>
      <c r="F26" t="str">
        <f t="shared" si="1"/>
        <v>Up to $10</v>
      </c>
    </row>
    <row r="27" spans="1:6">
      <c r="A27" t="str">
        <f>Task5_Data!A27</f>
        <v>Avici</v>
      </c>
      <c r="B27" t="str">
        <f>Task5_Data!B27</f>
        <v>AVICI</v>
      </c>
      <c r="C27">
        <f>Task5_Data!C27</f>
        <v>0.50060000000000004</v>
      </c>
      <c r="D27">
        <f>Task5_Data!D27</f>
        <v>0.89</v>
      </c>
      <c r="E27">
        <f t="shared" si="0"/>
        <v>0.49618396273168808</v>
      </c>
      <c r="F27" t="str">
        <f t="shared" si="1"/>
        <v>Up to $10</v>
      </c>
    </row>
    <row r="28" spans="1:6">
      <c r="A28" t="str">
        <f>Task5_Data!A28</f>
        <v>Aztec</v>
      </c>
      <c r="B28" t="str">
        <f>Task5_Data!B28</f>
        <v>AZTEC</v>
      </c>
      <c r="C28">
        <f>Task5_Data!C28</f>
        <v>1.489E-2</v>
      </c>
      <c r="D28">
        <f>Task5_Data!D28</f>
        <v>7.0000000000000007E-2</v>
      </c>
      <c r="E28">
        <f t="shared" si="0"/>
        <v>1.4879584290996305E-2</v>
      </c>
      <c r="F28" t="str">
        <f t="shared" si="1"/>
        <v>Up to $10</v>
      </c>
    </row>
    <row r="29" spans="1:6">
      <c r="A29" t="str">
        <f>Task5_Data!A29</f>
        <v>B3 (Base)</v>
      </c>
      <c r="B29" t="str">
        <f>Task5_Data!B29</f>
        <v>B3</v>
      </c>
      <c r="C29">
        <f>Task5_Data!C29</f>
        <v>4.9919999999999999E-4</v>
      </c>
      <c r="D29">
        <f>Task5_Data!D29</f>
        <v>1.2</v>
      </c>
      <c r="E29">
        <f t="shared" si="0"/>
        <v>4.9328063241106722E-4</v>
      </c>
      <c r="F29" t="str">
        <f t="shared" si="1"/>
        <v>Up to $10</v>
      </c>
    </row>
    <row r="30" spans="1:6">
      <c r="A30" t="str">
        <f>Task5_Data!A30</f>
        <v>Balancer</v>
      </c>
      <c r="B30" t="str">
        <f>Task5_Data!B30</f>
        <v>BAL</v>
      </c>
      <c r="C30">
        <f>Task5_Data!C30</f>
        <v>0.121</v>
      </c>
      <c r="D30">
        <f>Task5_Data!D30</f>
        <v>0.06</v>
      </c>
      <c r="E30">
        <f t="shared" si="0"/>
        <v>0.12092744353387967</v>
      </c>
      <c r="F30" t="str">
        <f t="shared" si="1"/>
        <v>Up to $10</v>
      </c>
    </row>
    <row r="31" spans="1:6">
      <c r="A31" t="str">
        <f>Task5_Data!A31</f>
        <v>Beldex</v>
      </c>
      <c r="B31" t="str">
        <f>Task5_Data!B31</f>
        <v>BDX</v>
      </c>
      <c r="C31">
        <f>Task5_Data!C31</f>
        <v>8.3150000000000002E-2</v>
      </c>
      <c r="D31">
        <f>Task5_Data!D31</f>
        <v>0.09</v>
      </c>
      <c r="E31">
        <f t="shared" si="0"/>
        <v>8.3075232290938161E-2</v>
      </c>
      <c r="F31" t="str">
        <f t="shared" si="1"/>
        <v>Up to $10</v>
      </c>
    </row>
    <row r="32" spans="1:6">
      <c r="A32" t="str">
        <f>Task5_Data!A32</f>
        <v>Billy (Bitcoin)</v>
      </c>
      <c r="B32" t="str">
        <f>Task5_Data!B32</f>
        <v>BILLY</v>
      </c>
      <c r="C32">
        <f>Task5_Data!C32</f>
        <v>3.0019999999999999E-3</v>
      </c>
      <c r="D32">
        <f>Task5_Data!D32</f>
        <v>9.58</v>
      </c>
      <c r="E32">
        <f t="shared" si="0"/>
        <v>2.7395510129585689E-3</v>
      </c>
      <c r="F32" t="str">
        <f t="shared" si="1"/>
        <v>Up to $10</v>
      </c>
    </row>
    <row r="33" spans="1:6">
      <c r="A33" t="str">
        <f>Task5_Data!A33</f>
        <v>BioPassport Token</v>
      </c>
      <c r="B33" t="str">
        <f>Task5_Data!B33</f>
        <v>BIOT</v>
      </c>
      <c r="C33">
        <f>Task5_Data!C33</f>
        <v>2.174E-4</v>
      </c>
      <c r="D33">
        <f>Task5_Data!D33</f>
        <v>0.01</v>
      </c>
      <c r="E33">
        <f t="shared" si="0"/>
        <v>2.1737826217378263E-4</v>
      </c>
      <c r="F33" t="str">
        <f t="shared" si="1"/>
        <v>Up to $10</v>
      </c>
    </row>
    <row r="34" spans="1:6">
      <c r="A34" t="str">
        <f>Task5_Data!A34</f>
        <v>Bitcoin</v>
      </c>
      <c r="B34" t="str">
        <f>Task5_Data!B34</f>
        <v>BTC</v>
      </c>
      <c r="C34">
        <f>Task5_Data!C34</f>
        <v>80509.13</v>
      </c>
      <c r="D34">
        <f>Task5_Data!D34</f>
        <v>0.18</v>
      </c>
      <c r="E34">
        <f t="shared" si="0"/>
        <v>80364.473946895596</v>
      </c>
      <c r="F34" t="str">
        <f t="shared" si="1"/>
        <v>$10 and above</v>
      </c>
    </row>
    <row r="35" spans="1:6">
      <c r="A35" t="str">
        <f>Task5_Data!A35</f>
        <v>Bitcoin Silver AI</v>
      </c>
      <c r="B35" t="str">
        <f>Task5_Data!B35</f>
        <v>BSAI</v>
      </c>
      <c r="C35">
        <f>Task5_Data!C35</f>
        <v>1111.68</v>
      </c>
      <c r="D35">
        <f>Task5_Data!D35</f>
        <v>0.02</v>
      </c>
      <c r="E35">
        <f t="shared" si="0"/>
        <v>1111.4577084583084</v>
      </c>
      <c r="F35" t="str">
        <f t="shared" si="1"/>
        <v>$10 and above</v>
      </c>
    </row>
    <row r="36" spans="1:6">
      <c r="A36" t="str">
        <f>Task5_Data!A36</f>
        <v>BitCore</v>
      </c>
      <c r="B36" t="str">
        <f>Task5_Data!B36</f>
        <v>BTX</v>
      </c>
      <c r="C36">
        <f>Task5_Data!C36</f>
        <v>5.0970000000000001E-2</v>
      </c>
      <c r="D36">
        <f>Task5_Data!D36</f>
        <v>0</v>
      </c>
      <c r="E36">
        <f t="shared" si="0"/>
        <v>5.0970000000000001E-2</v>
      </c>
      <c r="F36" t="str">
        <f t="shared" si="1"/>
        <v>Up to $10</v>
      </c>
    </row>
    <row r="37" spans="1:6">
      <c r="A37" t="str">
        <f>Task5_Data!A37</f>
        <v>Bitgert</v>
      </c>
      <c r="B37" t="str">
        <f>Task5_Data!B37</f>
        <v>BRISE</v>
      </c>
      <c r="C37">
        <f>Task5_Data!C37</f>
        <v>7.1664000000000005E-2</v>
      </c>
      <c r="D37">
        <f>Task5_Data!D37</f>
        <v>0.11</v>
      </c>
      <c r="E37">
        <f t="shared" si="0"/>
        <v>7.1585256218160018E-2</v>
      </c>
      <c r="F37" t="str">
        <f t="shared" si="1"/>
        <v>Up to $10</v>
      </c>
    </row>
    <row r="38" spans="1:6">
      <c r="A38" t="str">
        <f>Task5_Data!A38</f>
        <v>BitMart Token</v>
      </c>
      <c r="B38" t="str">
        <f>Task5_Data!B38</f>
        <v>BMX</v>
      </c>
      <c r="C38">
        <f>Task5_Data!C38</f>
        <v>5.4050000000000001E-2</v>
      </c>
      <c r="D38">
        <f>Task5_Data!D38</f>
        <v>0.19</v>
      </c>
      <c r="E38">
        <f t="shared" si="0"/>
        <v>5.3947499750474102E-2</v>
      </c>
      <c r="F38" t="str">
        <f t="shared" si="1"/>
        <v>Up to $10</v>
      </c>
    </row>
    <row r="39" spans="1:6">
      <c r="A39" t="str">
        <f>Task5_Data!A39</f>
        <v>BitMine Immersion Technologies Tokenized Stock (Ondo)</v>
      </c>
      <c r="B39" t="str">
        <f>Task5_Data!B39</f>
        <v>BMNRon</v>
      </c>
      <c r="C39">
        <f>Task5_Data!C39</f>
        <v>24.92</v>
      </c>
      <c r="D39">
        <f>Task5_Data!D39</f>
        <v>0.2</v>
      </c>
      <c r="E39">
        <f t="shared" si="0"/>
        <v>24.870259481037927</v>
      </c>
      <c r="F39" t="str">
        <f t="shared" si="1"/>
        <v>$10 and above</v>
      </c>
    </row>
    <row r="40" spans="1:6">
      <c r="A40" t="str">
        <f>Task5_Data!A40</f>
        <v>Bitrue Coin</v>
      </c>
      <c r="B40" t="str">
        <f>Task5_Data!B40</f>
        <v>BTR</v>
      </c>
      <c r="C40">
        <f>Task5_Data!C40</f>
        <v>1.091E-2</v>
      </c>
      <c r="D40">
        <f>Task5_Data!D40</f>
        <v>0.45</v>
      </c>
      <c r="E40">
        <f t="shared" si="0"/>
        <v>1.0861124937779991E-2</v>
      </c>
      <c r="F40" t="str">
        <f t="shared" si="1"/>
        <v>Up to $10</v>
      </c>
    </row>
    <row r="41" spans="1:6">
      <c r="A41" t="str">
        <f>Task5_Data!A41</f>
        <v>BitTorrent [New]</v>
      </c>
      <c r="B41" t="str">
        <f>Task5_Data!B41</f>
        <v>BTT</v>
      </c>
      <c r="C41">
        <f>Task5_Data!C41</f>
        <v>6.2956999999999999E-2</v>
      </c>
      <c r="D41">
        <f>Task5_Data!D41</f>
        <v>0.08</v>
      </c>
      <c r="E41">
        <f t="shared" si="0"/>
        <v>6.2906674660271791E-2</v>
      </c>
      <c r="F41" t="str">
        <f t="shared" si="1"/>
        <v>Up to $10</v>
      </c>
    </row>
    <row r="42" spans="1:6">
      <c r="A42" t="str">
        <f>Task5_Data!A42</f>
        <v>Bitway</v>
      </c>
      <c r="B42" t="str">
        <f>Task5_Data!B42</f>
        <v>BTW</v>
      </c>
      <c r="C42">
        <f>Task5_Data!C42</f>
        <v>0.45639999999999997</v>
      </c>
      <c r="D42">
        <f>Task5_Data!D42</f>
        <v>0.32</v>
      </c>
      <c r="E42">
        <f t="shared" si="0"/>
        <v>0.4549441786283891</v>
      </c>
      <c r="F42" t="str">
        <f t="shared" si="1"/>
        <v>Up to $10</v>
      </c>
    </row>
    <row r="43" spans="1:6">
      <c r="A43" t="str">
        <f>Task5_Data!A43</f>
        <v>Block Street</v>
      </c>
      <c r="B43" t="str">
        <f>Task5_Data!B43</f>
        <v>BSB</v>
      </c>
      <c r="C43">
        <f>Task5_Data!C43</f>
        <v>9.6890000000000004E-2</v>
      </c>
      <c r="D43">
        <f>Task5_Data!D43</f>
        <v>0.93</v>
      </c>
      <c r="E43">
        <f t="shared" si="0"/>
        <v>9.5997225800059441E-2</v>
      </c>
      <c r="F43" t="str">
        <f t="shared" si="1"/>
        <v>Up to $10</v>
      </c>
    </row>
    <row r="44" spans="1:6">
      <c r="A44" t="str">
        <f>Task5_Data!A44</f>
        <v>Blockchain Foundation for Innovation &amp; Collaboration</v>
      </c>
      <c r="B44" t="str">
        <f>Task5_Data!B44</f>
        <v>BFIC</v>
      </c>
      <c r="C44">
        <f>Task5_Data!C44</f>
        <v>0.18490000000000001</v>
      </c>
      <c r="D44">
        <f>Task5_Data!D44</f>
        <v>0</v>
      </c>
      <c r="E44">
        <f t="shared" si="0"/>
        <v>0.18490000000000001</v>
      </c>
      <c r="F44" t="str">
        <f t="shared" si="1"/>
        <v>Up to $10</v>
      </c>
    </row>
    <row r="45" spans="1:6">
      <c r="A45" t="str">
        <f>Task5_Data!A45</f>
        <v>BNB</v>
      </c>
      <c r="B45" t="str">
        <f>Task5_Data!B45</f>
        <v>BNB</v>
      </c>
      <c r="C45">
        <f>Task5_Data!C45</f>
        <v>713.29</v>
      </c>
      <c r="D45">
        <f>Task5_Data!D45</f>
        <v>0.5</v>
      </c>
      <c r="E45">
        <f t="shared" si="0"/>
        <v>709.74129353233832</v>
      </c>
      <c r="F45" t="str">
        <f t="shared" si="1"/>
        <v>$10 and above</v>
      </c>
    </row>
    <row r="46" spans="1:6">
      <c r="A46" t="str">
        <f>Task5_Data!A46</f>
        <v>BNB Attestation Service</v>
      </c>
      <c r="B46" t="str">
        <f>Task5_Data!B46</f>
        <v>BAS</v>
      </c>
      <c r="C46">
        <f>Task5_Data!C46</f>
        <v>2.4729999999999999E-2</v>
      </c>
      <c r="D46">
        <f>Task5_Data!D46</f>
        <v>0.78</v>
      </c>
      <c r="E46">
        <f t="shared" si="0"/>
        <v>2.4538598928358798E-2</v>
      </c>
      <c r="F46" t="str">
        <f t="shared" si="1"/>
        <v>Up to $10</v>
      </c>
    </row>
    <row r="47" spans="1:6">
      <c r="A47" t="str">
        <f>Task5_Data!A47</f>
        <v>Bonk</v>
      </c>
      <c r="B47" t="str">
        <f>Task5_Data!B47</f>
        <v>BONK</v>
      </c>
      <c r="C47">
        <f>Task5_Data!C47</f>
        <v>5.3266000000000001E-2</v>
      </c>
      <c r="D47">
        <f>Task5_Data!D47</f>
        <v>1.98</v>
      </c>
      <c r="E47">
        <f t="shared" si="0"/>
        <v>5.2231810158854676E-2</v>
      </c>
      <c r="F47" t="str">
        <f t="shared" si="1"/>
        <v>Up to $10</v>
      </c>
    </row>
    <row r="48" spans="1:6">
      <c r="A48" t="str">
        <f>Task5_Data!A48</f>
        <v>Bounce Token</v>
      </c>
      <c r="B48" t="str">
        <f>Task5_Data!B48</f>
        <v>AUCTION</v>
      </c>
      <c r="C48">
        <f>Task5_Data!C48</f>
        <v>3.24</v>
      </c>
      <c r="D48">
        <f>Task5_Data!D48</f>
        <v>0.61</v>
      </c>
      <c r="E48">
        <f t="shared" si="0"/>
        <v>3.2203558294404138</v>
      </c>
      <c r="F48" t="str">
        <f t="shared" si="1"/>
        <v>Up to $10</v>
      </c>
    </row>
    <row r="49" spans="1:6">
      <c r="A49" t="str">
        <f>Task5_Data!A49</f>
        <v>Boundless</v>
      </c>
      <c r="B49" t="str">
        <f>Task5_Data!B49</f>
        <v>ZKC</v>
      </c>
      <c r="C49">
        <f>Task5_Data!C49</f>
        <v>4.1480000000000003E-2</v>
      </c>
      <c r="D49">
        <f>Task5_Data!D49</f>
        <v>0.61</v>
      </c>
      <c r="E49">
        <f t="shared" si="0"/>
        <v>4.1228506112712456E-2</v>
      </c>
      <c r="F49" t="str">
        <f t="shared" si="1"/>
        <v>Up to $10</v>
      </c>
    </row>
    <row r="50" spans="1:6">
      <c r="A50" t="str">
        <f>Task5_Data!A50</f>
        <v>Bytecoin</v>
      </c>
      <c r="B50" t="str">
        <f>Task5_Data!B50</f>
        <v>BCN</v>
      </c>
      <c r="C50" t="str">
        <f>Task5_Data!C50</f>
        <v>2.798e-05</v>
      </c>
      <c r="D50">
        <f>Task5_Data!D50</f>
        <v>0.01</v>
      </c>
      <c r="E50">
        <f t="shared" si="0"/>
        <v>2.7977202279772024E-5</v>
      </c>
      <c r="F50" t="str">
        <f t="shared" si="1"/>
        <v>$10 and above</v>
      </c>
    </row>
    <row r="51" spans="1:6">
      <c r="A51" t="str">
        <f>Task5_Data!A51</f>
        <v>c8ntinuum</v>
      </c>
      <c r="B51" t="str">
        <f>Task5_Data!B51</f>
        <v>CTM</v>
      </c>
      <c r="C51">
        <f>Task5_Data!C51</f>
        <v>0.22070000000000001</v>
      </c>
      <c r="D51">
        <f>Task5_Data!D51</f>
        <v>0.62</v>
      </c>
      <c r="E51">
        <f t="shared" si="0"/>
        <v>0.2193400914331147</v>
      </c>
      <c r="F51" t="str">
        <f t="shared" si="1"/>
        <v>Up to $10</v>
      </c>
    </row>
    <row r="52" spans="1:6">
      <c r="A52" t="str">
        <f>Task5_Data!A52</f>
        <v>Capricorn</v>
      </c>
      <c r="B52" t="str">
        <f>Task5_Data!B52</f>
        <v>APR</v>
      </c>
      <c r="C52">
        <f>Task5_Data!C52</f>
        <v>0.2203</v>
      </c>
      <c r="D52">
        <f>Task5_Data!D52</f>
        <v>5.35</v>
      </c>
      <c r="E52">
        <f t="shared" si="0"/>
        <v>0.20911248220218318</v>
      </c>
      <c r="F52" t="str">
        <f t="shared" si="1"/>
        <v>Up to $10</v>
      </c>
    </row>
    <row r="53" spans="1:6">
      <c r="A53" t="str">
        <f>Task5_Data!A53</f>
        <v>Cashaa</v>
      </c>
      <c r="B53" t="str">
        <f>Task5_Data!B53</f>
        <v>CAS</v>
      </c>
      <c r="C53">
        <f>Task5_Data!C53</f>
        <v>1.044E-3</v>
      </c>
      <c r="D53">
        <f>Task5_Data!D53</f>
        <v>0.03</v>
      </c>
      <c r="E53">
        <f t="shared" si="0"/>
        <v>1.0436868939318205E-3</v>
      </c>
      <c r="F53" t="str">
        <f t="shared" si="1"/>
        <v>Up to $10</v>
      </c>
    </row>
    <row r="54" spans="1:6">
      <c r="A54" t="str">
        <f>Task5_Data!A54</f>
        <v>Catizen</v>
      </c>
      <c r="B54" t="str">
        <f>Task5_Data!B54</f>
        <v>CATI</v>
      </c>
      <c r="C54">
        <f>Task5_Data!C54</f>
        <v>5.092E-2</v>
      </c>
      <c r="D54">
        <f>Task5_Data!D54</f>
        <v>0.1</v>
      </c>
      <c r="E54">
        <f t="shared" si="0"/>
        <v>5.0869130869130877E-2</v>
      </c>
      <c r="F54" t="str">
        <f t="shared" si="1"/>
        <v>Up to $10</v>
      </c>
    </row>
    <row r="55" spans="1:6">
      <c r="A55" t="str">
        <f>Task5_Data!A55</f>
        <v>CEEK VR</v>
      </c>
      <c r="B55" t="str">
        <f>Task5_Data!B55</f>
        <v>CEEK</v>
      </c>
      <c r="C55">
        <f>Task5_Data!C55</f>
        <v>2.9520000000000002E-3</v>
      </c>
      <c r="D55">
        <f>Task5_Data!D55</f>
        <v>1.41</v>
      </c>
      <c r="E55">
        <f t="shared" si="0"/>
        <v>2.9109555270683367E-3</v>
      </c>
      <c r="F55" t="str">
        <f t="shared" si="1"/>
        <v>Up to $10</v>
      </c>
    </row>
    <row r="56" spans="1:6">
      <c r="A56" t="str">
        <f>Task5_Data!A56</f>
        <v>Chainlink</v>
      </c>
      <c r="B56" t="str">
        <f>Task5_Data!B56</f>
        <v>LINK</v>
      </c>
      <c r="C56">
        <f>Task5_Data!C56</f>
        <v>11.76</v>
      </c>
      <c r="D56">
        <f>Task5_Data!D56</f>
        <v>0.17</v>
      </c>
      <c r="E56">
        <f t="shared" si="0"/>
        <v>11.740041928721173</v>
      </c>
      <c r="F56" t="str">
        <f t="shared" si="1"/>
        <v>$10 and above</v>
      </c>
    </row>
    <row r="57" spans="1:6">
      <c r="A57" t="str">
        <f>Task5_Data!A57</f>
        <v>Chickencoin</v>
      </c>
      <c r="B57" t="str">
        <f>Task5_Data!B57</f>
        <v>CHKN</v>
      </c>
      <c r="C57">
        <f>Task5_Data!C57</f>
        <v>7.1887000000000006E-2</v>
      </c>
      <c r="D57">
        <f>Task5_Data!D57</f>
        <v>0</v>
      </c>
      <c r="E57">
        <f t="shared" si="0"/>
        <v>7.1887000000000006E-2</v>
      </c>
      <c r="F57" t="str">
        <f t="shared" si="1"/>
        <v>Up to $10</v>
      </c>
    </row>
    <row r="58" spans="1:6">
      <c r="A58" t="str">
        <f>Task5_Data!A58</f>
        <v>Cobak Token</v>
      </c>
      <c r="B58" t="str">
        <f>Task5_Data!B58</f>
        <v>CBK</v>
      </c>
      <c r="C58">
        <f>Task5_Data!C58</f>
        <v>0.17349999999999999</v>
      </c>
      <c r="D58">
        <f>Task5_Data!D58</f>
        <v>0.05</v>
      </c>
      <c r="E58">
        <f t="shared" si="0"/>
        <v>0.17341329335332334</v>
      </c>
      <c r="F58" t="str">
        <f t="shared" si="1"/>
        <v>Up to $10</v>
      </c>
    </row>
    <row r="59" spans="1:6">
      <c r="A59" t="str">
        <f>Task5_Data!A59</f>
        <v>Codatta</v>
      </c>
      <c r="B59" t="str">
        <f>Task5_Data!B59</f>
        <v>XNY</v>
      </c>
      <c r="C59">
        <f>Task5_Data!C59</f>
        <v>6.9309999999999997E-3</v>
      </c>
      <c r="D59">
        <f>Task5_Data!D59</f>
        <v>0.97</v>
      </c>
      <c r="E59">
        <f t="shared" si="0"/>
        <v>6.86441517282361E-3</v>
      </c>
      <c r="F59" t="str">
        <f t="shared" si="1"/>
        <v>Up to $10</v>
      </c>
    </row>
    <row r="60" spans="1:6">
      <c r="A60" t="str">
        <f>Task5_Data!A60</f>
        <v>CoinMarketCap 20 Index DTF</v>
      </c>
      <c r="B60" t="str">
        <f>Task5_Data!B60</f>
        <v>CMC20</v>
      </c>
      <c r="C60">
        <f>Task5_Data!C60</f>
        <v>165.6</v>
      </c>
      <c r="D60">
        <f>Task5_Data!D60</f>
        <v>7.0000000000000007E-2</v>
      </c>
      <c r="E60">
        <f t="shared" si="0"/>
        <v>165.48416108723893</v>
      </c>
      <c r="F60" t="str">
        <f t="shared" si="1"/>
        <v>$10 and above</v>
      </c>
    </row>
    <row r="61" spans="1:6">
      <c r="A61" t="str">
        <f>Task5_Data!A61</f>
        <v>Conflux</v>
      </c>
      <c r="B61" t="str">
        <f>Task5_Data!B61</f>
        <v>CFX</v>
      </c>
      <c r="C61">
        <f>Task5_Data!C61</f>
        <v>5.0340000000000003E-2</v>
      </c>
      <c r="D61">
        <f>Task5_Data!D61</f>
        <v>0.04</v>
      </c>
      <c r="E61">
        <f t="shared" si="0"/>
        <v>5.0319872051179534E-2</v>
      </c>
      <c r="F61" t="str">
        <f t="shared" si="1"/>
        <v>Up to $10</v>
      </c>
    </row>
    <row r="62" spans="1:6">
      <c r="A62" t="str">
        <f>Task5_Data!A62</f>
        <v>Corn</v>
      </c>
      <c r="B62" t="str">
        <f>Task5_Data!B62</f>
        <v>CORN</v>
      </c>
      <c r="C62">
        <f>Task5_Data!C62</f>
        <v>2.5420000000000002E-2</v>
      </c>
      <c r="D62">
        <f>Task5_Data!D62</f>
        <v>0.15</v>
      </c>
      <c r="E62">
        <f t="shared" si="0"/>
        <v>2.5381927109335997E-2</v>
      </c>
      <c r="F62" t="str">
        <f t="shared" si="1"/>
        <v>Up to $10</v>
      </c>
    </row>
    <row r="63" spans="1:6">
      <c r="A63" t="str">
        <f>Task5_Data!A63</f>
        <v>Costco Tokenized Stock (Ondo)</v>
      </c>
      <c r="B63" t="str">
        <f>Task5_Data!B63</f>
        <v>COSTon</v>
      </c>
      <c r="C63">
        <f>Task5_Data!C63</f>
        <v>973.38</v>
      </c>
      <c r="D63">
        <f>Task5_Data!D63</f>
        <v>0.01</v>
      </c>
      <c r="E63">
        <f t="shared" si="0"/>
        <v>973.28267173282677</v>
      </c>
      <c r="F63" t="str">
        <f t="shared" si="1"/>
        <v>$10 and above</v>
      </c>
    </row>
    <row r="64" spans="1:6">
      <c r="A64" t="str">
        <f>Task5_Data!A64</f>
        <v>Cratos</v>
      </c>
      <c r="B64" t="str">
        <f>Task5_Data!B64</f>
        <v>CRTS</v>
      </c>
      <c r="C64" t="str">
        <f>Task5_Data!C64</f>
        <v>4.709e-05</v>
      </c>
      <c r="D64">
        <f>Task5_Data!D64</f>
        <v>0.9</v>
      </c>
      <c r="E64">
        <f t="shared" si="0"/>
        <v>4.6669970267591677E-5</v>
      </c>
      <c r="F64" t="str">
        <f t="shared" si="1"/>
        <v>$10 and above</v>
      </c>
    </row>
    <row r="65" spans="1:6">
      <c r="A65" t="str">
        <f>Task5_Data!A65</f>
        <v>Creta World</v>
      </c>
      <c r="B65" t="str">
        <f>Task5_Data!B65</f>
        <v>CRETA</v>
      </c>
      <c r="C65">
        <f>Task5_Data!C65</f>
        <v>3.503E-3</v>
      </c>
      <c r="D65">
        <f>Task5_Data!D65</f>
        <v>1.26</v>
      </c>
      <c r="E65">
        <f t="shared" si="0"/>
        <v>3.4594114161564291E-3</v>
      </c>
      <c r="F65" t="str">
        <f t="shared" si="1"/>
        <v>Up to $10</v>
      </c>
    </row>
    <row r="66" spans="1:6">
      <c r="A66" t="str">
        <f>Task5_Data!A66</f>
        <v>Ctomorrow Platform</v>
      </c>
      <c r="B66" t="str">
        <f>Task5_Data!B66</f>
        <v>CTP</v>
      </c>
      <c r="C66">
        <f>Task5_Data!C66</f>
        <v>9.5359999999999998E-4</v>
      </c>
      <c r="D66">
        <f>Task5_Data!D66</f>
        <v>0.08</v>
      </c>
      <c r="E66">
        <f t="shared" si="0"/>
        <v>9.5283772981614718E-4</v>
      </c>
      <c r="F66" t="str">
        <f t="shared" si="1"/>
        <v>Up to $10</v>
      </c>
    </row>
    <row r="67" spans="1:6">
      <c r="A67" t="str">
        <f>Task5_Data!A67</f>
        <v>CyberLeek</v>
      </c>
      <c r="B67" t="str">
        <f>Task5_Data!B67</f>
        <v>CYBERLEEK</v>
      </c>
      <c r="C67">
        <f>Task5_Data!C67</f>
        <v>1.4409999999999999E-2</v>
      </c>
      <c r="D67">
        <f>Task5_Data!D67</f>
        <v>6.1</v>
      </c>
      <c r="E67">
        <f t="shared" ref="E67:E130" si="2">C67/(1+D67/100)</f>
        <v>1.3581526861451461E-2</v>
      </c>
      <c r="F67" t="str">
        <f t="shared" ref="F67:F130" si="3">IF(C67&lt;10,"Up to $10","$10 and above")</f>
        <v>Up to $10</v>
      </c>
    </row>
    <row r="68" spans="1:6">
      <c r="A68" t="str">
        <f>Task5_Data!A68</f>
        <v>DAR Open Network</v>
      </c>
      <c r="B68" t="str">
        <f>Task5_Data!B68</f>
        <v>D</v>
      </c>
      <c r="C68">
        <f>Task5_Data!C68</f>
        <v>2.5660000000000001E-3</v>
      </c>
      <c r="D68">
        <f>Task5_Data!D68</f>
        <v>1.38</v>
      </c>
      <c r="E68">
        <f t="shared" si="2"/>
        <v>2.5310712172026042E-3</v>
      </c>
      <c r="F68" t="str">
        <f t="shared" si="3"/>
        <v>Up to $10</v>
      </c>
    </row>
    <row r="69" spans="1:6">
      <c r="A69" t="str">
        <f>Task5_Data!A69</f>
        <v>DEAPcoin</v>
      </c>
      <c r="B69" t="str">
        <f>Task5_Data!B69</f>
        <v>DEP</v>
      </c>
      <c r="C69">
        <f>Task5_Data!C69</f>
        <v>9.8820000000000006E-4</v>
      </c>
      <c r="D69">
        <f>Task5_Data!D69</f>
        <v>0</v>
      </c>
      <c r="E69">
        <f t="shared" si="2"/>
        <v>9.8820000000000006E-4</v>
      </c>
      <c r="F69" t="str">
        <f t="shared" si="3"/>
        <v>Up to $10</v>
      </c>
    </row>
    <row r="70" spans="1:6">
      <c r="A70" t="str">
        <f>Task5_Data!A70</f>
        <v>Decimal</v>
      </c>
      <c r="B70" t="str">
        <f>Task5_Data!B70</f>
        <v>DEL</v>
      </c>
      <c r="C70">
        <f>Task5_Data!C70</f>
        <v>0.59330000000000005</v>
      </c>
      <c r="D70">
        <f>Task5_Data!D70</f>
        <v>0.12</v>
      </c>
      <c r="E70">
        <f t="shared" si="2"/>
        <v>0.59258889332800635</v>
      </c>
      <c r="F70" t="str">
        <f t="shared" si="3"/>
        <v>Up to $10</v>
      </c>
    </row>
    <row r="71" spans="1:6">
      <c r="A71" t="str">
        <f>Task5_Data!A71</f>
        <v>Dejitaru Tsuka</v>
      </c>
      <c r="B71" t="str">
        <f>Task5_Data!B71</f>
        <v>TSUKA</v>
      </c>
      <c r="C71">
        <f>Task5_Data!C71</f>
        <v>1.2290000000000001E-3</v>
      </c>
      <c r="D71">
        <f>Task5_Data!D71</f>
        <v>0</v>
      </c>
      <c r="E71">
        <f t="shared" si="2"/>
        <v>1.2290000000000001E-3</v>
      </c>
      <c r="F71" t="str">
        <f t="shared" si="3"/>
        <v>Up to $10</v>
      </c>
    </row>
    <row r="72" spans="1:6">
      <c r="A72" t="str">
        <f>Task5_Data!A72</f>
        <v>Dell Technologies Inc. tokenized stock (xStock)</v>
      </c>
      <c r="B72" t="str">
        <f>Task5_Data!B72</f>
        <v>DELLx</v>
      </c>
      <c r="C72">
        <f>Task5_Data!C72</f>
        <v>439.47</v>
      </c>
      <c r="D72">
        <f>Task5_Data!D72</f>
        <v>0.43</v>
      </c>
      <c r="E72">
        <f t="shared" si="2"/>
        <v>437.58837000896153</v>
      </c>
      <c r="F72" t="str">
        <f t="shared" si="3"/>
        <v>$10 and above</v>
      </c>
    </row>
    <row r="73" spans="1:6">
      <c r="A73" t="str">
        <f>Task5_Data!A73</f>
        <v>DIAM</v>
      </c>
      <c r="B73" t="str">
        <f>Task5_Data!B73</f>
        <v>DIAM</v>
      </c>
      <c r="C73">
        <f>Task5_Data!C73</f>
        <v>5.0619999999999997E-3</v>
      </c>
      <c r="D73">
        <f>Task5_Data!D73</f>
        <v>0.01</v>
      </c>
      <c r="E73">
        <f t="shared" si="2"/>
        <v>5.0614938506149381E-3</v>
      </c>
      <c r="F73" t="str">
        <f t="shared" si="3"/>
        <v>Up to $10</v>
      </c>
    </row>
    <row r="74" spans="1:6">
      <c r="A74" t="str">
        <f>Task5_Data!A74</f>
        <v>Diem</v>
      </c>
      <c r="B74" t="str">
        <f>Task5_Data!B74</f>
        <v>DIEM</v>
      </c>
      <c r="C74">
        <f>Task5_Data!C74</f>
        <v>1638.11</v>
      </c>
      <c r="D74">
        <f>Task5_Data!D74</f>
        <v>0.48</v>
      </c>
      <c r="E74">
        <f t="shared" si="2"/>
        <v>1630.2846337579617</v>
      </c>
      <c r="F74" t="str">
        <f t="shared" si="3"/>
        <v>$10 and above</v>
      </c>
    </row>
    <row r="75" spans="1:6">
      <c r="A75" t="str">
        <f>Task5_Data!A75</f>
        <v>Direxion Semiconductor Bull 3X tokenized ETF (xStock)</v>
      </c>
      <c r="B75" t="str">
        <f>Task5_Data!B75</f>
        <v>SOXLx</v>
      </c>
      <c r="C75">
        <f>Task5_Data!C75</f>
        <v>116.08</v>
      </c>
      <c r="D75">
        <f>Task5_Data!D75</f>
        <v>0.76</v>
      </c>
      <c r="E75">
        <f t="shared" si="2"/>
        <v>115.20444620881301</v>
      </c>
      <c r="F75" t="str">
        <f t="shared" si="3"/>
        <v>$10 and above</v>
      </c>
    </row>
    <row r="76" spans="1:6">
      <c r="A76" t="str">
        <f>Task5_Data!A76</f>
        <v>Disney Tokenized Stock (Ondo)</v>
      </c>
      <c r="B76" t="str">
        <f>Task5_Data!B76</f>
        <v>DISon</v>
      </c>
      <c r="C76">
        <f>Task5_Data!C76</f>
        <v>111.75</v>
      </c>
      <c r="D76">
        <f>Task5_Data!D76</f>
        <v>0.02</v>
      </c>
      <c r="E76">
        <f t="shared" si="2"/>
        <v>111.72765446910618</v>
      </c>
      <c r="F76" t="str">
        <f t="shared" si="3"/>
        <v>$10 and above</v>
      </c>
    </row>
    <row r="77" spans="1:6">
      <c r="A77" t="str">
        <f>Task5_Data!A77</f>
        <v>district0x</v>
      </c>
      <c r="B77" t="str">
        <f>Task5_Data!B77</f>
        <v>DNT</v>
      </c>
      <c r="C77">
        <f>Task5_Data!C77</f>
        <v>6.3449999999999999E-3</v>
      </c>
      <c r="D77">
        <f>Task5_Data!D77</f>
        <v>7.0000000000000007E-2</v>
      </c>
      <c r="E77">
        <f t="shared" si="2"/>
        <v>6.3405616068751879E-3</v>
      </c>
      <c r="F77" t="str">
        <f t="shared" si="3"/>
        <v>Up to $10</v>
      </c>
    </row>
    <row r="78" spans="1:6">
      <c r="A78" t="str">
        <f>Task5_Data!A78</f>
        <v>Dogecoin</v>
      </c>
      <c r="B78" t="str">
        <f>Task5_Data!B78</f>
        <v>DOGE</v>
      </c>
      <c r="C78">
        <f>Task5_Data!C78</f>
        <v>9.2090000000000005E-2</v>
      </c>
      <c r="D78">
        <f>Task5_Data!D78</f>
        <v>0.72</v>
      </c>
      <c r="E78">
        <f t="shared" si="2"/>
        <v>9.1431691818903885E-2</v>
      </c>
      <c r="F78" t="str">
        <f t="shared" si="3"/>
        <v>Up to $10</v>
      </c>
    </row>
    <row r="79" spans="1:6">
      <c r="A79" t="str">
        <f>Task5_Data!A79</f>
        <v>Dohrnii</v>
      </c>
      <c r="B79" t="str">
        <f>Task5_Data!B79</f>
        <v>DHN</v>
      </c>
      <c r="C79">
        <f>Task5_Data!C79</f>
        <v>3.54</v>
      </c>
      <c r="D79">
        <f>Task5_Data!D79</f>
        <v>0.14000000000000001</v>
      </c>
      <c r="E79">
        <f t="shared" si="2"/>
        <v>3.5350509286998202</v>
      </c>
      <c r="F79" t="str">
        <f t="shared" si="3"/>
        <v>Up to $10</v>
      </c>
    </row>
    <row r="80" spans="1:6">
      <c r="A80" t="str">
        <f>Task5_Data!A80</f>
        <v>Dolomite</v>
      </c>
      <c r="B80" t="str">
        <f>Task5_Data!B80</f>
        <v>DOLO</v>
      </c>
      <c r="C80">
        <f>Task5_Data!C80</f>
        <v>2.3949999999999999E-2</v>
      </c>
      <c r="D80">
        <f>Task5_Data!D80</f>
        <v>0.45</v>
      </c>
      <c r="E80">
        <f t="shared" si="2"/>
        <v>2.3842707814833251E-2</v>
      </c>
      <c r="F80" t="str">
        <f t="shared" si="3"/>
        <v>Up to $10</v>
      </c>
    </row>
    <row r="81" spans="1:6">
      <c r="A81" t="str">
        <f>Task5_Data!A81</f>
        <v>Echelon Prime</v>
      </c>
      <c r="B81" t="str">
        <f>Task5_Data!B81</f>
        <v>PRIME</v>
      </c>
      <c r="C81">
        <f>Task5_Data!C81</f>
        <v>0.2319</v>
      </c>
      <c r="D81">
        <f>Task5_Data!D81</f>
        <v>0.5</v>
      </c>
      <c r="E81">
        <f t="shared" si="2"/>
        <v>0.23074626865671644</v>
      </c>
      <c r="F81" t="str">
        <f t="shared" si="3"/>
        <v>Up to $10</v>
      </c>
    </row>
    <row r="82" spans="1:6">
      <c r="A82" t="str">
        <f>Task5_Data!A82</f>
        <v>ECOMI</v>
      </c>
      <c r="B82" t="str">
        <f>Task5_Data!B82</f>
        <v>OMI</v>
      </c>
      <c r="C82">
        <f>Task5_Data!C82</f>
        <v>2.2159999999999999E-4</v>
      </c>
      <c r="D82">
        <f>Task5_Data!D82</f>
        <v>2.36</v>
      </c>
      <c r="E82">
        <f t="shared" si="2"/>
        <v>2.1649081672528331E-4</v>
      </c>
      <c r="F82" t="str">
        <f t="shared" si="3"/>
        <v>Up to $10</v>
      </c>
    </row>
    <row r="83" spans="1:6">
      <c r="A83" t="str">
        <f>Task5_Data!A83</f>
        <v>Edel</v>
      </c>
      <c r="B83" t="str">
        <f>Task5_Data!B83</f>
        <v>EDEL</v>
      </c>
      <c r="C83">
        <f>Task5_Data!C83</f>
        <v>1.0410000000000001E-2</v>
      </c>
      <c r="D83">
        <f>Task5_Data!D83</f>
        <v>0.99</v>
      </c>
      <c r="E83">
        <f t="shared" si="2"/>
        <v>1.030795128230518E-2</v>
      </c>
      <c r="F83" t="str">
        <f t="shared" si="3"/>
        <v>Up to $10</v>
      </c>
    </row>
    <row r="84" spans="1:6">
      <c r="A84" t="str">
        <f>Task5_Data!A84</f>
        <v>Eesee</v>
      </c>
      <c r="B84" t="str">
        <f>Task5_Data!B84</f>
        <v>ESE</v>
      </c>
      <c r="C84">
        <f>Task5_Data!C84</f>
        <v>1.243E-2</v>
      </c>
      <c r="D84">
        <f>Task5_Data!D84</f>
        <v>0.46</v>
      </c>
      <c r="E84">
        <f t="shared" si="2"/>
        <v>1.2373083814453515E-2</v>
      </c>
      <c r="F84" t="str">
        <f t="shared" si="3"/>
        <v>Up to $10</v>
      </c>
    </row>
    <row r="85" spans="1:6">
      <c r="A85" t="str">
        <f>Task5_Data!A85</f>
        <v>Elastos</v>
      </c>
      <c r="B85" t="str">
        <f>Task5_Data!B85</f>
        <v>ELA</v>
      </c>
      <c r="C85">
        <f>Task5_Data!C85</f>
        <v>0.27900000000000003</v>
      </c>
      <c r="D85">
        <f>Task5_Data!D85</f>
        <v>0.03</v>
      </c>
      <c r="E85">
        <f t="shared" si="2"/>
        <v>0.27891632510246928</v>
      </c>
      <c r="F85" t="str">
        <f t="shared" si="3"/>
        <v>Up to $10</v>
      </c>
    </row>
    <row r="86" spans="1:6">
      <c r="A86" t="str">
        <f>Task5_Data!A86</f>
        <v>ELYSIA</v>
      </c>
      <c r="B86" t="str">
        <f>Task5_Data!B86</f>
        <v>EL</v>
      </c>
      <c r="C86">
        <f>Task5_Data!C86</f>
        <v>1.25E-3</v>
      </c>
      <c r="D86">
        <f>Task5_Data!D86</f>
        <v>4.9800000000000004</v>
      </c>
      <c r="E86">
        <f t="shared" si="2"/>
        <v>1.1907029910459134E-3</v>
      </c>
      <c r="F86" t="str">
        <f t="shared" si="3"/>
        <v>Up to $10</v>
      </c>
    </row>
    <row r="87" spans="1:6">
      <c r="A87" t="str">
        <f>Task5_Data!A87</f>
        <v>Enso</v>
      </c>
      <c r="B87" t="str">
        <f>Task5_Data!B87</f>
        <v>ENSO</v>
      </c>
      <c r="C87">
        <f>Task5_Data!C87</f>
        <v>0.84640000000000004</v>
      </c>
      <c r="D87">
        <f>Task5_Data!D87</f>
        <v>0.93</v>
      </c>
      <c r="E87">
        <f t="shared" si="2"/>
        <v>0.8386010106014069</v>
      </c>
      <c r="F87" t="str">
        <f t="shared" si="3"/>
        <v>Up to $10</v>
      </c>
    </row>
    <row r="88" spans="1:6">
      <c r="A88" t="str">
        <f>Task5_Data!A88</f>
        <v>Ergo</v>
      </c>
      <c r="B88" t="str">
        <f>Task5_Data!B88</f>
        <v>ERG</v>
      </c>
      <c r="C88">
        <f>Task5_Data!C88</f>
        <v>0.26469999999999999</v>
      </c>
      <c r="D88">
        <f>Task5_Data!D88</f>
        <v>0.77</v>
      </c>
      <c r="E88">
        <f t="shared" si="2"/>
        <v>0.26267738414210579</v>
      </c>
      <c r="F88" t="str">
        <f t="shared" si="3"/>
        <v>Up to $10</v>
      </c>
    </row>
    <row r="89" spans="1:6">
      <c r="A89" t="str">
        <f>Task5_Data!A89</f>
        <v>Ethereum</v>
      </c>
      <c r="B89" t="str">
        <f>Task5_Data!B89</f>
        <v>ETH</v>
      </c>
      <c r="C89">
        <f>Task5_Data!C89</f>
        <v>2502.7199999999998</v>
      </c>
      <c r="D89">
        <f>Task5_Data!D89</f>
        <v>0.12</v>
      </c>
      <c r="E89">
        <f t="shared" si="2"/>
        <v>2499.7203355972829</v>
      </c>
      <c r="F89" t="str">
        <f t="shared" si="3"/>
        <v>$10 and above</v>
      </c>
    </row>
    <row r="90" spans="1:6">
      <c r="A90" t="str">
        <f>Task5_Data!A90</f>
        <v>EthereumPoW</v>
      </c>
      <c r="B90" t="str">
        <f>Task5_Data!B90</f>
        <v>ETHW</v>
      </c>
      <c r="C90">
        <f>Task5_Data!C90</f>
        <v>0.27939999999999998</v>
      </c>
      <c r="D90">
        <f>Task5_Data!D90</f>
        <v>0.37</v>
      </c>
      <c r="E90">
        <f t="shared" si="2"/>
        <v>0.27837003088572282</v>
      </c>
      <c r="F90" t="str">
        <f t="shared" si="3"/>
        <v>Up to $10</v>
      </c>
    </row>
    <row r="91" spans="1:6">
      <c r="A91" t="str">
        <f>Task5_Data!A91</f>
        <v>Fabric Protocol</v>
      </c>
      <c r="B91" t="str">
        <f>Task5_Data!B91</f>
        <v>ROBO</v>
      </c>
      <c r="C91">
        <f>Task5_Data!C91</f>
        <v>1.3480000000000001E-2</v>
      </c>
      <c r="D91">
        <f>Task5_Data!D91</f>
        <v>1.3</v>
      </c>
      <c r="E91">
        <f t="shared" si="2"/>
        <v>1.3307008884501483E-2</v>
      </c>
      <c r="F91" t="str">
        <f t="shared" si="3"/>
        <v>Up to $10</v>
      </c>
    </row>
    <row r="92" spans="1:6">
      <c r="A92" t="str">
        <f>Task5_Data!A92</f>
        <v>Falcon Finance</v>
      </c>
      <c r="B92" t="str">
        <f>Task5_Data!B92</f>
        <v>FF</v>
      </c>
      <c r="C92">
        <f>Task5_Data!C92</f>
        <v>9.0190000000000006E-2</v>
      </c>
      <c r="D92">
        <f>Task5_Data!D92</f>
        <v>1.69</v>
      </c>
      <c r="E92">
        <f t="shared" si="2"/>
        <v>8.8691120070803431E-2</v>
      </c>
      <c r="F92" t="str">
        <f t="shared" si="3"/>
        <v>Up to $10</v>
      </c>
    </row>
    <row r="93" spans="1:6">
      <c r="A93" t="str">
        <f>Task5_Data!A93</f>
        <v>Falcon USD</v>
      </c>
      <c r="B93" t="str">
        <f>Task5_Data!B93</f>
        <v>USDf</v>
      </c>
      <c r="C93">
        <f>Task5_Data!C93</f>
        <v>0.99529999999999996</v>
      </c>
      <c r="D93">
        <f>Task5_Data!D93</f>
        <v>0.08</v>
      </c>
      <c r="E93">
        <f t="shared" si="2"/>
        <v>0.99450439648281375</v>
      </c>
      <c r="F93" t="str">
        <f t="shared" si="3"/>
        <v>Up to $10</v>
      </c>
    </row>
    <row r="94" spans="1:6">
      <c r="A94" t="str">
        <f>Task5_Data!A94</f>
        <v>FAR Labs</v>
      </c>
      <c r="B94" t="str">
        <f>Task5_Data!B94</f>
        <v>FAR</v>
      </c>
      <c r="C94">
        <f>Task5_Data!C94</f>
        <v>1.0790000000000001E-3</v>
      </c>
      <c r="D94">
        <f>Task5_Data!D94</f>
        <v>0.01</v>
      </c>
      <c r="E94">
        <f t="shared" si="2"/>
        <v>1.0788921107889211E-3</v>
      </c>
      <c r="F94" t="str">
        <f t="shared" si="3"/>
        <v>Up to $10</v>
      </c>
    </row>
    <row r="95" spans="1:6">
      <c r="A95" t="str">
        <f>Task5_Data!A95</f>
        <v>Fidelity Digital Dollar</v>
      </c>
      <c r="B95" t="str">
        <f>Task5_Data!B95</f>
        <v>FIDD</v>
      </c>
      <c r="C95">
        <f>Task5_Data!C95</f>
        <v>0.99950000000000006</v>
      </c>
      <c r="D95">
        <f>Task5_Data!D95</f>
        <v>0</v>
      </c>
      <c r="E95">
        <f t="shared" si="2"/>
        <v>0.99950000000000006</v>
      </c>
      <c r="F95" t="str">
        <f t="shared" si="3"/>
        <v>Up to $10</v>
      </c>
    </row>
    <row r="96" spans="1:6">
      <c r="A96" t="str">
        <f>Task5_Data!A96</f>
        <v>Firo</v>
      </c>
      <c r="B96" t="str">
        <f>Task5_Data!B96</f>
        <v>FIRO</v>
      </c>
      <c r="C96">
        <f>Task5_Data!C96</f>
        <v>0.68469999999999998</v>
      </c>
      <c r="D96">
        <f>Task5_Data!D96</f>
        <v>0.06</v>
      </c>
      <c r="E96">
        <f t="shared" si="2"/>
        <v>0.68428942634419354</v>
      </c>
      <c r="F96" t="str">
        <f t="shared" si="3"/>
        <v>Up to $10</v>
      </c>
    </row>
    <row r="97" spans="1:6">
      <c r="A97" t="str">
        <f>Task5_Data!A97</f>
        <v>FLOKI</v>
      </c>
      <c r="B97" t="str">
        <f>Task5_Data!B97</f>
        <v>FLOKI</v>
      </c>
      <c r="C97" t="str">
        <f>Task5_Data!C97</f>
        <v>2.758e-05</v>
      </c>
      <c r="D97">
        <f>Task5_Data!D97</f>
        <v>1.36</v>
      </c>
      <c r="E97">
        <f t="shared" si="2"/>
        <v>2.7209944751381215E-5</v>
      </c>
      <c r="F97" t="str">
        <f t="shared" si="3"/>
        <v>$10 and above</v>
      </c>
    </row>
    <row r="98" spans="1:6">
      <c r="A98" t="str">
        <f>Task5_Data!A98</f>
        <v>Fluent</v>
      </c>
      <c r="B98" t="str">
        <f>Task5_Data!B98</f>
        <v>BLEND</v>
      </c>
      <c r="C98">
        <f>Task5_Data!C98</f>
        <v>6.5549999999999997E-2</v>
      </c>
      <c r="D98">
        <f>Task5_Data!D98</f>
        <v>0.31</v>
      </c>
      <c r="E98">
        <f t="shared" si="2"/>
        <v>6.5347422988734916E-2</v>
      </c>
      <c r="F98" t="str">
        <f t="shared" si="3"/>
        <v>Up to $10</v>
      </c>
    </row>
    <row r="99" spans="1:6">
      <c r="A99" t="str">
        <f>Task5_Data!A99</f>
        <v>Frankencoin</v>
      </c>
      <c r="B99" t="str">
        <f>Task5_Data!B99</f>
        <v>ZCHF</v>
      </c>
      <c r="C99">
        <f>Task5_Data!C99</f>
        <v>1.24</v>
      </c>
      <c r="D99">
        <f>Task5_Data!D99</f>
        <v>0.02</v>
      </c>
      <c r="E99">
        <f t="shared" si="2"/>
        <v>1.239752049590082</v>
      </c>
      <c r="F99" t="str">
        <f t="shared" si="3"/>
        <v>Up to $10</v>
      </c>
    </row>
    <row r="100" spans="1:6">
      <c r="A100" t="str">
        <f>Task5_Data!A100</f>
        <v>Franklin US Large Cap Multifactor Index Tokenized ETF (Ondo)</v>
      </c>
      <c r="B100" t="str">
        <f>Task5_Data!B100</f>
        <v>FLQLon</v>
      </c>
      <c r="C100">
        <f>Task5_Data!C100</f>
        <v>78.67</v>
      </c>
      <c r="D100">
        <f>Task5_Data!D100</f>
        <v>0.04</v>
      </c>
      <c r="E100">
        <f t="shared" si="2"/>
        <v>78.638544582167142</v>
      </c>
      <c r="F100" t="str">
        <f t="shared" si="3"/>
        <v>$10 and above</v>
      </c>
    </row>
    <row r="101" spans="1:6">
      <c r="A101" t="str">
        <f>Task5_Data!A101</f>
        <v>Free Joby</v>
      </c>
      <c r="B101" t="str">
        <f>Task5_Data!B101</f>
        <v>JOBY</v>
      </c>
      <c r="C101">
        <f>Task5_Data!C101</f>
        <v>1.2329999999999999E-3</v>
      </c>
      <c r="D101">
        <f>Task5_Data!D101</f>
        <v>1.34</v>
      </c>
      <c r="E101">
        <f t="shared" si="2"/>
        <v>1.2166962699822379E-3</v>
      </c>
      <c r="F101" t="str">
        <f t="shared" si="3"/>
        <v>Up to $10</v>
      </c>
    </row>
    <row r="102" spans="1:6">
      <c r="A102" t="str">
        <f>Task5_Data!A102</f>
        <v>GameFi.org</v>
      </c>
      <c r="B102" t="str">
        <f>Task5_Data!B102</f>
        <v>GAFI</v>
      </c>
      <c r="C102">
        <f>Task5_Data!C102</f>
        <v>0.10249999999999999</v>
      </c>
      <c r="D102">
        <f>Task5_Data!D102</f>
        <v>0.12</v>
      </c>
      <c r="E102">
        <f t="shared" si="2"/>
        <v>0.10237714742309227</v>
      </c>
      <c r="F102" t="str">
        <f t="shared" si="3"/>
        <v>Up to $10</v>
      </c>
    </row>
    <row r="103" spans="1:6">
      <c r="A103" t="str">
        <f>Task5_Data!A103</f>
        <v>Games for a Living</v>
      </c>
      <c r="B103" t="str">
        <f>Task5_Data!B103</f>
        <v>GFAL</v>
      </c>
      <c r="C103">
        <f>Task5_Data!C103</f>
        <v>7.2610000000000003E-4</v>
      </c>
      <c r="D103">
        <f>Task5_Data!D103</f>
        <v>0</v>
      </c>
      <c r="E103">
        <f t="shared" si="2"/>
        <v>7.2610000000000003E-4</v>
      </c>
      <c r="F103" t="str">
        <f t="shared" si="3"/>
        <v>Up to $10</v>
      </c>
    </row>
    <row r="104" spans="1:6">
      <c r="A104" t="str">
        <f>Task5_Data!A104</f>
        <v>GHO</v>
      </c>
      <c r="B104" t="str">
        <f>Task5_Data!B104</f>
        <v>GHO</v>
      </c>
      <c r="C104">
        <f>Task5_Data!C104</f>
        <v>0.99860000000000004</v>
      </c>
      <c r="D104">
        <f>Task5_Data!D104</f>
        <v>0.02</v>
      </c>
      <c r="E104">
        <f t="shared" si="2"/>
        <v>0.99840031993601286</v>
      </c>
      <c r="F104" t="str">
        <f t="shared" si="3"/>
        <v>Up to $10</v>
      </c>
    </row>
    <row r="105" spans="1:6">
      <c r="A105" t="str">
        <f>Task5_Data!A105</f>
        <v>Global X DRAM ETF Tokenized Stock (Reality)</v>
      </c>
      <c r="B105" t="str">
        <f>Task5_Data!B105</f>
        <v>rDRAM</v>
      </c>
      <c r="C105">
        <f>Task5_Data!C105</f>
        <v>55.62</v>
      </c>
      <c r="D105">
        <f>Task5_Data!D105</f>
        <v>7.0000000000000007E-2</v>
      </c>
      <c r="E105">
        <f t="shared" si="2"/>
        <v>55.58109323473569</v>
      </c>
      <c r="F105" t="str">
        <f t="shared" si="3"/>
        <v>$10 and above</v>
      </c>
    </row>
    <row r="106" spans="1:6">
      <c r="A106" t="str">
        <f>Task5_Data!A106</f>
        <v>GMT</v>
      </c>
      <c r="B106" t="str">
        <f>Task5_Data!B106</f>
        <v>GMT</v>
      </c>
      <c r="C106">
        <f>Task5_Data!C106</f>
        <v>7.4009999999999996E-3</v>
      </c>
      <c r="D106">
        <f>Task5_Data!D106</f>
        <v>1.07</v>
      </c>
      <c r="E106">
        <f t="shared" si="2"/>
        <v>7.3226476699317306E-3</v>
      </c>
      <c r="F106" t="str">
        <f t="shared" si="3"/>
        <v>Up to $10</v>
      </c>
    </row>
    <row r="107" spans="1:6">
      <c r="A107" t="str">
        <f>Task5_Data!A107</f>
        <v>Gnosis</v>
      </c>
      <c r="B107" t="str">
        <f>Task5_Data!B107</f>
        <v>GNO</v>
      </c>
      <c r="C107">
        <f>Task5_Data!C107</f>
        <v>124.1</v>
      </c>
      <c r="D107">
        <f>Task5_Data!D107</f>
        <v>0.45</v>
      </c>
      <c r="E107">
        <f t="shared" si="2"/>
        <v>123.54405176704829</v>
      </c>
      <c r="F107" t="str">
        <f t="shared" si="3"/>
        <v>$10 and above</v>
      </c>
    </row>
    <row r="108" spans="1:6">
      <c r="A108" t="str">
        <f>Task5_Data!A108</f>
        <v>Goldgr</v>
      </c>
      <c r="B108" t="str">
        <f>Task5_Data!B108</f>
        <v>GOLDGR</v>
      </c>
      <c r="C108">
        <f>Task5_Data!C108</f>
        <v>148.4</v>
      </c>
      <c r="D108">
        <f>Task5_Data!D108</f>
        <v>0</v>
      </c>
      <c r="E108">
        <f t="shared" si="2"/>
        <v>148.4</v>
      </c>
      <c r="F108" t="str">
        <f t="shared" si="3"/>
        <v>$10 and above</v>
      </c>
    </row>
    <row r="109" spans="1:6">
      <c r="A109" t="str">
        <f>Task5_Data!A109</f>
        <v>Gravity</v>
      </c>
      <c r="B109" t="str">
        <f>Task5_Data!B109</f>
        <v>G</v>
      </c>
      <c r="C109">
        <f>Task5_Data!C109</f>
        <v>3.9129999999999998E-3</v>
      </c>
      <c r="D109">
        <f>Task5_Data!D109</f>
        <v>0.5</v>
      </c>
      <c r="E109">
        <f t="shared" si="2"/>
        <v>3.893532338308458E-3</v>
      </c>
      <c r="F109" t="str">
        <f t="shared" si="3"/>
        <v>Up to $10</v>
      </c>
    </row>
    <row r="110" spans="1:6">
      <c r="A110" t="str">
        <f>Task5_Data!A110</f>
        <v>Grin</v>
      </c>
      <c r="B110" t="str">
        <f>Task5_Data!B110</f>
        <v>GRIN</v>
      </c>
      <c r="C110">
        <f>Task5_Data!C110</f>
        <v>1.306E-2</v>
      </c>
      <c r="D110">
        <f>Task5_Data!D110</f>
        <v>4.4000000000000004</v>
      </c>
      <c r="E110">
        <f t="shared" si="2"/>
        <v>1.2509578544061303E-2</v>
      </c>
      <c r="F110" t="str">
        <f t="shared" si="3"/>
        <v>Up to $10</v>
      </c>
    </row>
    <row r="111" spans="1:6">
      <c r="A111" t="str">
        <f>Task5_Data!A111</f>
        <v>Groestlcoin</v>
      </c>
      <c r="B111" t="str">
        <f>Task5_Data!B111</f>
        <v>GRS</v>
      </c>
      <c r="C111">
        <f>Task5_Data!C111</f>
        <v>9.1539999999999996E-2</v>
      </c>
      <c r="D111">
        <f>Task5_Data!D111</f>
        <v>0</v>
      </c>
      <c r="E111">
        <f t="shared" si="2"/>
        <v>9.1539999999999996E-2</v>
      </c>
      <c r="F111" t="str">
        <f t="shared" si="3"/>
        <v>Up to $10</v>
      </c>
    </row>
    <row r="112" spans="1:6">
      <c r="A112" t="str">
        <f>Task5_Data!A112</f>
        <v>GUNZ</v>
      </c>
      <c r="B112" t="str">
        <f>Task5_Data!B112</f>
        <v>GUN</v>
      </c>
      <c r="C112">
        <f>Task5_Data!C112</f>
        <v>3.2539999999999999E-3</v>
      </c>
      <c r="D112">
        <f>Task5_Data!D112</f>
        <v>0.55000000000000004</v>
      </c>
      <c r="E112">
        <f t="shared" si="2"/>
        <v>3.2362008950770757E-3</v>
      </c>
      <c r="F112" t="str">
        <f t="shared" si="3"/>
        <v>Up to $10</v>
      </c>
    </row>
    <row r="113" spans="1:6">
      <c r="A113" t="str">
        <f>Task5_Data!A113</f>
        <v>GYEN</v>
      </c>
      <c r="B113" t="str">
        <f>Task5_Data!B113</f>
        <v>GYEN</v>
      </c>
      <c r="C113">
        <f>Task5_Data!C113</f>
        <v>6.2030000000000002E-3</v>
      </c>
      <c r="D113">
        <f>Task5_Data!D113</f>
        <v>0.18</v>
      </c>
      <c r="E113">
        <f t="shared" si="2"/>
        <v>6.1918546616091035E-3</v>
      </c>
      <c r="F113" t="str">
        <f t="shared" si="3"/>
        <v>Up to $10</v>
      </c>
    </row>
    <row r="114" spans="1:6">
      <c r="A114" t="str">
        <f>Task5_Data!A114</f>
        <v>Heima</v>
      </c>
      <c r="B114" t="str">
        <f>Task5_Data!B114</f>
        <v>HEI</v>
      </c>
      <c r="C114">
        <f>Task5_Data!C114</f>
        <v>0.12770000000000001</v>
      </c>
      <c r="D114">
        <f>Task5_Data!D114</f>
        <v>0.64</v>
      </c>
      <c r="E114">
        <f t="shared" si="2"/>
        <v>0.12688791732909382</v>
      </c>
      <c r="F114" t="str">
        <f t="shared" si="3"/>
        <v>Up to $10</v>
      </c>
    </row>
    <row r="115" spans="1:6">
      <c r="A115" t="str">
        <f>Task5_Data!A115</f>
        <v>Hivemapper</v>
      </c>
      <c r="B115" t="str">
        <f>Task5_Data!B115</f>
        <v>HONEY</v>
      </c>
      <c r="C115">
        <f>Task5_Data!C115</f>
        <v>6.4800000000000003E-4</v>
      </c>
      <c r="D115">
        <f>Task5_Data!D115</f>
        <v>1.45</v>
      </c>
      <c r="E115">
        <f t="shared" si="2"/>
        <v>6.3873829472646635E-4</v>
      </c>
      <c r="F115" t="str">
        <f t="shared" si="3"/>
        <v>Up to $10</v>
      </c>
    </row>
    <row r="116" spans="1:6">
      <c r="A116" t="str">
        <f>Task5_Data!A116</f>
        <v>Hoppy (hoppy.vip)</v>
      </c>
      <c r="B116" t="str">
        <f>Task5_Data!B116</f>
        <v>HOPPY</v>
      </c>
      <c r="C116">
        <f>Task5_Data!C116</f>
        <v>5.3672999999999998E-2</v>
      </c>
      <c r="D116">
        <f>Task5_Data!D116</f>
        <v>0.15</v>
      </c>
      <c r="E116">
        <f t="shared" si="2"/>
        <v>5.359261108337493E-2</v>
      </c>
      <c r="F116" t="str">
        <f t="shared" si="3"/>
        <v>Up to $10</v>
      </c>
    </row>
    <row r="117" spans="1:6">
      <c r="A117" t="str">
        <f>Task5_Data!A117</f>
        <v>HOPR</v>
      </c>
      <c r="B117" t="str">
        <f>Task5_Data!B117</f>
        <v>HOPR</v>
      </c>
      <c r="C117">
        <f>Task5_Data!C117</f>
        <v>1.1690000000000001E-2</v>
      </c>
      <c r="D117">
        <f>Task5_Data!D117</f>
        <v>0</v>
      </c>
      <c r="E117">
        <f t="shared" si="2"/>
        <v>1.1690000000000001E-2</v>
      </c>
      <c r="F117" t="str">
        <f t="shared" si="3"/>
        <v>Up to $10</v>
      </c>
    </row>
    <row r="118" spans="1:6">
      <c r="A118" t="str">
        <f>Task5_Data!A118</f>
        <v>HTX</v>
      </c>
      <c r="B118" t="str">
        <f>Task5_Data!B118</f>
        <v>HTX</v>
      </c>
      <c r="C118">
        <f>Task5_Data!C118</f>
        <v>5.1766E-2</v>
      </c>
      <c r="D118">
        <f>Task5_Data!D118</f>
        <v>0.03</v>
      </c>
      <c r="E118">
        <f t="shared" si="2"/>
        <v>5.1750474857542736E-2</v>
      </c>
      <c r="F118" t="str">
        <f t="shared" si="3"/>
        <v>Up to $10</v>
      </c>
    </row>
    <row r="119" spans="1:6">
      <c r="A119" t="str">
        <f>Task5_Data!A119</f>
        <v>Hyperliquid</v>
      </c>
      <c r="B119" t="str">
        <f>Task5_Data!B119</f>
        <v>HYPE</v>
      </c>
      <c r="C119">
        <f>Task5_Data!C119</f>
        <v>80.900000000000006</v>
      </c>
      <c r="D119">
        <f>Task5_Data!D119</f>
        <v>0.26</v>
      </c>
      <c r="E119">
        <f t="shared" si="2"/>
        <v>80.690205465788964</v>
      </c>
      <c r="F119" t="str">
        <f t="shared" si="3"/>
        <v>$10 and above</v>
      </c>
    </row>
    <row r="120" spans="1:6">
      <c r="A120" t="str">
        <f>Task5_Data!A120</f>
        <v>iMe Lab</v>
      </c>
      <c r="B120" t="str">
        <f>Task5_Data!B120</f>
        <v>LIME</v>
      </c>
      <c r="C120">
        <f>Task5_Data!C120</f>
        <v>2.0300000000000001E-3</v>
      </c>
      <c r="D120">
        <f>Task5_Data!D120</f>
        <v>0.02</v>
      </c>
      <c r="E120">
        <f t="shared" si="2"/>
        <v>2.0295940811837633E-3</v>
      </c>
      <c r="F120" t="str">
        <f t="shared" si="3"/>
        <v>Up to $10</v>
      </c>
    </row>
    <row r="121" spans="1:6">
      <c r="A121" t="str">
        <f>Task5_Data!A121</f>
        <v>Immunefi</v>
      </c>
      <c r="B121" t="str">
        <f>Task5_Data!B121</f>
        <v>IMU</v>
      </c>
      <c r="C121">
        <f>Task5_Data!C121</f>
        <v>2.3149999999999998E-3</v>
      </c>
      <c r="D121">
        <f>Task5_Data!D121</f>
        <v>1.89</v>
      </c>
      <c r="E121">
        <f t="shared" si="2"/>
        <v>2.2720581018745704E-3</v>
      </c>
      <c r="F121" t="str">
        <f t="shared" si="3"/>
        <v>Up to $10</v>
      </c>
    </row>
    <row r="122" spans="1:6">
      <c r="A122" t="str">
        <f>Task5_Data!A122</f>
        <v>Immutable</v>
      </c>
      <c r="B122" t="str">
        <f>Task5_Data!B122</f>
        <v>IMX</v>
      </c>
      <c r="C122">
        <f>Task5_Data!C122</f>
        <v>0.1331</v>
      </c>
      <c r="D122">
        <f>Task5_Data!D122</f>
        <v>1.1299999999999999</v>
      </c>
      <c r="E122">
        <f t="shared" si="2"/>
        <v>0.13161277563532087</v>
      </c>
      <c r="F122" t="str">
        <f t="shared" si="3"/>
        <v>Up to $10</v>
      </c>
    </row>
    <row r="123" spans="1:6">
      <c r="A123" t="str">
        <f>Task5_Data!A123</f>
        <v>Infinex</v>
      </c>
      <c r="B123" t="str">
        <f>Task5_Data!B123</f>
        <v>INX</v>
      </c>
      <c r="C123">
        <f>Task5_Data!C123</f>
        <v>6.62E-3</v>
      </c>
      <c r="D123">
        <f>Task5_Data!D123</f>
        <v>0.24</v>
      </c>
      <c r="E123">
        <f t="shared" si="2"/>
        <v>6.6041500399042306E-3</v>
      </c>
      <c r="F123" t="str">
        <f t="shared" si="3"/>
        <v>Up to $10</v>
      </c>
    </row>
    <row r="124" spans="1:6">
      <c r="A124" t="str">
        <f>Task5_Data!A124</f>
        <v>inSure DeFi</v>
      </c>
      <c r="B124" t="str">
        <f>Task5_Data!B124</f>
        <v>SURE</v>
      </c>
      <c r="C124">
        <f>Task5_Data!C124</f>
        <v>3.0630000000000002E-4</v>
      </c>
      <c r="D124">
        <f>Task5_Data!D124</f>
        <v>1.79</v>
      </c>
      <c r="E124">
        <f t="shared" si="2"/>
        <v>3.0091364574123195E-4</v>
      </c>
      <c r="F124" t="str">
        <f t="shared" si="3"/>
        <v>Up to $10</v>
      </c>
    </row>
    <row r="125" spans="1:6">
      <c r="A125" t="str">
        <f>Task5_Data!A125</f>
        <v>Intel Tokenized Stock (Reality)</v>
      </c>
      <c r="B125" t="str">
        <f>Task5_Data!B125</f>
        <v>rINTC</v>
      </c>
      <c r="C125">
        <f>Task5_Data!C125</f>
        <v>89.53</v>
      </c>
      <c r="D125">
        <f>Task5_Data!D125</f>
        <v>0.75</v>
      </c>
      <c r="E125">
        <f t="shared" si="2"/>
        <v>88.863523573200993</v>
      </c>
      <c r="F125" t="str">
        <f t="shared" si="3"/>
        <v>$10 and above</v>
      </c>
    </row>
    <row r="126" spans="1:6">
      <c r="A126" t="str">
        <f>Task5_Data!A126</f>
        <v>Invesco QQQ Tokenized ETF (Robinhood)</v>
      </c>
      <c r="B126" t="str">
        <f>Task5_Data!B126</f>
        <v>QQQ</v>
      </c>
      <c r="C126">
        <f>Task5_Data!C126</f>
        <v>710.69</v>
      </c>
      <c r="D126">
        <f>Task5_Data!D126</f>
        <v>0.16</v>
      </c>
      <c r="E126">
        <f t="shared" si="2"/>
        <v>709.55471246006391</v>
      </c>
      <c r="F126" t="str">
        <f t="shared" si="3"/>
        <v>$10 and above</v>
      </c>
    </row>
    <row r="127" spans="1:6">
      <c r="A127" t="str">
        <f>Task5_Data!A127</f>
        <v>iota</v>
      </c>
      <c r="B127" t="str">
        <f>Task5_Data!B127</f>
        <v>SN9</v>
      </c>
      <c r="C127">
        <f>Task5_Data!C127</f>
        <v>7.61</v>
      </c>
      <c r="D127">
        <f>Task5_Data!D127</f>
        <v>0.7</v>
      </c>
      <c r="E127">
        <f t="shared" si="2"/>
        <v>7.5571002979145989</v>
      </c>
      <c r="F127" t="str">
        <f t="shared" si="3"/>
        <v>Up to $10</v>
      </c>
    </row>
    <row r="128" spans="1:6">
      <c r="A128" t="str">
        <f>Task5_Data!A128</f>
        <v>IREN Limited Tokenized bStocks</v>
      </c>
      <c r="B128" t="str">
        <f>Task5_Data!B128</f>
        <v>IRENB</v>
      </c>
      <c r="C128">
        <f>Task5_Data!C128</f>
        <v>40.44</v>
      </c>
      <c r="D128">
        <f>Task5_Data!D128</f>
        <v>0.21</v>
      </c>
      <c r="E128">
        <f t="shared" si="2"/>
        <v>40.355253966669991</v>
      </c>
      <c r="F128" t="str">
        <f t="shared" si="3"/>
        <v>$10 and above</v>
      </c>
    </row>
    <row r="129" spans="1:6">
      <c r="A129" t="str">
        <f>Task5_Data!A129</f>
        <v>iShares Core S&amp;P MidCap Tokenized ETF (Ondo)</v>
      </c>
      <c r="B129" t="str">
        <f>Task5_Data!B129</f>
        <v>IJHon</v>
      </c>
      <c r="C129">
        <f>Task5_Data!C129</f>
        <v>77.069999999999993</v>
      </c>
      <c r="D129">
        <f>Task5_Data!D129</f>
        <v>0.01</v>
      </c>
      <c r="E129">
        <f t="shared" si="2"/>
        <v>77.062293770622929</v>
      </c>
      <c r="F129" t="str">
        <f t="shared" si="3"/>
        <v>$10 and above</v>
      </c>
    </row>
    <row r="130" spans="1:6">
      <c r="A130" t="str">
        <f>Task5_Data!A130</f>
        <v>Isiklar Coin</v>
      </c>
      <c r="B130" t="str">
        <f>Task5_Data!B130</f>
        <v>ISIKC</v>
      </c>
      <c r="C130">
        <f>Task5_Data!C130</f>
        <v>0.22869999999999999</v>
      </c>
      <c r="D130">
        <f>Task5_Data!D130</f>
        <v>0.05</v>
      </c>
      <c r="E130">
        <f t="shared" si="2"/>
        <v>0.22858570714642679</v>
      </c>
      <c r="F130" t="str">
        <f t="shared" si="3"/>
        <v>Up to $10</v>
      </c>
    </row>
    <row r="131" spans="1:6">
      <c r="A131" t="str">
        <f>Task5_Data!A131</f>
        <v>Jimothy The Raccoon</v>
      </c>
      <c r="B131" t="str">
        <f>Task5_Data!B131</f>
        <v>JIMOTHY</v>
      </c>
      <c r="C131">
        <f>Task5_Data!C131</f>
        <v>1.7440000000000001E-2</v>
      </c>
      <c r="D131">
        <f>Task5_Data!D131</f>
        <v>30.91</v>
      </c>
      <c r="E131">
        <f t="shared" ref="E131:E194" si="4">C131/(1+D131/100)</f>
        <v>1.3322129707432588E-2</v>
      </c>
      <c r="F131" t="str">
        <f t="shared" ref="F131:F194" si="5">IF(C131&lt;10,"Up to $10","$10 and above")</f>
        <v>Up to $10</v>
      </c>
    </row>
    <row r="132" spans="1:6">
      <c r="A132" t="str">
        <f>Task5_Data!A132</f>
        <v>Jito</v>
      </c>
      <c r="B132" t="str">
        <f>Task5_Data!B132</f>
        <v>JTO</v>
      </c>
      <c r="C132">
        <f>Task5_Data!C132</f>
        <v>0.57689999999999997</v>
      </c>
      <c r="D132">
        <f>Task5_Data!D132</f>
        <v>1.85</v>
      </c>
      <c r="E132">
        <f t="shared" si="4"/>
        <v>0.56642120765832105</v>
      </c>
      <c r="F132" t="str">
        <f t="shared" si="5"/>
        <v>Up to $10</v>
      </c>
    </row>
    <row r="133" spans="1:6">
      <c r="A133" t="str">
        <f>Task5_Data!A133</f>
        <v>Jupiter Perps LP</v>
      </c>
      <c r="B133" t="str">
        <f>Task5_Data!B133</f>
        <v>JLP</v>
      </c>
      <c r="C133">
        <f>Task5_Data!C133</f>
        <v>4.41</v>
      </c>
      <c r="D133">
        <f>Task5_Data!D133</f>
        <v>0.31</v>
      </c>
      <c r="E133">
        <f t="shared" si="4"/>
        <v>4.3963712491277036</v>
      </c>
      <c r="F133" t="str">
        <f t="shared" si="5"/>
        <v>Up to $10</v>
      </c>
    </row>
    <row r="134" spans="1:6">
      <c r="A134" t="str">
        <f>Task5_Data!A134</f>
        <v>Juventus Fan Token</v>
      </c>
      <c r="B134" t="str">
        <f>Task5_Data!B134</f>
        <v>JUV</v>
      </c>
      <c r="C134">
        <f>Task5_Data!C134</f>
        <v>0.32829999999999998</v>
      </c>
      <c r="D134">
        <f>Task5_Data!D134</f>
        <v>0.02</v>
      </c>
      <c r="E134">
        <f t="shared" si="4"/>
        <v>0.3282343531293741</v>
      </c>
      <c r="F134" t="str">
        <f t="shared" si="5"/>
        <v>Up to $10</v>
      </c>
    </row>
    <row r="135" spans="1:6">
      <c r="A135" t="str">
        <f>Task5_Data!A135</f>
        <v>Keeta</v>
      </c>
      <c r="B135" t="str">
        <f>Task5_Data!B135</f>
        <v>KTA</v>
      </c>
      <c r="C135">
        <f>Task5_Data!C135</f>
        <v>7.2410000000000002E-2</v>
      </c>
      <c r="D135">
        <f>Task5_Data!D135</f>
        <v>0.34</v>
      </c>
      <c r="E135">
        <f t="shared" si="4"/>
        <v>7.2164640223240983E-2</v>
      </c>
      <c r="F135" t="str">
        <f t="shared" si="5"/>
        <v>Up to $10</v>
      </c>
    </row>
    <row r="136" spans="1:6">
      <c r="A136" t="str">
        <f>Task5_Data!A136</f>
        <v>Kryll</v>
      </c>
      <c r="B136" t="str">
        <f>Task5_Data!B136</f>
        <v>KRL</v>
      </c>
      <c r="C136">
        <f>Task5_Data!C136</f>
        <v>0.1288</v>
      </c>
      <c r="D136">
        <f>Task5_Data!D136</f>
        <v>0</v>
      </c>
      <c r="E136">
        <f t="shared" si="4"/>
        <v>0.1288</v>
      </c>
      <c r="F136" t="str">
        <f t="shared" si="5"/>
        <v>Up to $10</v>
      </c>
    </row>
    <row r="137" spans="1:6">
      <c r="A137" t="str">
        <f>Task5_Data!A137</f>
        <v>League of Traders</v>
      </c>
      <c r="B137" t="str">
        <f>Task5_Data!B137</f>
        <v>LOT</v>
      </c>
      <c r="C137">
        <f>Task5_Data!C137</f>
        <v>6.411E-3</v>
      </c>
      <c r="D137">
        <f>Task5_Data!D137</f>
        <v>0.25</v>
      </c>
      <c r="E137">
        <f t="shared" si="4"/>
        <v>6.3950124688279307E-3</v>
      </c>
      <c r="F137" t="str">
        <f t="shared" si="5"/>
        <v>Up to $10</v>
      </c>
    </row>
    <row r="138" spans="1:6">
      <c r="A138" t="str">
        <f>Task5_Data!A138</f>
        <v>Lido DAO</v>
      </c>
      <c r="B138" t="str">
        <f>Task5_Data!B138</f>
        <v>LDO</v>
      </c>
      <c r="C138">
        <f>Task5_Data!C138</f>
        <v>0.37619999999999998</v>
      </c>
      <c r="D138">
        <f>Task5_Data!D138</f>
        <v>1.66</v>
      </c>
      <c r="E138">
        <f t="shared" si="4"/>
        <v>0.37005705292150304</v>
      </c>
      <c r="F138" t="str">
        <f t="shared" si="5"/>
        <v>Up to $10</v>
      </c>
    </row>
    <row r="139" spans="1:6">
      <c r="A139" t="str">
        <f>Task5_Data!A139</f>
        <v>Limitless</v>
      </c>
      <c r="B139" t="str">
        <f>Task5_Data!B139</f>
        <v>LMTS</v>
      </c>
      <c r="C139">
        <f>Task5_Data!C139</f>
        <v>8.0329999999999999E-2</v>
      </c>
      <c r="D139">
        <f>Task5_Data!D139</f>
        <v>1.05</v>
      </c>
      <c r="E139">
        <f t="shared" si="4"/>
        <v>7.949529935675409E-2</v>
      </c>
      <c r="F139" t="str">
        <f t="shared" si="5"/>
        <v>Up to $10</v>
      </c>
    </row>
    <row r="140" spans="1:6">
      <c r="A140" t="str">
        <f>Task5_Data!A140</f>
        <v>Lingo</v>
      </c>
      <c r="B140" t="str">
        <f>Task5_Data!B140</f>
        <v>LINGO</v>
      </c>
      <c r="C140">
        <f>Task5_Data!C140</f>
        <v>1.055E-2</v>
      </c>
      <c r="D140">
        <f>Task5_Data!D140</f>
        <v>0.06</v>
      </c>
      <c r="E140">
        <f t="shared" si="4"/>
        <v>1.0543673795722568E-2</v>
      </c>
      <c r="F140" t="str">
        <f t="shared" si="5"/>
        <v>Up to $10</v>
      </c>
    </row>
    <row r="141" spans="1:6">
      <c r="A141" t="str">
        <f>Task5_Data!A141</f>
        <v>Lista DAO</v>
      </c>
      <c r="B141" t="str">
        <f>Task5_Data!B141</f>
        <v>LISTA</v>
      </c>
      <c r="C141">
        <f>Task5_Data!C141</f>
        <v>6.93E-2</v>
      </c>
      <c r="D141">
        <f>Task5_Data!D141</f>
        <v>0.8</v>
      </c>
      <c r="E141">
        <f t="shared" si="4"/>
        <v>6.8750000000000006E-2</v>
      </c>
      <c r="F141" t="str">
        <f t="shared" si="5"/>
        <v>Up to $10</v>
      </c>
    </row>
    <row r="142" spans="1:6">
      <c r="A142" t="str">
        <f>Task5_Data!A142</f>
        <v>Locus Chain</v>
      </c>
      <c r="B142" t="str">
        <f>Task5_Data!B142</f>
        <v>LOCUS</v>
      </c>
      <c r="C142">
        <f>Task5_Data!C142</f>
        <v>7.718E-3</v>
      </c>
      <c r="D142">
        <f>Task5_Data!D142</f>
        <v>0.75</v>
      </c>
      <c r="E142">
        <f t="shared" si="4"/>
        <v>7.6605459057071954E-3</v>
      </c>
      <c r="F142" t="str">
        <f t="shared" si="5"/>
        <v>Up to $10</v>
      </c>
    </row>
    <row r="143" spans="1:6">
      <c r="A143" t="str">
        <f>Task5_Data!A143</f>
        <v>Lombard</v>
      </c>
      <c r="B143" t="str">
        <f>Task5_Data!B143</f>
        <v>BARD</v>
      </c>
      <c r="C143">
        <f>Task5_Data!C143</f>
        <v>0.1208</v>
      </c>
      <c r="D143">
        <f>Task5_Data!D143</f>
        <v>1.19</v>
      </c>
      <c r="E143">
        <f t="shared" si="4"/>
        <v>0.11937938531475442</v>
      </c>
      <c r="F143" t="str">
        <f t="shared" si="5"/>
        <v>Up to $10</v>
      </c>
    </row>
    <row r="144" spans="1:6">
      <c r="A144" t="str">
        <f>Task5_Data!A144</f>
        <v>LUSD</v>
      </c>
      <c r="B144" t="str">
        <f>Task5_Data!B144</f>
        <v>LUSD</v>
      </c>
      <c r="C144">
        <f>Task5_Data!C144</f>
        <v>0.99960000000000004</v>
      </c>
      <c r="D144">
        <f>Task5_Data!D144</f>
        <v>0.01</v>
      </c>
      <c r="E144">
        <f t="shared" si="4"/>
        <v>0.99950004999500053</v>
      </c>
      <c r="F144" t="str">
        <f t="shared" si="5"/>
        <v>Up to $10</v>
      </c>
    </row>
    <row r="145" spans="1:6">
      <c r="A145" t="str">
        <f>Task5_Data!A145</f>
        <v>MAGIC•INTERNET•MONEY (Bitcoin)</v>
      </c>
      <c r="B145" t="str">
        <f>Task5_Data!B145</f>
        <v>MIM</v>
      </c>
      <c r="C145">
        <f>Task5_Data!C145</f>
        <v>4.9010000000000004E-4</v>
      </c>
      <c r="D145">
        <f>Task5_Data!D145</f>
        <v>8.0399999999999991</v>
      </c>
      <c r="E145">
        <f t="shared" si="4"/>
        <v>4.5362828582006664E-4</v>
      </c>
      <c r="F145" t="str">
        <f t="shared" si="5"/>
        <v>Up to $10</v>
      </c>
    </row>
    <row r="146" spans="1:6">
      <c r="A146" t="str">
        <f>Task5_Data!A146</f>
        <v>Magma Finance</v>
      </c>
      <c r="B146" t="str">
        <f>Task5_Data!B146</f>
        <v>MAGMA</v>
      </c>
      <c r="C146">
        <f>Task5_Data!C146</f>
        <v>0.22650000000000001</v>
      </c>
      <c r="D146">
        <f>Task5_Data!D146</f>
        <v>0.91</v>
      </c>
      <c r="E146">
        <f t="shared" si="4"/>
        <v>0.22445743732038448</v>
      </c>
      <c r="F146" t="str">
        <f t="shared" si="5"/>
        <v>Up to $10</v>
      </c>
    </row>
    <row r="147" spans="1:6">
      <c r="A147" t="str">
        <f>Task5_Data!A147</f>
        <v>Manchester City Fan Token</v>
      </c>
      <c r="B147" t="str">
        <f>Task5_Data!B147</f>
        <v>CITY</v>
      </c>
      <c r="C147">
        <f>Task5_Data!C147</f>
        <v>0.372</v>
      </c>
      <c r="D147">
        <f>Task5_Data!D147</f>
        <v>0.08</v>
      </c>
      <c r="E147">
        <f t="shared" si="4"/>
        <v>0.37170263788968827</v>
      </c>
      <c r="F147" t="str">
        <f t="shared" si="5"/>
        <v>Up to $10</v>
      </c>
    </row>
    <row r="148" spans="1:6">
      <c r="A148" t="str">
        <f>Task5_Data!A148</f>
        <v>Mansory</v>
      </c>
      <c r="B148" t="str">
        <f>Task5_Data!B148</f>
        <v>MNSRY</v>
      </c>
      <c r="C148">
        <f>Task5_Data!C148</f>
        <v>7.26E-3</v>
      </c>
      <c r="D148">
        <f>Task5_Data!D148</f>
        <v>0.33</v>
      </c>
      <c r="E148">
        <f t="shared" si="4"/>
        <v>7.2361208013555257E-3</v>
      </c>
      <c r="F148" t="str">
        <f t="shared" si="5"/>
        <v>Up to $10</v>
      </c>
    </row>
    <row r="149" spans="1:6">
      <c r="A149" t="str">
        <f>Task5_Data!A149</f>
        <v>MARBLEX</v>
      </c>
      <c r="B149" t="str">
        <f>Task5_Data!B149</f>
        <v>MBX</v>
      </c>
      <c r="C149">
        <f>Task5_Data!C149</f>
        <v>2.3040000000000001E-2</v>
      </c>
      <c r="D149">
        <f>Task5_Data!D149</f>
        <v>0.09</v>
      </c>
      <c r="E149">
        <f t="shared" si="4"/>
        <v>2.3019282645618946E-2</v>
      </c>
      <c r="F149" t="str">
        <f t="shared" si="5"/>
        <v>Up to $10</v>
      </c>
    </row>
    <row r="150" spans="1:6">
      <c r="A150" t="str">
        <f>Task5_Data!A150</f>
        <v>Mask Network</v>
      </c>
      <c r="B150" t="str">
        <f>Task5_Data!B150</f>
        <v>MASK</v>
      </c>
      <c r="C150">
        <f>Task5_Data!C150</f>
        <v>0.43259999999999998</v>
      </c>
      <c r="D150">
        <f>Task5_Data!D150</f>
        <v>0.21</v>
      </c>
      <c r="E150">
        <f t="shared" si="4"/>
        <v>0.43169344376808699</v>
      </c>
      <c r="F150" t="str">
        <f t="shared" si="5"/>
        <v>Up to $10</v>
      </c>
    </row>
    <row r="151" spans="1:6">
      <c r="A151" t="str">
        <f>Task5_Data!A151</f>
        <v>MAX Exchange Token</v>
      </c>
      <c r="B151" t="str">
        <f>Task5_Data!B151</f>
        <v>MAX</v>
      </c>
      <c r="C151">
        <f>Task5_Data!C151</f>
        <v>0.26550000000000001</v>
      </c>
      <c r="D151">
        <f>Task5_Data!D151</f>
        <v>0.02</v>
      </c>
      <c r="E151">
        <f t="shared" si="4"/>
        <v>0.26544691061787645</v>
      </c>
      <c r="F151" t="str">
        <f t="shared" si="5"/>
        <v>Up to $10</v>
      </c>
    </row>
    <row r="152" spans="1:6">
      <c r="A152" t="str">
        <f>Task5_Data!A152</f>
        <v>McDull</v>
      </c>
      <c r="B152" t="str">
        <f>Task5_Data!B152</f>
        <v>MCDULL</v>
      </c>
      <c r="C152">
        <f>Task5_Data!C152</f>
        <v>6.8585999999999994E-2</v>
      </c>
      <c r="D152">
        <f>Task5_Data!D152</f>
        <v>0</v>
      </c>
      <c r="E152">
        <f t="shared" si="4"/>
        <v>6.8585999999999994E-2</v>
      </c>
      <c r="F152" t="str">
        <f t="shared" si="5"/>
        <v>Up to $10</v>
      </c>
    </row>
    <row r="153" spans="1:6">
      <c r="A153" t="str">
        <f>Task5_Data!A153</f>
        <v>Measurable Data Token</v>
      </c>
      <c r="B153" t="str">
        <f>Task5_Data!B153</f>
        <v>MDT</v>
      </c>
      <c r="C153">
        <f>Task5_Data!C153</f>
        <v>7.5779999999999997E-3</v>
      </c>
      <c r="D153">
        <f>Task5_Data!D153</f>
        <v>19.54</v>
      </c>
      <c r="E153">
        <f t="shared" si="4"/>
        <v>6.3393006525012544E-3</v>
      </c>
      <c r="F153" t="str">
        <f t="shared" si="5"/>
        <v>Up to $10</v>
      </c>
    </row>
    <row r="154" spans="1:6">
      <c r="A154" t="str">
        <f>Task5_Data!A154</f>
        <v>Meta tokenized stock (xStock)</v>
      </c>
      <c r="B154" t="str">
        <f>Task5_Data!B154</f>
        <v>METAX</v>
      </c>
      <c r="C154">
        <f>Task5_Data!C154</f>
        <v>562.74</v>
      </c>
      <c r="D154">
        <f>Task5_Data!D154</f>
        <v>0.04</v>
      </c>
      <c r="E154">
        <f t="shared" si="4"/>
        <v>562.51499400239902</v>
      </c>
      <c r="F154" t="str">
        <f t="shared" si="5"/>
        <v>$10 and above</v>
      </c>
    </row>
    <row r="155" spans="1:6">
      <c r="A155" t="str">
        <f>Task5_Data!A155</f>
        <v>MetFi</v>
      </c>
      <c r="B155" t="str">
        <f>Task5_Data!B155</f>
        <v>METFI</v>
      </c>
      <c r="C155">
        <f>Task5_Data!C155</f>
        <v>1.1809999999999999E-2</v>
      </c>
      <c r="D155">
        <f>Task5_Data!D155</f>
        <v>0.05</v>
      </c>
      <c r="E155">
        <f t="shared" si="4"/>
        <v>1.1804097951024488E-2</v>
      </c>
      <c r="F155" t="str">
        <f t="shared" si="5"/>
        <v>Up to $10</v>
      </c>
    </row>
    <row r="156" spans="1:6">
      <c r="A156" t="str">
        <f>Task5_Data!A156</f>
        <v>Metis</v>
      </c>
      <c r="B156" t="str">
        <f>Task5_Data!B156</f>
        <v>METIS</v>
      </c>
      <c r="C156">
        <f>Task5_Data!C156</f>
        <v>2.84</v>
      </c>
      <c r="D156">
        <f>Task5_Data!D156</f>
        <v>0.34</v>
      </c>
      <c r="E156">
        <f t="shared" si="4"/>
        <v>2.8303767191548732</v>
      </c>
      <c r="F156" t="str">
        <f t="shared" si="5"/>
        <v>Up to $10</v>
      </c>
    </row>
    <row r="157" spans="1:6">
      <c r="A157" t="str">
        <f>Task5_Data!A157</f>
        <v>Mey Network</v>
      </c>
      <c r="B157" t="str">
        <f>Task5_Data!B157</f>
        <v>MEY</v>
      </c>
      <c r="C157">
        <f>Task5_Data!C157</f>
        <v>4.6640000000000001E-2</v>
      </c>
      <c r="D157">
        <f>Task5_Data!D157</f>
        <v>0.05</v>
      </c>
      <c r="E157">
        <f t="shared" si="4"/>
        <v>4.6616691654172919E-2</v>
      </c>
      <c r="F157" t="str">
        <f t="shared" si="5"/>
        <v>Up to $10</v>
      </c>
    </row>
    <row r="158" spans="1:6">
      <c r="A158" t="str">
        <f>Task5_Data!A158</f>
        <v>Micron Technology Inc tokenized stock (Backpack)</v>
      </c>
      <c r="B158" t="str">
        <f>Task5_Data!B158</f>
        <v>MU</v>
      </c>
      <c r="C158">
        <f>Task5_Data!C158</f>
        <v>926.42</v>
      </c>
      <c r="D158">
        <f>Task5_Data!D158</f>
        <v>0.37</v>
      </c>
      <c r="E158">
        <f t="shared" si="4"/>
        <v>923.00488193683361</v>
      </c>
      <c r="F158" t="str">
        <f t="shared" si="5"/>
        <v>$10 and above</v>
      </c>
    </row>
    <row r="159" spans="1:6">
      <c r="A159" t="str">
        <f>Task5_Data!A159</f>
        <v>Mitosis</v>
      </c>
      <c r="B159" t="str">
        <f>Task5_Data!B159</f>
        <v>MITO</v>
      </c>
      <c r="C159">
        <f>Task5_Data!C159</f>
        <v>2.809E-2</v>
      </c>
      <c r="D159">
        <f>Task5_Data!D159</f>
        <v>0.51</v>
      </c>
      <c r="E159">
        <f t="shared" si="4"/>
        <v>2.7947467913640431E-2</v>
      </c>
      <c r="F159" t="str">
        <f t="shared" si="5"/>
        <v>Up to $10</v>
      </c>
    </row>
    <row r="160" spans="1:6">
      <c r="A160" t="str">
        <f>Task5_Data!A160</f>
        <v>Monero</v>
      </c>
      <c r="B160" t="str">
        <f>Task5_Data!B160</f>
        <v>XMR</v>
      </c>
      <c r="C160">
        <f>Task5_Data!C160</f>
        <v>445.16</v>
      </c>
      <c r="D160">
        <f>Task5_Data!D160</f>
        <v>1.21</v>
      </c>
      <c r="E160">
        <f t="shared" si="4"/>
        <v>439.83796067582256</v>
      </c>
      <c r="F160" t="str">
        <f t="shared" si="5"/>
        <v>$10 and above</v>
      </c>
    </row>
    <row r="161" spans="1:6">
      <c r="A161" t="str">
        <f>Task5_Data!A161</f>
        <v>Morpheus.Network</v>
      </c>
      <c r="B161" t="str">
        <f>Task5_Data!B161</f>
        <v>MNW</v>
      </c>
      <c r="C161">
        <f>Task5_Data!C161</f>
        <v>2.1530000000000001E-2</v>
      </c>
      <c r="D161">
        <f>Task5_Data!D161</f>
        <v>0.9</v>
      </c>
      <c r="E161">
        <f t="shared" si="4"/>
        <v>2.1337958374628346E-2</v>
      </c>
      <c r="F161" t="str">
        <f t="shared" si="5"/>
        <v>Up to $10</v>
      </c>
    </row>
    <row r="162" spans="1:6">
      <c r="A162" t="str">
        <f>Task5_Data!A162</f>
        <v>MovieBloc</v>
      </c>
      <c r="B162" t="str">
        <f>Task5_Data!B162</f>
        <v>MBL</v>
      </c>
      <c r="C162">
        <f>Task5_Data!C162</f>
        <v>6.5919999999999998E-4</v>
      </c>
      <c r="D162">
        <f>Task5_Data!D162</f>
        <v>0.9</v>
      </c>
      <c r="E162">
        <f t="shared" si="4"/>
        <v>6.5332011892963338E-4</v>
      </c>
      <c r="F162" t="str">
        <f t="shared" si="5"/>
        <v>Up to $10</v>
      </c>
    </row>
    <row r="163" spans="1:6">
      <c r="A163" t="str">
        <f>Task5_Data!A163</f>
        <v>Mythos</v>
      </c>
      <c r="B163" t="str">
        <f>Task5_Data!B163</f>
        <v>MYTH</v>
      </c>
      <c r="C163">
        <f>Task5_Data!C163</f>
        <v>2.7899999999999999E-3</v>
      </c>
      <c r="D163">
        <f>Task5_Data!D163</f>
        <v>0.01</v>
      </c>
      <c r="E163">
        <f t="shared" si="4"/>
        <v>2.7897210278972104E-3</v>
      </c>
      <c r="F163" t="str">
        <f t="shared" si="5"/>
        <v>Up to $10</v>
      </c>
    </row>
    <row r="164" spans="1:6">
      <c r="A164" t="str">
        <f>Task5_Data!A164</f>
        <v>Namecoin</v>
      </c>
      <c r="B164" t="str">
        <f>Task5_Data!B164</f>
        <v>NMC</v>
      </c>
      <c r="C164">
        <f>Task5_Data!C164</f>
        <v>1.1599999999999999</v>
      </c>
      <c r="D164">
        <f>Task5_Data!D164</f>
        <v>0.21</v>
      </c>
      <c r="E164">
        <f t="shared" si="4"/>
        <v>1.1575691048797525</v>
      </c>
      <c r="F164" t="str">
        <f t="shared" si="5"/>
        <v>Up to $10</v>
      </c>
    </row>
    <row r="165" spans="1:6">
      <c r="A165" t="str">
        <f>Task5_Data!A165</f>
        <v>NaoX Protocol</v>
      </c>
      <c r="B165" t="str">
        <f>Task5_Data!B165</f>
        <v>NAORIS</v>
      </c>
      <c r="C165">
        <f>Task5_Data!C165</f>
        <v>2.8680000000000001E-2</v>
      </c>
      <c r="D165">
        <f>Task5_Data!D165</f>
        <v>0.13</v>
      </c>
      <c r="E165">
        <f t="shared" si="4"/>
        <v>2.8642764406271844E-2</v>
      </c>
      <c r="F165" t="str">
        <f t="shared" si="5"/>
        <v>Up to $10</v>
      </c>
    </row>
    <row r="166" spans="1:6">
      <c r="A166" t="str">
        <f>Task5_Data!A166</f>
        <v>NAVI Protocol</v>
      </c>
      <c r="B166" t="str">
        <f>Task5_Data!B166</f>
        <v>NAVX</v>
      </c>
      <c r="C166">
        <f>Task5_Data!C166</f>
        <v>7.7980000000000002E-3</v>
      </c>
      <c r="D166">
        <f>Task5_Data!D166</f>
        <v>1.0900000000000001</v>
      </c>
      <c r="E166">
        <f t="shared" si="4"/>
        <v>7.7139182906321106E-3</v>
      </c>
      <c r="F166" t="str">
        <f t="shared" si="5"/>
        <v>Up to $10</v>
      </c>
    </row>
    <row r="167" spans="1:6">
      <c r="A167" t="str">
        <f>Task5_Data!A167</f>
        <v>Nebius Tokenized bStocks</v>
      </c>
      <c r="B167" t="str">
        <f>Task5_Data!B167</f>
        <v>NBISB</v>
      </c>
      <c r="C167">
        <f>Task5_Data!C167</f>
        <v>216.99</v>
      </c>
      <c r="D167">
        <f>Task5_Data!D167</f>
        <v>0.22</v>
      </c>
      <c r="E167">
        <f t="shared" si="4"/>
        <v>216.51366992616246</v>
      </c>
      <c r="F167" t="str">
        <f t="shared" si="5"/>
        <v>$10 and above</v>
      </c>
    </row>
    <row r="168" spans="1:6">
      <c r="A168" t="str">
        <f>Task5_Data!A168</f>
        <v>NetMind Token</v>
      </c>
      <c r="B168" t="str">
        <f>Task5_Data!B168</f>
        <v>NMT</v>
      </c>
      <c r="C168">
        <f>Task5_Data!C168</f>
        <v>4.6309999999999997E-2</v>
      </c>
      <c r="D168">
        <f>Task5_Data!D168</f>
        <v>0.14000000000000001</v>
      </c>
      <c r="E168">
        <f t="shared" si="4"/>
        <v>4.624525664070301E-2</v>
      </c>
      <c r="F168" t="str">
        <f t="shared" si="5"/>
        <v>Up to $10</v>
      </c>
    </row>
    <row r="169" spans="1:6">
      <c r="A169" t="str">
        <f>Task5_Data!A169</f>
        <v>Nexera</v>
      </c>
      <c r="B169" t="str">
        <f>Task5_Data!B169</f>
        <v>NXRA</v>
      </c>
      <c r="C169">
        <f>Task5_Data!C169</f>
        <v>8.2010000000000004E-4</v>
      </c>
      <c r="D169">
        <f>Task5_Data!D169</f>
        <v>0.01</v>
      </c>
      <c r="E169">
        <f t="shared" si="4"/>
        <v>8.2001799820017999E-4</v>
      </c>
      <c r="F169" t="str">
        <f t="shared" si="5"/>
        <v>Up to $10</v>
      </c>
    </row>
    <row r="170" spans="1:6">
      <c r="A170" t="str">
        <f>Task5_Data!A170</f>
        <v>NEXPACE</v>
      </c>
      <c r="B170" t="str">
        <f>Task5_Data!B170</f>
        <v>NXPC</v>
      </c>
      <c r="C170">
        <f>Task5_Data!C170</f>
        <v>0.20619999999999999</v>
      </c>
      <c r="D170">
        <f>Task5_Data!D170</f>
        <v>0.47</v>
      </c>
      <c r="E170">
        <f t="shared" si="4"/>
        <v>0.20523539364984572</v>
      </c>
      <c r="F170" t="str">
        <f t="shared" si="5"/>
        <v>Up to $10</v>
      </c>
    </row>
    <row r="171" spans="1:6">
      <c r="A171" t="str">
        <f>Task5_Data!A171</f>
        <v>Nodle</v>
      </c>
      <c r="B171" t="str">
        <f>Task5_Data!B171</f>
        <v>NODL</v>
      </c>
      <c r="C171">
        <f>Task5_Data!C171</f>
        <v>2.6289999999999999E-4</v>
      </c>
      <c r="D171">
        <f>Task5_Data!D171</f>
        <v>0.27</v>
      </c>
      <c r="E171">
        <f t="shared" si="4"/>
        <v>2.621920813802733E-4</v>
      </c>
      <c r="F171" t="str">
        <f t="shared" si="5"/>
        <v>Up to $10</v>
      </c>
    </row>
    <row r="172" spans="1:6">
      <c r="A172" t="str">
        <f>Task5_Data!A172</f>
        <v>Nokia Tokenized bStocks</v>
      </c>
      <c r="B172" t="str">
        <f>Task5_Data!B172</f>
        <v>NOKB</v>
      </c>
      <c r="C172">
        <f>Task5_Data!C172</f>
        <v>10.050000000000001</v>
      </c>
      <c r="D172">
        <f>Task5_Data!D172</f>
        <v>0.12</v>
      </c>
      <c r="E172">
        <f t="shared" si="4"/>
        <v>10.037954454654415</v>
      </c>
      <c r="F172" t="str">
        <f t="shared" si="5"/>
        <v>$10 and above</v>
      </c>
    </row>
    <row r="173" spans="1:6">
      <c r="A173" t="str">
        <f>Task5_Data!A173</f>
        <v>Nokia Tokenized Stock (Ondo)</v>
      </c>
      <c r="B173" t="str">
        <f>Task5_Data!B173</f>
        <v>NOKon</v>
      </c>
      <c r="C173">
        <f>Task5_Data!C173</f>
        <v>10.06</v>
      </c>
      <c r="D173">
        <f>Task5_Data!D173</f>
        <v>0.19</v>
      </c>
      <c r="E173">
        <f t="shared" si="4"/>
        <v>10.040922247729315</v>
      </c>
      <c r="F173" t="str">
        <f t="shared" si="5"/>
        <v>$10 and above</v>
      </c>
    </row>
    <row r="174" spans="1:6">
      <c r="A174" t="str">
        <f>Task5_Data!A174</f>
        <v>Not Pixel</v>
      </c>
      <c r="B174" t="str">
        <f>Task5_Data!B174</f>
        <v>PX</v>
      </c>
      <c r="C174">
        <f>Task5_Data!C174</f>
        <v>1.239E-2</v>
      </c>
      <c r="D174">
        <f>Task5_Data!D174</f>
        <v>2.91</v>
      </c>
      <c r="E174">
        <f t="shared" si="4"/>
        <v>1.2039646292877272E-2</v>
      </c>
      <c r="F174" t="str">
        <f t="shared" si="5"/>
        <v>Up to $10</v>
      </c>
    </row>
    <row r="175" spans="1:6">
      <c r="A175" t="str">
        <f>Task5_Data!A175</f>
        <v>Notcoin</v>
      </c>
      <c r="B175" t="str">
        <f>Task5_Data!B175</f>
        <v>NOT</v>
      </c>
      <c r="C175">
        <f>Task5_Data!C175</f>
        <v>4.1990000000000001E-4</v>
      </c>
      <c r="D175">
        <f>Task5_Data!D175</f>
        <v>0.51</v>
      </c>
      <c r="E175">
        <f t="shared" si="4"/>
        <v>4.1776937618147444E-4</v>
      </c>
      <c r="F175" t="str">
        <f t="shared" si="5"/>
        <v>Up to $10</v>
      </c>
    </row>
    <row r="176" spans="1:6">
      <c r="A176" t="str">
        <f>Task5_Data!A176</f>
        <v>Novo Nordisk Tokenized Stock (Ondo)</v>
      </c>
      <c r="B176" t="str">
        <f>Task5_Data!B176</f>
        <v>NVOon</v>
      </c>
      <c r="C176">
        <f>Task5_Data!C176</f>
        <v>48.05</v>
      </c>
      <c r="D176">
        <f>Task5_Data!D176</f>
        <v>0.2</v>
      </c>
      <c r="E176">
        <f t="shared" si="4"/>
        <v>47.95409181636726</v>
      </c>
      <c r="F176" t="str">
        <f t="shared" si="5"/>
        <v>$10 and above</v>
      </c>
    </row>
    <row r="177" spans="1:6">
      <c r="A177" t="str">
        <f>Task5_Data!A177</f>
        <v>Nya</v>
      </c>
      <c r="B177" t="str">
        <f>Task5_Data!B177</f>
        <v>NYA</v>
      </c>
      <c r="C177">
        <f>Task5_Data!C177</f>
        <v>7.5439999999999993E-2</v>
      </c>
      <c r="D177">
        <f>Task5_Data!D177</f>
        <v>0.8</v>
      </c>
      <c r="E177">
        <f t="shared" si="4"/>
        <v>7.4841269841269834E-2</v>
      </c>
      <c r="F177" t="str">
        <f t="shared" si="5"/>
        <v>Up to $10</v>
      </c>
    </row>
    <row r="178" spans="1:6">
      <c r="A178" t="str">
        <f>Task5_Data!A178</f>
        <v>OciCat</v>
      </c>
      <c r="B178" t="str">
        <f>Task5_Data!B178</f>
        <v>OCICAT</v>
      </c>
      <c r="C178">
        <f>Task5_Data!C178</f>
        <v>8.4791000000000005E-2</v>
      </c>
      <c r="D178">
        <f>Task5_Data!D178</f>
        <v>2.68</v>
      </c>
      <c r="E178">
        <f t="shared" si="4"/>
        <v>8.2577911959485786E-2</v>
      </c>
      <c r="F178" t="str">
        <f t="shared" si="5"/>
        <v>Up to $10</v>
      </c>
    </row>
    <row r="179" spans="1:6">
      <c r="A179" t="str">
        <f>Task5_Data!A179</f>
        <v>Odos</v>
      </c>
      <c r="B179" t="str">
        <f>Task5_Data!B179</f>
        <v>ODOS</v>
      </c>
      <c r="C179">
        <f>Task5_Data!C179</f>
        <v>8.3160000000000005E-4</v>
      </c>
      <c r="D179">
        <f>Task5_Data!D179</f>
        <v>0.73</v>
      </c>
      <c r="E179">
        <f t="shared" si="4"/>
        <v>8.2557331480194581E-4</v>
      </c>
      <c r="F179" t="str">
        <f t="shared" si="5"/>
        <v>Up to $10</v>
      </c>
    </row>
    <row r="180" spans="1:6">
      <c r="A180" t="str">
        <f>Task5_Data!A180</f>
        <v>Ondo US Dollar Yield</v>
      </c>
      <c r="B180" t="str">
        <f>Task5_Data!B180</f>
        <v>USDY</v>
      </c>
      <c r="C180">
        <f>Task5_Data!C180</f>
        <v>1.1399999999999999</v>
      </c>
      <c r="D180">
        <f>Task5_Data!D180</f>
        <v>0.02</v>
      </c>
      <c r="E180">
        <f t="shared" si="4"/>
        <v>1.1397720455908817</v>
      </c>
      <c r="F180" t="str">
        <f t="shared" si="5"/>
        <v>Up to $10</v>
      </c>
    </row>
    <row r="181" spans="1:6">
      <c r="A181" t="str">
        <f>Task5_Data!A181</f>
        <v>OneFootball Credits</v>
      </c>
      <c r="B181" t="str">
        <f>Task5_Data!B181</f>
        <v>OFC</v>
      </c>
      <c r="C181">
        <f>Task5_Data!C181</f>
        <v>8.9669999999999993E-3</v>
      </c>
      <c r="D181">
        <f>Task5_Data!D181</f>
        <v>0.72</v>
      </c>
      <c r="E181">
        <f t="shared" si="4"/>
        <v>8.9028991262907059E-3</v>
      </c>
      <c r="F181" t="str">
        <f t="shared" si="5"/>
        <v>Up to $10</v>
      </c>
    </row>
    <row r="182" spans="1:6">
      <c r="A182" t="str">
        <f>Task5_Data!A182</f>
        <v>Oracle tokenized stock (xStock)</v>
      </c>
      <c r="B182" t="str">
        <f>Task5_Data!B182</f>
        <v>ORCLX</v>
      </c>
      <c r="C182">
        <f>Task5_Data!C182</f>
        <v>143.54</v>
      </c>
      <c r="D182">
        <f>Task5_Data!D182</f>
        <v>0.01</v>
      </c>
      <c r="E182">
        <f t="shared" si="4"/>
        <v>143.52564743525647</v>
      </c>
      <c r="F182" t="str">
        <f t="shared" si="5"/>
        <v>$10 and above</v>
      </c>
    </row>
    <row r="183" spans="1:6">
      <c r="A183" t="str">
        <f>Task5_Data!A183</f>
        <v>Pandora</v>
      </c>
      <c r="B183" t="str">
        <f>Task5_Data!B183</f>
        <v>PANDORA</v>
      </c>
      <c r="C183">
        <f>Task5_Data!C183</f>
        <v>102.68</v>
      </c>
      <c r="D183">
        <f>Task5_Data!D183</f>
        <v>0</v>
      </c>
      <c r="E183">
        <f t="shared" si="4"/>
        <v>102.68</v>
      </c>
      <c r="F183" t="str">
        <f t="shared" si="5"/>
        <v>$10 and above</v>
      </c>
    </row>
    <row r="184" spans="1:6">
      <c r="A184" t="str">
        <f>Task5_Data!A184</f>
        <v>Paris Saint-Germain Fan Token</v>
      </c>
      <c r="B184" t="str">
        <f>Task5_Data!B184</f>
        <v>PSG</v>
      </c>
      <c r="C184">
        <f>Task5_Data!C184</f>
        <v>0.50009999999999999</v>
      </c>
      <c r="D184">
        <f>Task5_Data!D184</f>
        <v>0.15</v>
      </c>
      <c r="E184">
        <f t="shared" si="4"/>
        <v>0.49935097353969043</v>
      </c>
      <c r="F184" t="str">
        <f t="shared" si="5"/>
        <v>Up to $10</v>
      </c>
    </row>
    <row r="185" spans="1:6">
      <c r="A185" t="str">
        <f>Task5_Data!A185</f>
        <v>Partisia Blockchain</v>
      </c>
      <c r="B185" t="str">
        <f>Task5_Data!B185</f>
        <v>MPC</v>
      </c>
      <c r="C185">
        <f>Task5_Data!C185</f>
        <v>1.044E-2</v>
      </c>
      <c r="D185">
        <f>Task5_Data!D185</f>
        <v>0.35</v>
      </c>
      <c r="E185">
        <f t="shared" si="4"/>
        <v>1.0403587443946188E-2</v>
      </c>
      <c r="F185" t="str">
        <f t="shared" si="5"/>
        <v>Up to $10</v>
      </c>
    </row>
    <row r="186" spans="1:6">
      <c r="A186" t="str">
        <f>Task5_Data!A186</f>
        <v>PayAI Network</v>
      </c>
      <c r="B186" t="str">
        <f>Task5_Data!B186</f>
        <v>PAYAI</v>
      </c>
      <c r="C186">
        <f>Task5_Data!C186</f>
        <v>6.3629999999999997E-3</v>
      </c>
      <c r="D186">
        <f>Task5_Data!D186</f>
        <v>0.61</v>
      </c>
      <c r="E186">
        <f t="shared" si="4"/>
        <v>6.3244210317065898E-3</v>
      </c>
      <c r="F186" t="str">
        <f t="shared" si="5"/>
        <v>Up to $10</v>
      </c>
    </row>
    <row r="187" spans="1:6">
      <c r="A187" t="str">
        <f>Task5_Data!A187</f>
        <v>Peercoin</v>
      </c>
      <c r="B187" t="str">
        <f>Task5_Data!B187</f>
        <v>PPC</v>
      </c>
      <c r="C187">
        <f>Task5_Data!C187</f>
        <v>0.2727</v>
      </c>
      <c r="D187">
        <f>Task5_Data!D187</f>
        <v>0.14000000000000001</v>
      </c>
      <c r="E187">
        <f t="shared" si="4"/>
        <v>0.27231875374475734</v>
      </c>
      <c r="F187" t="str">
        <f t="shared" si="5"/>
        <v>Up to $10</v>
      </c>
    </row>
    <row r="188" spans="1:6">
      <c r="A188" t="str">
        <f>Task5_Data!A188</f>
        <v>PeiPei (ETH)</v>
      </c>
      <c r="B188" t="str">
        <f>Task5_Data!B188</f>
        <v>PEIPEI</v>
      </c>
      <c r="C188">
        <f>Task5_Data!C188</f>
        <v>8.7274000000000004E-2</v>
      </c>
      <c r="D188">
        <f>Task5_Data!D188</f>
        <v>1.42</v>
      </c>
      <c r="E188">
        <f t="shared" si="4"/>
        <v>8.6052060737527122E-2</v>
      </c>
      <c r="F188" t="str">
        <f t="shared" si="5"/>
        <v>Up to $10</v>
      </c>
    </row>
    <row r="189" spans="1:6">
      <c r="A189" t="str">
        <f>Task5_Data!A189</f>
        <v>Pendle</v>
      </c>
      <c r="B189" t="str">
        <f>Task5_Data!B189</f>
        <v>PENDLE</v>
      </c>
      <c r="C189">
        <f>Task5_Data!C189</f>
        <v>1.79</v>
      </c>
      <c r="D189">
        <f>Task5_Data!D189</f>
        <v>1.63</v>
      </c>
      <c r="E189">
        <f t="shared" si="4"/>
        <v>1.7612909573944702</v>
      </c>
      <c r="F189" t="str">
        <f t="shared" si="5"/>
        <v>Up to $10</v>
      </c>
    </row>
    <row r="190" spans="1:6">
      <c r="A190" t="str">
        <f>Task5_Data!A190</f>
        <v>Pepecoin</v>
      </c>
      <c r="B190" t="str">
        <f>Task5_Data!B190</f>
        <v>PEP</v>
      </c>
      <c r="C190">
        <f>Task5_Data!C190</f>
        <v>1.2879999999999999E-4</v>
      </c>
      <c r="D190">
        <f>Task5_Data!D190</f>
        <v>0.05</v>
      </c>
      <c r="E190">
        <f t="shared" si="4"/>
        <v>1.2873563218390805E-4</v>
      </c>
      <c r="F190" t="str">
        <f t="shared" si="5"/>
        <v>Up to $10</v>
      </c>
    </row>
    <row r="191" spans="1:6">
      <c r="A191" t="str">
        <f>Task5_Data!A191</f>
        <v>Pieverse</v>
      </c>
      <c r="B191" t="str">
        <f>Task5_Data!B191</f>
        <v>PIEVERSE</v>
      </c>
      <c r="C191">
        <f>Task5_Data!C191</f>
        <v>1.02</v>
      </c>
      <c r="D191">
        <f>Task5_Data!D191</f>
        <v>0.26</v>
      </c>
      <c r="E191">
        <f t="shared" si="4"/>
        <v>1.0173548773189707</v>
      </c>
      <c r="F191" t="str">
        <f t="shared" si="5"/>
        <v>Up to $10</v>
      </c>
    </row>
    <row r="192" spans="1:6">
      <c r="A192" t="str">
        <f>Task5_Data!A192</f>
        <v>Plasma</v>
      </c>
      <c r="B192" t="str">
        <f>Task5_Data!B192</f>
        <v>XPL</v>
      </c>
      <c r="C192">
        <f>Task5_Data!C192</f>
        <v>9.8059999999999994E-2</v>
      </c>
      <c r="D192">
        <f>Task5_Data!D192</f>
        <v>0.91</v>
      </c>
      <c r="E192">
        <f t="shared" si="4"/>
        <v>9.7175701119809721E-2</v>
      </c>
      <c r="F192" t="str">
        <f t="shared" si="5"/>
        <v>Up to $10</v>
      </c>
    </row>
    <row r="193" spans="1:6">
      <c r="A193" t="str">
        <f>Task5_Data!A193</f>
        <v>PlatON</v>
      </c>
      <c r="B193" t="str">
        <f>Task5_Data!B193</f>
        <v>LAT</v>
      </c>
      <c r="C193">
        <f>Task5_Data!C193</f>
        <v>5.6280000000000002E-4</v>
      </c>
      <c r="D193">
        <f>Task5_Data!D193</f>
        <v>0.19</v>
      </c>
      <c r="E193">
        <f t="shared" si="4"/>
        <v>5.6173270785507534E-4</v>
      </c>
      <c r="F193" t="str">
        <f t="shared" si="5"/>
        <v>Up to $10</v>
      </c>
    </row>
    <row r="194" spans="1:6">
      <c r="A194" t="str">
        <f>Task5_Data!A194</f>
        <v>Pocket Network</v>
      </c>
      <c r="B194" t="str">
        <f>Task5_Data!B194</f>
        <v>POKT</v>
      </c>
      <c r="C194">
        <f>Task5_Data!C194</f>
        <v>7.3509999999999999E-3</v>
      </c>
      <c r="D194">
        <f>Task5_Data!D194</f>
        <v>0.17</v>
      </c>
      <c r="E194">
        <f t="shared" si="4"/>
        <v>7.3385245083358291E-3</v>
      </c>
      <c r="F194" t="str">
        <f t="shared" si="5"/>
        <v>Up to $10</v>
      </c>
    </row>
    <row r="195" spans="1:6">
      <c r="A195" t="str">
        <f>Task5_Data!A195</f>
        <v>Pons</v>
      </c>
      <c r="B195" t="str">
        <f>Task5_Data!B195</f>
        <v>PONS</v>
      </c>
      <c r="C195">
        <f>Task5_Data!C195</f>
        <v>8.9980000000000004E-2</v>
      </c>
      <c r="D195">
        <f>Task5_Data!D195</f>
        <v>5.64</v>
      </c>
      <c r="E195">
        <f t="shared" ref="E195:E258" si="6">C195/(1+D195/100)</f>
        <v>8.5176069670579335E-2</v>
      </c>
      <c r="F195" t="str">
        <f t="shared" ref="F195:F258" si="7">IF(C195&lt;10,"Up to $10","$10 and above")</f>
        <v>Up to $10</v>
      </c>
    </row>
    <row r="196" spans="1:6">
      <c r="A196" t="str">
        <f>Task5_Data!A196</f>
        <v>PoP Planet</v>
      </c>
      <c r="B196" t="str">
        <f>Task5_Data!B196</f>
        <v>P</v>
      </c>
      <c r="C196">
        <f>Task5_Data!C196</f>
        <v>3.6450000000000003E-2</v>
      </c>
      <c r="D196">
        <f>Task5_Data!D196</f>
        <v>0.06</v>
      </c>
      <c r="E196">
        <f t="shared" si="6"/>
        <v>3.6428143114131527E-2</v>
      </c>
      <c r="F196" t="str">
        <f t="shared" si="7"/>
        <v>Up to $10</v>
      </c>
    </row>
    <row r="197" spans="1:6">
      <c r="A197" t="str">
        <f>Task5_Data!A197</f>
        <v>Popcat (SOL)</v>
      </c>
      <c r="B197" t="str">
        <f>Task5_Data!B197</f>
        <v>POPCAT</v>
      </c>
      <c r="C197">
        <f>Task5_Data!C197</f>
        <v>6.2579999999999997E-2</v>
      </c>
      <c r="D197">
        <f>Task5_Data!D197</f>
        <v>1.2</v>
      </c>
      <c r="E197">
        <f t="shared" si="6"/>
        <v>6.1837944664031613E-2</v>
      </c>
      <c r="F197" t="str">
        <f t="shared" si="7"/>
        <v>Up to $10</v>
      </c>
    </row>
    <row r="198" spans="1:6">
      <c r="A198" t="str">
        <f>Task5_Data!A198</f>
        <v>Portal To Bitcoin</v>
      </c>
      <c r="B198" t="str">
        <f>Task5_Data!B198</f>
        <v>PTB</v>
      </c>
      <c r="C198">
        <f>Task5_Data!C198</f>
        <v>7.9390000000000005E-4</v>
      </c>
      <c r="D198">
        <f>Task5_Data!D198</f>
        <v>1.67</v>
      </c>
      <c r="E198">
        <f t="shared" si="6"/>
        <v>7.8085964394610018E-4</v>
      </c>
      <c r="F198" t="str">
        <f t="shared" si="7"/>
        <v>Up to $10</v>
      </c>
    </row>
    <row r="199" spans="1:6">
      <c r="A199" t="str">
        <f>Task5_Data!A199</f>
        <v>ProShares UltraPro QQQ Tokenized bStocks</v>
      </c>
      <c r="B199" t="str">
        <f>Task5_Data!B199</f>
        <v>TQQQB</v>
      </c>
      <c r="C199">
        <f>Task5_Data!C199</f>
        <v>70.16</v>
      </c>
      <c r="D199">
        <f>Task5_Data!D199</f>
        <v>0.33</v>
      </c>
      <c r="E199">
        <f t="shared" si="6"/>
        <v>69.929233529353127</v>
      </c>
      <c r="F199" t="str">
        <f t="shared" si="7"/>
        <v>$10 and above</v>
      </c>
    </row>
    <row r="200" spans="1:6">
      <c r="A200" t="str">
        <f>Task5_Data!A200</f>
        <v>Pundi X (New)</v>
      </c>
      <c r="B200" t="str">
        <f>Task5_Data!B200</f>
        <v>PUNDIX</v>
      </c>
      <c r="C200">
        <f>Task5_Data!C200</f>
        <v>8.8480000000000003E-2</v>
      </c>
      <c r="D200">
        <f>Task5_Data!D200</f>
        <v>0.35</v>
      </c>
      <c r="E200">
        <f t="shared" si="6"/>
        <v>8.8171400099651215E-2</v>
      </c>
      <c r="F200" t="str">
        <f t="shared" si="7"/>
        <v>Up to $10</v>
      </c>
    </row>
    <row r="201" spans="1:6">
      <c r="A201" t="str">
        <f>Task5_Data!A201</f>
        <v>Pups (Bitcoin)</v>
      </c>
      <c r="B201" t="str">
        <f>Task5_Data!B201</f>
        <v>PUPS</v>
      </c>
      <c r="C201">
        <f>Task5_Data!C201</f>
        <v>5.4739999999999997E-3</v>
      </c>
      <c r="D201">
        <f>Task5_Data!D201</f>
        <v>4.33</v>
      </c>
      <c r="E201">
        <f t="shared" si="6"/>
        <v>5.2468129972203584E-3</v>
      </c>
      <c r="F201" t="str">
        <f t="shared" si="7"/>
        <v>Up to $10</v>
      </c>
    </row>
    <row r="202" spans="1:6">
      <c r="A202" t="str">
        <f>Task5_Data!A202</f>
        <v>Pwease</v>
      </c>
      <c r="B202" t="str">
        <f>Task5_Data!B202</f>
        <v>PWEASE</v>
      </c>
      <c r="C202">
        <f>Task5_Data!C202</f>
        <v>1.0089999999999999E-3</v>
      </c>
      <c r="D202">
        <f>Task5_Data!D202</f>
        <v>0.55000000000000004</v>
      </c>
      <c r="E202">
        <f t="shared" si="6"/>
        <v>1.0034808552958725E-3</v>
      </c>
      <c r="F202" t="str">
        <f t="shared" si="7"/>
        <v>Up to $10</v>
      </c>
    </row>
    <row r="203" spans="1:6">
      <c r="A203" t="str">
        <f>Task5_Data!A203</f>
        <v>Pythia</v>
      </c>
      <c r="B203" t="str">
        <f>Task5_Data!B203</f>
        <v>PYTHIA</v>
      </c>
      <c r="C203">
        <f>Task5_Data!C203</f>
        <v>8.5000000000000006E-3</v>
      </c>
      <c r="D203">
        <f>Task5_Data!D203</f>
        <v>2.8</v>
      </c>
      <c r="E203">
        <f t="shared" si="6"/>
        <v>8.2684824902723737E-3</v>
      </c>
      <c r="F203" t="str">
        <f t="shared" si="7"/>
        <v>Up to $10</v>
      </c>
    </row>
    <row r="204" spans="1:6">
      <c r="A204" t="str">
        <f>Task5_Data!A204</f>
        <v>Qubic</v>
      </c>
      <c r="B204" t="str">
        <f>Task5_Data!B204</f>
        <v>QUBIC</v>
      </c>
      <c r="C204">
        <f>Task5_Data!C204</f>
        <v>6.4241000000000006E-2</v>
      </c>
      <c r="D204">
        <f>Task5_Data!D204</f>
        <v>0.38</v>
      </c>
      <c r="E204">
        <f t="shared" si="6"/>
        <v>6.3997808328352265E-2</v>
      </c>
      <c r="F204" t="str">
        <f t="shared" si="7"/>
        <v>Up to $10</v>
      </c>
    </row>
    <row r="205" spans="1:6">
      <c r="A205" t="str">
        <f>Task5_Data!A205</f>
        <v>Rain</v>
      </c>
      <c r="B205" t="str">
        <f>Task5_Data!B205</f>
        <v>RAIN</v>
      </c>
      <c r="C205">
        <f>Task5_Data!C205</f>
        <v>1.468E-2</v>
      </c>
      <c r="D205">
        <f>Task5_Data!D205</f>
        <v>0.2</v>
      </c>
      <c r="E205">
        <f t="shared" si="6"/>
        <v>1.4650698602794412E-2</v>
      </c>
      <c r="F205" t="str">
        <f t="shared" si="7"/>
        <v>Up to $10</v>
      </c>
    </row>
    <row r="206" spans="1:6">
      <c r="A206" t="str">
        <f>Task5_Data!A206</f>
        <v>RAMP</v>
      </c>
      <c r="B206" t="str">
        <f>Task5_Data!B206</f>
        <v>RAMP</v>
      </c>
      <c r="C206">
        <f>Task5_Data!C206</f>
        <v>2.214E-2</v>
      </c>
      <c r="D206">
        <f>Task5_Data!D206</f>
        <v>0</v>
      </c>
      <c r="E206">
        <f t="shared" si="6"/>
        <v>2.214E-2</v>
      </c>
      <c r="F206" t="str">
        <f t="shared" si="7"/>
        <v>Up to $10</v>
      </c>
    </row>
    <row r="207" spans="1:6">
      <c r="A207" t="str">
        <f>Task5_Data!A207</f>
        <v>REI Network</v>
      </c>
      <c r="B207" t="str">
        <f>Task5_Data!B207</f>
        <v>REI</v>
      </c>
      <c r="C207">
        <f>Task5_Data!C207</f>
        <v>2.49E-3</v>
      </c>
      <c r="D207">
        <f>Task5_Data!D207</f>
        <v>0.61</v>
      </c>
      <c r="E207">
        <f t="shared" si="6"/>
        <v>2.4749030911440217E-3</v>
      </c>
      <c r="F207" t="str">
        <f t="shared" si="7"/>
        <v>Up to $10</v>
      </c>
    </row>
    <row r="208" spans="1:6">
      <c r="A208" t="str">
        <f>Task5_Data!A208</f>
        <v>RENEC</v>
      </c>
      <c r="B208" t="str">
        <f>Task5_Data!B208</f>
        <v>RENEC</v>
      </c>
      <c r="C208">
        <f>Task5_Data!C208</f>
        <v>3.3980000000000003E-2</v>
      </c>
      <c r="D208">
        <f>Task5_Data!D208</f>
        <v>0.01</v>
      </c>
      <c r="E208">
        <f t="shared" si="6"/>
        <v>3.3976602339766029E-2</v>
      </c>
      <c r="F208" t="str">
        <f t="shared" si="7"/>
        <v>Up to $10</v>
      </c>
    </row>
    <row r="209" spans="1:6">
      <c r="A209" t="str">
        <f>Task5_Data!A209</f>
        <v>ResearchCoin</v>
      </c>
      <c r="B209" t="str">
        <f>Task5_Data!B209</f>
        <v>RSC</v>
      </c>
      <c r="C209">
        <f>Task5_Data!C209</f>
        <v>6.3909999999999995E-2</v>
      </c>
      <c r="D209">
        <f>Task5_Data!D209</f>
        <v>0.03</v>
      </c>
      <c r="E209">
        <f t="shared" si="6"/>
        <v>6.3890832750174945E-2</v>
      </c>
      <c r="F209" t="str">
        <f t="shared" si="7"/>
        <v>Up to $10</v>
      </c>
    </row>
    <row r="210" spans="1:6">
      <c r="A210" t="str">
        <f>Task5_Data!A210</f>
        <v>RHEA Finance</v>
      </c>
      <c r="B210" t="str">
        <f>Task5_Data!B210</f>
        <v>RHEA</v>
      </c>
      <c r="C210">
        <f>Task5_Data!C210</f>
        <v>1.3429999999999999E-2</v>
      </c>
      <c r="D210">
        <f>Task5_Data!D210</f>
        <v>0.22</v>
      </c>
      <c r="E210">
        <f t="shared" si="6"/>
        <v>1.3400518858511274E-2</v>
      </c>
      <c r="F210" t="str">
        <f t="shared" si="7"/>
        <v>Up to $10</v>
      </c>
    </row>
    <row r="211" spans="1:6">
      <c r="A211" t="str">
        <f>Task5_Data!A211</f>
        <v>Ribbon Finance</v>
      </c>
      <c r="B211" t="str">
        <f>Task5_Data!B211</f>
        <v>RBN</v>
      </c>
      <c r="C211">
        <f>Task5_Data!C211</f>
        <v>2.3480000000000001E-2</v>
      </c>
      <c r="D211">
        <f>Task5_Data!D211</f>
        <v>0</v>
      </c>
      <c r="E211">
        <f t="shared" si="6"/>
        <v>2.3480000000000001E-2</v>
      </c>
      <c r="F211" t="str">
        <f t="shared" si="7"/>
        <v>Up to $10</v>
      </c>
    </row>
    <row r="212" spans="1:6">
      <c r="A212" t="str">
        <f>Task5_Data!A212</f>
        <v>RICE AI</v>
      </c>
      <c r="B212" t="str">
        <f>Task5_Data!B212</f>
        <v>RICE</v>
      </c>
      <c r="C212">
        <f>Task5_Data!C212</f>
        <v>5.7289999999999997E-3</v>
      </c>
      <c r="D212">
        <f>Task5_Data!D212</f>
        <v>0.49</v>
      </c>
      <c r="E212">
        <f t="shared" si="6"/>
        <v>5.7010647825654296E-3</v>
      </c>
      <c r="F212" t="str">
        <f t="shared" si="7"/>
        <v>Up to $10</v>
      </c>
    </row>
    <row r="213" spans="1:6">
      <c r="A213" t="str">
        <f>Task5_Data!A213</f>
        <v>RigoBlock</v>
      </c>
      <c r="B213" t="str">
        <f>Task5_Data!B213</f>
        <v>GRG</v>
      </c>
      <c r="C213">
        <f>Task5_Data!C213</f>
        <v>0.38800000000000001</v>
      </c>
      <c r="D213">
        <f>Task5_Data!D213</f>
        <v>0.23</v>
      </c>
      <c r="E213">
        <f t="shared" si="6"/>
        <v>0.38710964781003693</v>
      </c>
      <c r="F213" t="str">
        <f t="shared" si="7"/>
        <v>Up to $10</v>
      </c>
    </row>
    <row r="214" spans="1:6">
      <c r="A214" t="str">
        <f>Task5_Data!A214</f>
        <v>River</v>
      </c>
      <c r="B214" t="str">
        <f>Task5_Data!B214</f>
        <v>RIVER</v>
      </c>
      <c r="C214">
        <f>Task5_Data!C214</f>
        <v>2.19</v>
      </c>
      <c r="D214">
        <f>Task5_Data!D214</f>
        <v>0.36</v>
      </c>
      <c r="E214">
        <f t="shared" si="6"/>
        <v>2.1821442805898763</v>
      </c>
      <c r="F214" t="str">
        <f t="shared" si="7"/>
        <v>Up to $10</v>
      </c>
    </row>
    <row r="215" spans="1:6">
      <c r="A215" t="str">
        <f>Task5_Data!A215</f>
        <v>ROGin AI</v>
      </c>
      <c r="B215" t="str">
        <f>Task5_Data!B215</f>
        <v>ROG</v>
      </c>
      <c r="C215">
        <f>Task5_Data!C215</f>
        <v>0.1943</v>
      </c>
      <c r="D215">
        <f>Task5_Data!D215</f>
        <v>0.02</v>
      </c>
      <c r="E215">
        <f t="shared" si="6"/>
        <v>0.19426114777044592</v>
      </c>
      <c r="F215" t="str">
        <f t="shared" si="7"/>
        <v>Up to $10</v>
      </c>
    </row>
    <row r="216" spans="1:6">
      <c r="A216" t="str">
        <f>Task5_Data!A216</f>
        <v>Russell</v>
      </c>
      <c r="B216" t="str">
        <f>Task5_Data!B216</f>
        <v>RUSSELL</v>
      </c>
      <c r="C216">
        <f>Task5_Data!C216</f>
        <v>2.4559999999999998E-3</v>
      </c>
      <c r="D216">
        <f>Task5_Data!D216</f>
        <v>5.14</v>
      </c>
      <c r="E216">
        <f t="shared" si="6"/>
        <v>2.3359330416587408E-3</v>
      </c>
      <c r="F216" t="str">
        <f t="shared" si="7"/>
        <v>Up to $10</v>
      </c>
    </row>
    <row r="217" spans="1:6">
      <c r="A217" t="str">
        <f>Task5_Data!A217</f>
        <v>S.S. Lazio Fan Token</v>
      </c>
      <c r="B217" t="str">
        <f>Task5_Data!B217</f>
        <v>LAZIO</v>
      </c>
      <c r="C217">
        <f>Task5_Data!C217</f>
        <v>0.39600000000000002</v>
      </c>
      <c r="D217">
        <f>Task5_Data!D217</f>
        <v>0.1</v>
      </c>
      <c r="E217">
        <f t="shared" si="6"/>
        <v>0.39560439560439564</v>
      </c>
      <c r="F217" t="str">
        <f t="shared" si="7"/>
        <v>Up to $10</v>
      </c>
    </row>
    <row r="218" spans="1:6">
      <c r="A218" t="str">
        <f>Task5_Data!A218</f>
        <v>saffron.finance</v>
      </c>
      <c r="B218" t="str">
        <f>Task5_Data!B218</f>
        <v>SFI</v>
      </c>
      <c r="C218">
        <f>Task5_Data!C218</f>
        <v>223.04</v>
      </c>
      <c r="D218">
        <f>Task5_Data!D218</f>
        <v>0.13</v>
      </c>
      <c r="E218">
        <f t="shared" si="6"/>
        <v>222.7504244482173</v>
      </c>
      <c r="F218" t="str">
        <f t="shared" si="7"/>
        <v>$10 and above</v>
      </c>
    </row>
    <row r="219" spans="1:6">
      <c r="A219" t="str">
        <f>Task5_Data!A219</f>
        <v>Sahara AI</v>
      </c>
      <c r="B219" t="str">
        <f>Task5_Data!B219</f>
        <v>SAHARA</v>
      </c>
      <c r="C219">
        <f>Task5_Data!C219</f>
        <v>8.3149999999999995E-3</v>
      </c>
      <c r="D219">
        <f>Task5_Data!D219</f>
        <v>0.8</v>
      </c>
      <c r="E219">
        <f t="shared" si="6"/>
        <v>8.2490079365079363E-3</v>
      </c>
      <c r="F219" t="str">
        <f t="shared" si="7"/>
        <v>Up to $10</v>
      </c>
    </row>
    <row r="220" spans="1:6">
      <c r="A220" t="str">
        <f>Task5_Data!A220</f>
        <v>Scamcoin</v>
      </c>
      <c r="B220" t="str">
        <f>Task5_Data!B220</f>
        <v>SCAM</v>
      </c>
      <c r="C220">
        <f>Task5_Data!C220</f>
        <v>1.89E-3</v>
      </c>
      <c r="D220">
        <f>Task5_Data!D220</f>
        <v>1.86</v>
      </c>
      <c r="E220">
        <f t="shared" si="6"/>
        <v>1.8554879246023956E-3</v>
      </c>
      <c r="F220" t="str">
        <f t="shared" si="7"/>
        <v>Up to $10</v>
      </c>
    </row>
    <row r="221" spans="1:6">
      <c r="A221" t="str">
        <f>Task5_Data!A221</f>
        <v>ScPrime</v>
      </c>
      <c r="B221" t="str">
        <f>Task5_Data!B221</f>
        <v>SCP</v>
      </c>
      <c r="C221">
        <f>Task5_Data!C221</f>
        <v>2.5229999999999999E-2</v>
      </c>
      <c r="D221">
        <f>Task5_Data!D221</f>
        <v>0.01</v>
      </c>
      <c r="E221">
        <f t="shared" si="6"/>
        <v>2.5227477252274772E-2</v>
      </c>
      <c r="F221" t="str">
        <f t="shared" si="7"/>
        <v>Up to $10</v>
      </c>
    </row>
    <row r="222" spans="1:6">
      <c r="A222" t="str">
        <f>Task5_Data!A222</f>
        <v>Shark Cat</v>
      </c>
      <c r="B222" t="str">
        <f>Task5_Data!B222</f>
        <v>SC</v>
      </c>
      <c r="C222">
        <f>Task5_Data!C222</f>
        <v>1.5690000000000001E-3</v>
      </c>
      <c r="D222">
        <f>Task5_Data!D222</f>
        <v>5.65</v>
      </c>
      <c r="E222">
        <f t="shared" si="6"/>
        <v>1.4850922858495031E-3</v>
      </c>
      <c r="F222" t="str">
        <f t="shared" si="7"/>
        <v>Up to $10</v>
      </c>
    </row>
    <row r="223" spans="1:6">
      <c r="A223" t="str">
        <f>Task5_Data!A223</f>
        <v>Shido Network</v>
      </c>
      <c r="B223" t="str">
        <f>Task5_Data!B223</f>
        <v>SHIDO</v>
      </c>
      <c r="C223">
        <f>Task5_Data!C223</f>
        <v>1.2689999999999999E-4</v>
      </c>
      <c r="D223">
        <f>Task5_Data!D223</f>
        <v>0.77</v>
      </c>
      <c r="E223">
        <f t="shared" si="6"/>
        <v>1.2593033640964573E-4</v>
      </c>
      <c r="F223" t="str">
        <f t="shared" si="7"/>
        <v>Up to $10</v>
      </c>
    </row>
    <row r="224" spans="1:6">
      <c r="A224" t="str">
        <f>Task5_Data!A224</f>
        <v>SHPING</v>
      </c>
      <c r="B224" t="str">
        <f>Task5_Data!B224</f>
        <v>SHPING</v>
      </c>
      <c r="C224">
        <f>Task5_Data!C224</f>
        <v>5.3339999999999995E-4</v>
      </c>
      <c r="D224">
        <f>Task5_Data!D224</f>
        <v>0.01</v>
      </c>
      <c r="E224">
        <f t="shared" si="6"/>
        <v>5.3334666533346657E-4</v>
      </c>
      <c r="F224" t="str">
        <f t="shared" si="7"/>
        <v>Up to $10</v>
      </c>
    </row>
    <row r="225" spans="1:6">
      <c r="A225" t="str">
        <f>Task5_Data!A225</f>
        <v>Shrapnel</v>
      </c>
      <c r="B225" t="str">
        <f>Task5_Data!B225</f>
        <v>SHRAP</v>
      </c>
      <c r="C225">
        <f>Task5_Data!C225</f>
        <v>3.5349999999999997E-4</v>
      </c>
      <c r="D225">
        <f>Task5_Data!D225</f>
        <v>0</v>
      </c>
      <c r="E225">
        <f t="shared" si="6"/>
        <v>3.5349999999999997E-4</v>
      </c>
      <c r="F225" t="str">
        <f t="shared" si="7"/>
        <v>Up to $10</v>
      </c>
    </row>
    <row r="226" spans="1:6">
      <c r="A226" t="str">
        <f>Task5_Data!A226</f>
        <v>SK Hynix Tokenized Stock (Ondo)</v>
      </c>
      <c r="B226" t="str">
        <f>Task5_Data!B226</f>
        <v>SKHYon</v>
      </c>
      <c r="C226">
        <f>Task5_Data!C226</f>
        <v>158.87</v>
      </c>
      <c r="D226">
        <f>Task5_Data!D226</f>
        <v>0.32</v>
      </c>
      <c r="E226">
        <f t="shared" si="6"/>
        <v>158.36323763955343</v>
      </c>
      <c r="F226" t="str">
        <f t="shared" si="7"/>
        <v>$10 and above</v>
      </c>
    </row>
    <row r="227" spans="1:6">
      <c r="A227" t="str">
        <f>Task5_Data!A227</f>
        <v>Skey Network</v>
      </c>
      <c r="B227" t="str">
        <f>Task5_Data!B227</f>
        <v>SKEY</v>
      </c>
      <c r="C227">
        <f>Task5_Data!C227</f>
        <v>1.8929999999999999E-3</v>
      </c>
      <c r="D227">
        <f>Task5_Data!D227</f>
        <v>0.26</v>
      </c>
      <c r="E227">
        <f t="shared" si="6"/>
        <v>1.8880909634949132E-3</v>
      </c>
      <c r="F227" t="str">
        <f t="shared" si="7"/>
        <v>Up to $10</v>
      </c>
    </row>
    <row r="228" spans="1:6">
      <c r="A228" t="str">
        <f>Task5_Data!A228</f>
        <v>SLIMEX</v>
      </c>
      <c r="B228" t="str">
        <f>Task5_Data!B228</f>
        <v>SLX</v>
      </c>
      <c r="C228">
        <f>Task5_Data!C228</f>
        <v>7.1909999999999997E-4</v>
      </c>
      <c r="D228">
        <f>Task5_Data!D228</f>
        <v>0.01</v>
      </c>
      <c r="E228">
        <f t="shared" si="6"/>
        <v>7.1902809719028092E-4</v>
      </c>
      <c r="F228" t="str">
        <f t="shared" si="7"/>
        <v>Up to $10</v>
      </c>
    </row>
    <row r="229" spans="1:6">
      <c r="A229" t="str">
        <f>Task5_Data!A229</f>
        <v>SoFi Technologies Tokenized Stock (Ondo)</v>
      </c>
      <c r="B229" t="str">
        <f>Task5_Data!B229</f>
        <v>SOFIon</v>
      </c>
      <c r="C229">
        <f>Task5_Data!C229</f>
        <v>18.420000000000002</v>
      </c>
      <c r="D229">
        <f>Task5_Data!D229</f>
        <v>0.28999999999999998</v>
      </c>
      <c r="E229">
        <f t="shared" si="6"/>
        <v>18.366736464253666</v>
      </c>
      <c r="F229" t="str">
        <f t="shared" si="7"/>
        <v>$10 and above</v>
      </c>
    </row>
    <row r="230" spans="1:6">
      <c r="A230" t="str">
        <f>Task5_Data!A230</f>
        <v>Solana</v>
      </c>
      <c r="B230" t="str">
        <f>Task5_Data!B230</f>
        <v>SOL</v>
      </c>
      <c r="C230">
        <f>Task5_Data!C230</f>
        <v>101.09</v>
      </c>
      <c r="D230">
        <f>Task5_Data!D230</f>
        <v>0.62</v>
      </c>
      <c r="E230">
        <f t="shared" si="6"/>
        <v>100.46710395547605</v>
      </c>
      <c r="F230" t="str">
        <f t="shared" si="7"/>
        <v>$10 and above</v>
      </c>
    </row>
    <row r="231" spans="1:6">
      <c r="A231" t="str">
        <f>Task5_Data!A231</f>
        <v>Solstice USX</v>
      </c>
      <c r="B231" t="str">
        <f>Task5_Data!B231</f>
        <v>USX</v>
      </c>
      <c r="C231">
        <f>Task5_Data!C231</f>
        <v>1</v>
      </c>
      <c r="D231">
        <f>Task5_Data!D231</f>
        <v>0.01</v>
      </c>
      <c r="E231">
        <f t="shared" si="6"/>
        <v>0.99990000999900008</v>
      </c>
      <c r="F231" t="str">
        <f t="shared" si="7"/>
        <v>Up to $10</v>
      </c>
    </row>
    <row r="232" spans="1:6">
      <c r="A232" t="str">
        <f>Task5_Data!A232</f>
        <v>Solv Protocol</v>
      </c>
      <c r="B232" t="str">
        <f>Task5_Data!B232</f>
        <v>SOLV</v>
      </c>
      <c r="C232">
        <f>Task5_Data!C232</f>
        <v>2.7989999999999998E-3</v>
      </c>
      <c r="D232">
        <f>Task5_Data!D232</f>
        <v>7.0000000000000007E-2</v>
      </c>
      <c r="E232">
        <f t="shared" si="6"/>
        <v>2.7970420705506144E-3</v>
      </c>
      <c r="F232" t="str">
        <f t="shared" si="7"/>
        <v>Up to $10</v>
      </c>
    </row>
    <row r="233" spans="1:6">
      <c r="A233" t="str">
        <f>Task5_Data!A233</f>
        <v>Spell Token</v>
      </c>
      <c r="B233" t="str">
        <f>Task5_Data!B233</f>
        <v>SPELL</v>
      </c>
      <c r="C233" t="str">
        <f>Task5_Data!C233</f>
        <v>8.813e-05</v>
      </c>
      <c r="D233">
        <f>Task5_Data!D233</f>
        <v>0.38</v>
      </c>
      <c r="E233">
        <f t="shared" si="6"/>
        <v>8.779637377963738E-5</v>
      </c>
      <c r="F233" t="str">
        <f t="shared" si="7"/>
        <v>$10 and above</v>
      </c>
    </row>
    <row r="234" spans="1:6">
      <c r="A234" t="str">
        <f>Task5_Data!A234</f>
        <v>Squid</v>
      </c>
      <c r="B234" t="str">
        <f>Task5_Data!B234</f>
        <v>QUID</v>
      </c>
      <c r="C234">
        <f>Task5_Data!C234</f>
        <v>7.1730000000000002E-2</v>
      </c>
      <c r="D234">
        <f>Task5_Data!D234</f>
        <v>0.77</v>
      </c>
      <c r="E234">
        <f t="shared" si="6"/>
        <v>7.1181899374813937E-2</v>
      </c>
      <c r="F234" t="str">
        <f t="shared" si="7"/>
        <v>Up to $10</v>
      </c>
    </row>
    <row r="235" spans="1:6">
      <c r="A235" t="str">
        <f>Task5_Data!A235</f>
        <v>ssv.network</v>
      </c>
      <c r="B235" t="str">
        <f>Task5_Data!B235</f>
        <v>SSV</v>
      </c>
      <c r="C235">
        <f>Task5_Data!C235</f>
        <v>2.68</v>
      </c>
      <c r="D235">
        <f>Task5_Data!D235</f>
        <v>1.33</v>
      </c>
      <c r="E235">
        <f t="shared" si="6"/>
        <v>2.6448238428895685</v>
      </c>
      <c r="F235" t="str">
        <f t="shared" si="7"/>
        <v>Up to $10</v>
      </c>
    </row>
    <row r="236" spans="1:6">
      <c r="A236" t="str">
        <f>Task5_Data!A236</f>
        <v>Stader</v>
      </c>
      <c r="B236" t="str">
        <f>Task5_Data!B236</f>
        <v>SD</v>
      </c>
      <c r="C236">
        <f>Task5_Data!C236</f>
        <v>0.1162</v>
      </c>
      <c r="D236">
        <f>Task5_Data!D236</f>
        <v>0.13</v>
      </c>
      <c r="E236">
        <f t="shared" si="6"/>
        <v>0.11604913612304003</v>
      </c>
      <c r="F236" t="str">
        <f t="shared" si="7"/>
        <v>Up to $10</v>
      </c>
    </row>
    <row r="237" spans="1:6">
      <c r="A237" t="str">
        <f>Task5_Data!A237</f>
        <v>StandX DUSD</v>
      </c>
      <c r="B237" t="str">
        <f>Task5_Data!B237</f>
        <v>DUSD</v>
      </c>
      <c r="C237">
        <f>Task5_Data!C237</f>
        <v>0.999</v>
      </c>
      <c r="D237">
        <f>Task5_Data!D237</f>
        <v>0.01</v>
      </c>
      <c r="E237">
        <f t="shared" si="6"/>
        <v>0.99890010998900114</v>
      </c>
      <c r="F237" t="str">
        <f t="shared" si="7"/>
        <v>Up to $10</v>
      </c>
    </row>
    <row r="238" spans="1:6">
      <c r="A238" t="str">
        <f>Task5_Data!A238</f>
        <v>Star Atlas DAO</v>
      </c>
      <c r="B238" t="str">
        <f>Task5_Data!B238</f>
        <v>POLIS</v>
      </c>
      <c r="C238">
        <f>Task5_Data!C238</f>
        <v>1.038E-2</v>
      </c>
      <c r="D238">
        <f>Task5_Data!D238</f>
        <v>1.56</v>
      </c>
      <c r="E238">
        <f t="shared" si="6"/>
        <v>1.0220559275305238E-2</v>
      </c>
      <c r="F238" t="str">
        <f t="shared" si="7"/>
        <v>Up to $10</v>
      </c>
    </row>
    <row r="239" spans="1:6">
      <c r="A239" t="str">
        <f>Task5_Data!A239</f>
        <v>Stargate Finance</v>
      </c>
      <c r="B239" t="str">
        <f>Task5_Data!B239</f>
        <v>STG</v>
      </c>
      <c r="C239">
        <f>Task5_Data!C239</f>
        <v>0.1595</v>
      </c>
      <c r="D239">
        <f>Task5_Data!D239</f>
        <v>0.37</v>
      </c>
      <c r="E239">
        <f t="shared" si="6"/>
        <v>0.15891202550562916</v>
      </c>
      <c r="F239" t="str">
        <f t="shared" si="7"/>
        <v>Up to $10</v>
      </c>
    </row>
    <row r="240" spans="1:6">
      <c r="A240" t="str">
        <f>Task5_Data!A240</f>
        <v>State Street SPDR S&amp;P 500 ETF Tokenized bStocks</v>
      </c>
      <c r="B240" t="str">
        <f>Task5_Data!B240</f>
        <v>SPYB</v>
      </c>
      <c r="C240">
        <f>Task5_Data!C240</f>
        <v>764.74</v>
      </c>
      <c r="D240">
        <f>Task5_Data!D240</f>
        <v>0.06</v>
      </c>
      <c r="E240">
        <f t="shared" si="6"/>
        <v>764.28143114131524</v>
      </c>
      <c r="F240" t="str">
        <f t="shared" si="7"/>
        <v>$10 and above</v>
      </c>
    </row>
    <row r="241" spans="1:6">
      <c r="A241" t="str">
        <f>Task5_Data!A241</f>
        <v>Status</v>
      </c>
      <c r="B241" t="str">
        <f>Task5_Data!B241</f>
        <v>SNT</v>
      </c>
      <c r="C241">
        <f>Task5_Data!C241</f>
        <v>6.1570000000000001E-3</v>
      </c>
      <c r="D241">
        <f>Task5_Data!D241</f>
        <v>0.38</v>
      </c>
      <c r="E241">
        <f t="shared" si="6"/>
        <v>6.1336919705120545E-3</v>
      </c>
      <c r="F241" t="str">
        <f t="shared" si="7"/>
        <v>Up to $10</v>
      </c>
    </row>
    <row r="242" spans="1:6">
      <c r="A242" t="str">
        <f>Task5_Data!A242</f>
        <v>STBL</v>
      </c>
      <c r="B242" t="str">
        <f>Task5_Data!B242</f>
        <v>STBL</v>
      </c>
      <c r="C242">
        <f>Task5_Data!C242</f>
        <v>2.503E-2</v>
      </c>
      <c r="D242">
        <f>Task5_Data!D242</f>
        <v>1.18</v>
      </c>
      <c r="E242">
        <f t="shared" si="6"/>
        <v>2.4738090531725637E-2</v>
      </c>
      <c r="F242" t="str">
        <f t="shared" si="7"/>
        <v>Up to $10</v>
      </c>
    </row>
    <row r="243" spans="1:6">
      <c r="A243" t="str">
        <f>Task5_Data!A243</f>
        <v>SuperRare</v>
      </c>
      <c r="B243" t="str">
        <f>Task5_Data!B243</f>
        <v>RARE</v>
      </c>
      <c r="C243">
        <f>Task5_Data!C243</f>
        <v>1.255E-2</v>
      </c>
      <c r="D243">
        <f>Task5_Data!D243</f>
        <v>0.71</v>
      </c>
      <c r="E243">
        <f t="shared" si="6"/>
        <v>1.2461523185383775E-2</v>
      </c>
      <c r="F243" t="str">
        <f t="shared" si="7"/>
        <v>Up to $10</v>
      </c>
    </row>
    <row r="244" spans="1:6">
      <c r="A244" t="str">
        <f>Task5_Data!A244</f>
        <v>SUPRA</v>
      </c>
      <c r="B244" t="str">
        <f>Task5_Data!B244</f>
        <v>SUPRA</v>
      </c>
      <c r="C244">
        <f>Task5_Data!C244</f>
        <v>1.9330000000000001E-4</v>
      </c>
      <c r="D244">
        <f>Task5_Data!D244</f>
        <v>0.13</v>
      </c>
      <c r="E244">
        <f t="shared" si="6"/>
        <v>1.9304903625287127E-4</v>
      </c>
      <c r="F244" t="str">
        <f t="shared" si="7"/>
        <v>Up to $10</v>
      </c>
    </row>
    <row r="245" spans="1:6">
      <c r="A245" t="str">
        <f>Task5_Data!A245</f>
        <v>Targon</v>
      </c>
      <c r="B245" t="str">
        <f>Task5_Data!B245</f>
        <v>SN4</v>
      </c>
      <c r="C245">
        <f>Task5_Data!C245</f>
        <v>13.79</v>
      </c>
      <c r="D245">
        <f>Task5_Data!D245</f>
        <v>0.63</v>
      </c>
      <c r="E245">
        <f t="shared" si="6"/>
        <v>13.703666898539202</v>
      </c>
      <c r="F245" t="str">
        <f t="shared" si="7"/>
        <v>$10 and above</v>
      </c>
    </row>
    <row r="246" spans="1:6">
      <c r="A246" t="str">
        <f>Task5_Data!A246</f>
        <v>Terra Classic</v>
      </c>
      <c r="B246" t="str">
        <f>Task5_Data!B246</f>
        <v>LUNC</v>
      </c>
      <c r="C246" t="str">
        <f>Task5_Data!C246</f>
        <v>5.508e-05</v>
      </c>
      <c r="D246">
        <f>Task5_Data!D246</f>
        <v>1.37</v>
      </c>
      <c r="E246">
        <f t="shared" si="6"/>
        <v>5.433560224918615E-5</v>
      </c>
      <c r="F246" t="str">
        <f t="shared" si="7"/>
        <v>$10 and above</v>
      </c>
    </row>
    <row r="247" spans="1:6">
      <c r="A247" t="str">
        <f>Task5_Data!A247</f>
        <v>TerraClassicUSD</v>
      </c>
      <c r="B247" t="str">
        <f>Task5_Data!B247</f>
        <v>USTC</v>
      </c>
      <c r="C247">
        <f>Task5_Data!C247</f>
        <v>5.4539999999999996E-3</v>
      </c>
      <c r="D247">
        <f>Task5_Data!D247</f>
        <v>1.22</v>
      </c>
      <c r="E247">
        <f t="shared" si="6"/>
        <v>5.388263189093064E-3</v>
      </c>
      <c r="F247" t="str">
        <f t="shared" si="7"/>
        <v>Up to $10</v>
      </c>
    </row>
    <row r="248" spans="1:6">
      <c r="A248" t="str">
        <f>Task5_Data!A248</f>
        <v>Tether</v>
      </c>
      <c r="B248" t="str">
        <f>Task5_Data!B248</f>
        <v>USDT</v>
      </c>
      <c r="C248">
        <f>Task5_Data!C248</f>
        <v>0.99960000000000004</v>
      </c>
      <c r="D248">
        <f>Task5_Data!D248</f>
        <v>0.01</v>
      </c>
      <c r="E248">
        <f t="shared" si="6"/>
        <v>0.99950004999500053</v>
      </c>
      <c r="F248" t="str">
        <f t="shared" si="7"/>
        <v>Up to $10</v>
      </c>
    </row>
    <row r="249" spans="1:6">
      <c r="A249" t="str">
        <f>Task5_Data!A249</f>
        <v>Tether EURt</v>
      </c>
      <c r="B249" t="str">
        <f>Task5_Data!B249</f>
        <v>EURt</v>
      </c>
      <c r="C249">
        <f>Task5_Data!C249</f>
        <v>5.296E-2</v>
      </c>
      <c r="D249">
        <f>Task5_Data!D249</f>
        <v>0</v>
      </c>
      <c r="E249">
        <f t="shared" si="6"/>
        <v>5.296E-2</v>
      </c>
      <c r="F249" t="str">
        <f t="shared" si="7"/>
        <v>Up to $10</v>
      </c>
    </row>
    <row r="250" spans="1:6">
      <c r="A250" t="str">
        <f>Task5_Data!A250</f>
        <v>Tether Gold Tokens</v>
      </c>
      <c r="B250" t="str">
        <f>Task5_Data!B250</f>
        <v>XAUT0</v>
      </c>
      <c r="C250">
        <f>Task5_Data!C250</f>
        <v>4631.91</v>
      </c>
      <c r="D250">
        <f>Task5_Data!D250</f>
        <v>0.14000000000000001</v>
      </c>
      <c r="E250">
        <f t="shared" si="6"/>
        <v>4625.4343918514078</v>
      </c>
      <c r="F250" t="str">
        <f t="shared" si="7"/>
        <v>$10 and above</v>
      </c>
    </row>
    <row r="251" spans="1:6">
      <c r="A251" t="str">
        <f>Task5_Data!A251</f>
        <v>Tezos</v>
      </c>
      <c r="B251" t="str">
        <f>Task5_Data!B251</f>
        <v>XTZ</v>
      </c>
      <c r="C251">
        <f>Task5_Data!C251</f>
        <v>0.23350000000000001</v>
      </c>
      <c r="D251">
        <f>Task5_Data!D251</f>
        <v>0.75</v>
      </c>
      <c r="E251">
        <f t="shared" si="6"/>
        <v>0.23176178660049629</v>
      </c>
      <c r="F251" t="str">
        <f t="shared" si="7"/>
        <v>Up to $10</v>
      </c>
    </row>
    <row r="252" spans="1:6">
      <c r="A252" t="str">
        <f>Task5_Data!A252</f>
        <v>TG Casino</v>
      </c>
      <c r="B252" t="str">
        <f>Task5_Data!B252</f>
        <v>TGC</v>
      </c>
      <c r="C252">
        <f>Task5_Data!C252</f>
        <v>0.13439999999999999</v>
      </c>
      <c r="D252">
        <f>Task5_Data!D252</f>
        <v>0.46</v>
      </c>
      <c r="E252">
        <f t="shared" si="6"/>
        <v>0.13378459088194306</v>
      </c>
      <c r="F252" t="str">
        <f t="shared" si="7"/>
        <v>Up to $10</v>
      </c>
    </row>
    <row r="253" spans="1:6">
      <c r="A253" t="str">
        <f>Task5_Data!A253</f>
        <v>The Official 67 Coin</v>
      </c>
      <c r="B253">
        <f>Task5_Data!B253</f>
        <v>67</v>
      </c>
      <c r="C253">
        <f>Task5_Data!C253</f>
        <v>1.931E-3</v>
      </c>
      <c r="D253">
        <f>Task5_Data!D253</f>
        <v>0.78</v>
      </c>
      <c r="E253">
        <f t="shared" si="6"/>
        <v>1.9160547727723753E-3</v>
      </c>
      <c r="F253" t="str">
        <f t="shared" si="7"/>
        <v>Up to $10</v>
      </c>
    </row>
    <row r="254" spans="1:6">
      <c r="A254" t="str">
        <f>Task5_Data!A254</f>
        <v>Threshold</v>
      </c>
      <c r="B254" t="str">
        <f>Task5_Data!B254</f>
        <v>T</v>
      </c>
      <c r="C254">
        <f>Task5_Data!C254</f>
        <v>3.7659999999999998E-3</v>
      </c>
      <c r="D254">
        <f>Task5_Data!D254</f>
        <v>0.28000000000000003</v>
      </c>
      <c r="E254">
        <f t="shared" si="6"/>
        <v>3.7554846429996014E-3</v>
      </c>
      <c r="F254" t="str">
        <f t="shared" si="7"/>
        <v>Up to $10</v>
      </c>
    </row>
    <row r="255" spans="1:6">
      <c r="A255" t="str">
        <f>Task5_Data!A255</f>
        <v>TOKPIE</v>
      </c>
      <c r="B255" t="str">
        <f>Task5_Data!B255</f>
        <v>TKP</v>
      </c>
      <c r="C255">
        <f>Task5_Data!C255</f>
        <v>4.2610000000000002E-2</v>
      </c>
      <c r="D255">
        <f>Task5_Data!D255</f>
        <v>0</v>
      </c>
      <c r="E255">
        <f t="shared" si="6"/>
        <v>4.2610000000000002E-2</v>
      </c>
      <c r="F255" t="str">
        <f t="shared" si="7"/>
        <v>Up to $10</v>
      </c>
    </row>
    <row r="256" spans="1:6">
      <c r="A256" t="str">
        <f>Task5_Data!A256</f>
        <v>Torch of Liberty</v>
      </c>
      <c r="B256" t="str">
        <f>Task5_Data!B256</f>
        <v>LIBERTY</v>
      </c>
      <c r="C256">
        <f>Task5_Data!C256</f>
        <v>1.5410000000000001E-3</v>
      </c>
      <c r="D256">
        <f>Task5_Data!D256</f>
        <v>0.24</v>
      </c>
      <c r="E256">
        <f t="shared" si="6"/>
        <v>1.5373104549082203E-3</v>
      </c>
      <c r="F256" t="str">
        <f t="shared" si="7"/>
        <v>Up to $10</v>
      </c>
    </row>
    <row r="257" spans="1:6">
      <c r="A257" t="str">
        <f>Task5_Data!A257</f>
        <v>Towns</v>
      </c>
      <c r="B257" t="str">
        <f>Task5_Data!B257</f>
        <v>TOWNS</v>
      </c>
      <c r="C257">
        <f>Task5_Data!C257</f>
        <v>2.457E-3</v>
      </c>
      <c r="D257">
        <f>Task5_Data!D257</f>
        <v>0.64</v>
      </c>
      <c r="E257">
        <f t="shared" si="6"/>
        <v>2.4413751987281398E-3</v>
      </c>
      <c r="F257" t="str">
        <f t="shared" si="7"/>
        <v>Up to $10</v>
      </c>
    </row>
    <row r="258" spans="1:6">
      <c r="A258" t="str">
        <f>Task5_Data!A258</f>
        <v>Trias Token (New)</v>
      </c>
      <c r="B258" t="str">
        <f>Task5_Data!B258</f>
        <v>TRIAS</v>
      </c>
      <c r="C258">
        <f>Task5_Data!C258</f>
        <v>0.2024</v>
      </c>
      <c r="D258">
        <f>Task5_Data!D258</f>
        <v>0.02</v>
      </c>
      <c r="E258">
        <f t="shared" si="6"/>
        <v>0.20235952809438112</v>
      </c>
      <c r="F258" t="str">
        <f t="shared" si="7"/>
        <v>Up to $10</v>
      </c>
    </row>
    <row r="259" spans="1:6">
      <c r="A259" t="str">
        <f>Task5_Data!A259</f>
        <v>TRON</v>
      </c>
      <c r="B259" t="str">
        <f>Task5_Data!B259</f>
        <v>TRX</v>
      </c>
      <c r="C259">
        <f>Task5_Data!C259</f>
        <v>0.34449999999999997</v>
      </c>
      <c r="D259">
        <f>Task5_Data!D259</f>
        <v>0.03</v>
      </c>
      <c r="E259">
        <f t="shared" ref="E259:E301" si="8">C259/(1+D259/100)</f>
        <v>0.34439668099570125</v>
      </c>
      <c r="F259" t="str">
        <f t="shared" ref="F259:F301" si="9">IF(C259&lt;10,"Up to $10","$10 and above")</f>
        <v>Up to $10</v>
      </c>
    </row>
    <row r="260" spans="1:6">
      <c r="A260" t="str">
        <f>Task5_Data!A260</f>
        <v>TrustSwap</v>
      </c>
      <c r="B260" t="str">
        <f>Task5_Data!B260</f>
        <v>SWAP</v>
      </c>
      <c r="C260">
        <f>Task5_Data!C260</f>
        <v>3.9170000000000003E-2</v>
      </c>
      <c r="D260">
        <f>Task5_Data!D260</f>
        <v>0.21</v>
      </c>
      <c r="E260">
        <f t="shared" si="8"/>
        <v>3.9087915377706818E-2</v>
      </c>
      <c r="F260" t="str">
        <f t="shared" si="9"/>
        <v>Up to $10</v>
      </c>
    </row>
    <row r="261" spans="1:6">
      <c r="A261" t="str">
        <f>Task5_Data!A261</f>
        <v>Truth</v>
      </c>
      <c r="B261" t="str">
        <f>Task5_Data!B261</f>
        <v>TRUU</v>
      </c>
      <c r="C261">
        <f>Task5_Data!C261</f>
        <v>3.3399999999999999E-4</v>
      </c>
      <c r="D261">
        <f>Task5_Data!D261</f>
        <v>1.72</v>
      </c>
      <c r="E261">
        <f t="shared" si="8"/>
        <v>3.2835233975619341E-4</v>
      </c>
      <c r="F261" t="str">
        <f t="shared" si="9"/>
        <v>Up to $10</v>
      </c>
    </row>
    <row r="262" spans="1:6">
      <c r="A262" t="str">
        <f>Task5_Data!A262</f>
        <v>ULTILAND</v>
      </c>
      <c r="B262" t="str">
        <f>Task5_Data!B262</f>
        <v>ARTX</v>
      </c>
      <c r="C262">
        <f>Task5_Data!C262</f>
        <v>0.1085</v>
      </c>
      <c r="D262">
        <f>Task5_Data!D262</f>
        <v>0.4</v>
      </c>
      <c r="E262">
        <f t="shared" si="8"/>
        <v>0.10806772908366534</v>
      </c>
      <c r="F262" t="str">
        <f t="shared" si="9"/>
        <v>Up to $10</v>
      </c>
    </row>
    <row r="263" spans="1:6">
      <c r="A263" t="str">
        <f>Task5_Data!A263</f>
        <v>Unibase</v>
      </c>
      <c r="B263" t="str">
        <f>Task5_Data!B263</f>
        <v>UB</v>
      </c>
      <c r="C263">
        <f>Task5_Data!C263</f>
        <v>0.12909999999999999</v>
      </c>
      <c r="D263">
        <f>Task5_Data!D263</f>
        <v>2.34</v>
      </c>
      <c r="E263">
        <f t="shared" si="8"/>
        <v>0.12614813367207348</v>
      </c>
      <c r="F263" t="str">
        <f t="shared" si="9"/>
        <v>Up to $10</v>
      </c>
    </row>
    <row r="264" spans="1:6">
      <c r="A264" t="str">
        <f>Task5_Data!A264</f>
        <v>UNUS SED LEO</v>
      </c>
      <c r="B264" t="str">
        <f>Task5_Data!B264</f>
        <v>LEO</v>
      </c>
      <c r="C264">
        <f>Task5_Data!C264</f>
        <v>9.35</v>
      </c>
      <c r="D264">
        <f>Task5_Data!D264</f>
        <v>0.06</v>
      </c>
      <c r="E264">
        <f t="shared" si="8"/>
        <v>9.3443933639816112</v>
      </c>
      <c r="F264" t="str">
        <f t="shared" si="9"/>
        <v>Up to $10</v>
      </c>
    </row>
    <row r="265" spans="1:6">
      <c r="A265" t="str">
        <f>Task5_Data!A265</f>
        <v>USDai</v>
      </c>
      <c r="B265" t="str">
        <f>Task5_Data!B265</f>
        <v>USDAI</v>
      </c>
      <c r="C265">
        <f>Task5_Data!C265</f>
        <v>0.99990000000000001</v>
      </c>
      <c r="D265">
        <f>Task5_Data!D265</f>
        <v>0.01</v>
      </c>
      <c r="E265">
        <f t="shared" si="8"/>
        <v>0.99980001999800017</v>
      </c>
      <c r="F265" t="str">
        <f t="shared" si="9"/>
        <v>Up to $10</v>
      </c>
    </row>
    <row r="266" spans="1:6">
      <c r="A266" t="str">
        <f>Task5_Data!A266</f>
        <v>USDC</v>
      </c>
      <c r="B266" t="str">
        <f>Task5_Data!B266</f>
        <v>USDC</v>
      </c>
      <c r="C266">
        <f>Task5_Data!C266</f>
        <v>0.99990000000000001</v>
      </c>
      <c r="D266">
        <f>Task5_Data!D266</f>
        <v>0</v>
      </c>
      <c r="E266">
        <f t="shared" si="8"/>
        <v>0.99990000000000001</v>
      </c>
      <c r="F266" t="str">
        <f t="shared" si="9"/>
        <v>Up to $10</v>
      </c>
    </row>
    <row r="267" spans="1:6">
      <c r="A267" t="str">
        <f>Task5_Data!A267</f>
        <v>USDGO</v>
      </c>
      <c r="B267" t="str">
        <f>Task5_Data!B267</f>
        <v>USDGO</v>
      </c>
      <c r="C267">
        <f>Task5_Data!C267</f>
        <v>1</v>
      </c>
      <c r="D267">
        <f>Task5_Data!D267</f>
        <v>0</v>
      </c>
      <c r="E267">
        <f t="shared" si="8"/>
        <v>1</v>
      </c>
      <c r="F267" t="str">
        <f t="shared" si="9"/>
        <v>Up to $10</v>
      </c>
    </row>
    <row r="268" spans="1:6">
      <c r="A268" t="str">
        <f>Task5_Data!A268</f>
        <v>Usual</v>
      </c>
      <c r="B268" t="str">
        <f>Task5_Data!B268</f>
        <v>USUAL</v>
      </c>
      <c r="C268">
        <f>Task5_Data!C268</f>
        <v>1.196E-2</v>
      </c>
      <c r="D268">
        <f>Task5_Data!D268</f>
        <v>1.44</v>
      </c>
      <c r="E268">
        <f t="shared" si="8"/>
        <v>1.1790220820189275E-2</v>
      </c>
      <c r="F268" t="str">
        <f t="shared" si="9"/>
        <v>Up to $10</v>
      </c>
    </row>
    <row r="269" spans="1:6">
      <c r="A269" t="str">
        <f>Task5_Data!A269</f>
        <v>Usual USD</v>
      </c>
      <c r="B269" t="str">
        <f>Task5_Data!B269</f>
        <v>USD0</v>
      </c>
      <c r="C269">
        <f>Task5_Data!C269</f>
        <v>0.99870000000000003</v>
      </c>
      <c r="D269">
        <f>Task5_Data!D269</f>
        <v>0.01</v>
      </c>
      <c r="E269">
        <f t="shared" si="8"/>
        <v>0.99860013998600139</v>
      </c>
      <c r="F269" t="str">
        <f t="shared" si="9"/>
        <v>Up to $10</v>
      </c>
    </row>
    <row r="270" spans="1:6">
      <c r="A270" t="str">
        <f>Task5_Data!A270</f>
        <v>Vader</v>
      </c>
      <c r="B270" t="str">
        <f>Task5_Data!B270</f>
        <v>VADER</v>
      </c>
      <c r="C270">
        <f>Task5_Data!C270</f>
        <v>1.539E-3</v>
      </c>
      <c r="D270">
        <f>Task5_Data!D270</f>
        <v>3.46</v>
      </c>
      <c r="E270">
        <f t="shared" si="8"/>
        <v>1.4875314131065145E-3</v>
      </c>
      <c r="F270" t="str">
        <f t="shared" si="9"/>
        <v>Up to $10</v>
      </c>
    </row>
    <row r="271" spans="1:6">
      <c r="A271" t="str">
        <f>Task5_Data!A271</f>
        <v>Validity</v>
      </c>
      <c r="B271" t="str">
        <f>Task5_Data!B271</f>
        <v>VAL</v>
      </c>
      <c r="C271">
        <f>Task5_Data!C271</f>
        <v>0.46960000000000002</v>
      </c>
      <c r="D271">
        <f>Task5_Data!D271</f>
        <v>0.21</v>
      </c>
      <c r="E271">
        <f t="shared" si="8"/>
        <v>0.4686159065961481</v>
      </c>
      <c r="F271" t="str">
        <f t="shared" si="9"/>
        <v>Up to $10</v>
      </c>
    </row>
    <row r="272" spans="1:6">
      <c r="A272" t="str">
        <f>Task5_Data!A272</f>
        <v>Vana</v>
      </c>
      <c r="B272" t="str">
        <f>Task5_Data!B272</f>
        <v>VANA</v>
      </c>
      <c r="C272">
        <f>Task5_Data!C272</f>
        <v>1.02</v>
      </c>
      <c r="D272">
        <f>Task5_Data!D272</f>
        <v>0.5</v>
      </c>
      <c r="E272">
        <f t="shared" si="8"/>
        <v>1.0149253731343284</v>
      </c>
      <c r="F272" t="str">
        <f t="shared" si="9"/>
        <v>Up to $10</v>
      </c>
    </row>
    <row r="273" spans="1:6">
      <c r="A273" t="str">
        <f>Task5_Data!A273</f>
        <v>Vanar Chain</v>
      </c>
      <c r="B273" t="str">
        <f>Task5_Data!B273</f>
        <v>VANRY</v>
      </c>
      <c r="C273">
        <f>Task5_Data!C273</f>
        <v>8.0579999999999996E-4</v>
      </c>
      <c r="D273">
        <f>Task5_Data!D273</f>
        <v>0.09</v>
      </c>
      <c r="E273">
        <f t="shared" si="8"/>
        <v>8.0507543211110009E-4</v>
      </c>
      <c r="F273" t="str">
        <f t="shared" si="9"/>
        <v>Up to $10</v>
      </c>
    </row>
    <row r="274" spans="1:6">
      <c r="A274" t="str">
        <f>Task5_Data!A274</f>
        <v>Venus BUSD</v>
      </c>
      <c r="B274" t="str">
        <f>Task5_Data!B274</f>
        <v>vBUSD</v>
      </c>
      <c r="C274">
        <f>Task5_Data!C274</f>
        <v>2.2349999999999998E-2</v>
      </c>
      <c r="D274">
        <f>Task5_Data!D274</f>
        <v>0.03</v>
      </c>
      <c r="E274">
        <f t="shared" si="8"/>
        <v>2.234329701089673E-2</v>
      </c>
      <c r="F274" t="str">
        <f t="shared" si="9"/>
        <v>Up to $10</v>
      </c>
    </row>
    <row r="275" spans="1:6">
      <c r="A275" t="str">
        <f>Task5_Data!A275</f>
        <v>Verasity</v>
      </c>
      <c r="B275" t="str">
        <f>Task5_Data!B275</f>
        <v>VRA</v>
      </c>
      <c r="C275" t="str">
        <f>Task5_Data!C275</f>
        <v>2.036e-05</v>
      </c>
      <c r="D275">
        <f>Task5_Data!D275</f>
        <v>0.11</v>
      </c>
      <c r="E275">
        <f t="shared" si="8"/>
        <v>2.0337628608530617E-5</v>
      </c>
      <c r="F275" t="str">
        <f t="shared" si="9"/>
        <v>$10 and above</v>
      </c>
    </row>
    <row r="276" spans="1:6">
      <c r="A276" t="str">
        <f>Task5_Data!A276</f>
        <v>Verge</v>
      </c>
      <c r="B276" t="str">
        <f>Task5_Data!B276</f>
        <v>XVG</v>
      </c>
      <c r="C276">
        <f>Task5_Data!C276</f>
        <v>2.594E-3</v>
      </c>
      <c r="D276">
        <f>Task5_Data!D276</f>
        <v>0.84</v>
      </c>
      <c r="E276">
        <f t="shared" si="8"/>
        <v>2.5723919079730265E-3</v>
      </c>
      <c r="F276" t="str">
        <f t="shared" si="9"/>
        <v>Up to $10</v>
      </c>
    </row>
    <row r="277" spans="1:6">
      <c r="A277" t="str">
        <f>Task5_Data!A277</f>
        <v>Vertcoin</v>
      </c>
      <c r="B277" t="str">
        <f>Task5_Data!B277</f>
        <v>VTC</v>
      </c>
      <c r="C277">
        <f>Task5_Data!C277</f>
        <v>5.237E-2</v>
      </c>
      <c r="D277">
        <f>Task5_Data!D277</f>
        <v>0.09</v>
      </c>
      <c r="E277">
        <f t="shared" si="8"/>
        <v>5.2322909381556607E-2</v>
      </c>
      <c r="F277" t="str">
        <f t="shared" si="9"/>
        <v>Up to $10</v>
      </c>
    </row>
    <row r="278" spans="1:6">
      <c r="A278" t="str">
        <f>Task5_Data!A278</f>
        <v>VitaDAO</v>
      </c>
      <c r="B278" t="str">
        <f>Task5_Data!B278</f>
        <v>VITA</v>
      </c>
      <c r="C278">
        <f>Task5_Data!C278</f>
        <v>0.27279999999999999</v>
      </c>
      <c r="D278">
        <f>Task5_Data!D278</f>
        <v>0.7</v>
      </c>
      <c r="E278">
        <f t="shared" si="8"/>
        <v>0.27090367428003975</v>
      </c>
      <c r="F278" t="str">
        <f t="shared" si="9"/>
        <v>Up to $10</v>
      </c>
    </row>
    <row r="279" spans="1:6">
      <c r="A279" t="str">
        <f>Task5_Data!A279</f>
        <v>W Coin</v>
      </c>
      <c r="B279" t="str">
        <f>Task5_Data!B279</f>
        <v>WCO</v>
      </c>
      <c r="C279">
        <f>Task5_Data!C279</f>
        <v>1.56E-4</v>
      </c>
      <c r="D279">
        <f>Task5_Data!D279</f>
        <v>0.02</v>
      </c>
      <c r="E279">
        <f t="shared" si="8"/>
        <v>1.5596880623875225E-4</v>
      </c>
      <c r="F279" t="str">
        <f t="shared" si="9"/>
        <v>Up to $10</v>
      </c>
    </row>
    <row r="280" spans="1:6">
      <c r="A280" t="str">
        <f>Task5_Data!A280</f>
        <v>Waves</v>
      </c>
      <c r="B280" t="str">
        <f>Task5_Data!B280</f>
        <v>WAVES</v>
      </c>
      <c r="C280">
        <f>Task5_Data!C280</f>
        <v>0.2215</v>
      </c>
      <c r="D280">
        <f>Task5_Data!D280</f>
        <v>7.0000000000000007E-2</v>
      </c>
      <c r="E280">
        <f t="shared" si="8"/>
        <v>0.22134505845907868</v>
      </c>
      <c r="F280" t="str">
        <f t="shared" si="9"/>
        <v>Up to $10</v>
      </c>
    </row>
    <row r="281" spans="1:6">
      <c r="A281" t="str">
        <f>Task5_Data!A281</f>
        <v>WazirX</v>
      </c>
      <c r="B281" t="str">
        <f>Task5_Data!B281</f>
        <v>WRX</v>
      </c>
      <c r="C281">
        <f>Task5_Data!C281</f>
        <v>1.7069999999999998E-2</v>
      </c>
      <c r="D281">
        <f>Task5_Data!D281</f>
        <v>0.3</v>
      </c>
      <c r="E281">
        <f t="shared" si="8"/>
        <v>1.7018943170488535E-2</v>
      </c>
      <c r="F281" t="str">
        <f t="shared" si="9"/>
        <v>Up to $10</v>
      </c>
    </row>
    <row r="282" spans="1:6">
      <c r="A282" t="str">
        <f>Task5_Data!A282</f>
        <v>WELF</v>
      </c>
      <c r="B282" t="str">
        <f>Task5_Data!B282</f>
        <v>WELF</v>
      </c>
      <c r="C282">
        <f>Task5_Data!C282</f>
        <v>9.8760000000000001E-2</v>
      </c>
      <c r="D282">
        <f>Task5_Data!D282</f>
        <v>0.01</v>
      </c>
      <c r="E282">
        <f t="shared" si="8"/>
        <v>9.8750124987501256E-2</v>
      </c>
      <c r="F282" t="str">
        <f t="shared" si="9"/>
        <v>Up to $10</v>
      </c>
    </row>
    <row r="283" spans="1:6">
      <c r="A283" t="str">
        <f>Task5_Data!A283</f>
        <v>Wexo</v>
      </c>
      <c r="B283" t="str">
        <f>Task5_Data!B283</f>
        <v>WEXO</v>
      </c>
      <c r="C283">
        <f>Task5_Data!C283</f>
        <v>1.341E-2</v>
      </c>
      <c r="D283">
        <f>Task5_Data!D283</f>
        <v>2.08</v>
      </c>
      <c r="E283">
        <f t="shared" si="8"/>
        <v>1.3136755485893417E-2</v>
      </c>
      <c r="F283" t="str">
        <f t="shared" si="9"/>
        <v>Up to $10</v>
      </c>
    </row>
    <row r="284" spans="1:6">
      <c r="A284" t="str">
        <f>Task5_Data!A284</f>
        <v>WINR Protocol</v>
      </c>
      <c r="B284" t="str">
        <f>Task5_Data!B284</f>
        <v>WINR</v>
      </c>
      <c r="C284">
        <f>Task5_Data!C284</f>
        <v>2.7299999999999998E-3</v>
      </c>
      <c r="D284">
        <f>Task5_Data!D284</f>
        <v>1.67</v>
      </c>
      <c r="E284">
        <f t="shared" si="8"/>
        <v>2.6851578636766008E-3</v>
      </c>
      <c r="F284" t="str">
        <f t="shared" si="9"/>
        <v>Up to $10</v>
      </c>
    </row>
    <row r="285" spans="1:6">
      <c r="A285" t="str">
        <f>Task5_Data!A285</f>
        <v>WOO</v>
      </c>
      <c r="B285" t="str">
        <f>Task5_Data!B285</f>
        <v>WOO</v>
      </c>
      <c r="C285">
        <f>Task5_Data!C285</f>
        <v>1.174E-2</v>
      </c>
      <c r="D285">
        <f>Task5_Data!D285</f>
        <v>0.7</v>
      </c>
      <c r="E285">
        <f t="shared" si="8"/>
        <v>1.1658391261171798E-2</v>
      </c>
      <c r="F285" t="str">
        <f t="shared" si="9"/>
        <v>Up to $10</v>
      </c>
    </row>
    <row r="286" spans="1:6">
      <c r="A286" t="str">
        <f>Task5_Data!A286</f>
        <v>World Mobile Token</v>
      </c>
      <c r="B286" t="str">
        <f>Task5_Data!B286</f>
        <v>WMTX</v>
      </c>
      <c r="C286">
        <f>Task5_Data!C286</f>
        <v>3.5490000000000001E-2</v>
      </c>
      <c r="D286">
        <f>Task5_Data!D286</f>
        <v>0.11</v>
      </c>
      <c r="E286">
        <f t="shared" si="8"/>
        <v>3.5451003895714712E-2</v>
      </c>
      <c r="F286" t="str">
        <f t="shared" si="9"/>
        <v>Up to $10</v>
      </c>
    </row>
    <row r="287" spans="1:6">
      <c r="A287" t="str">
        <f>Task5_Data!A287</f>
        <v>World of Dypians</v>
      </c>
      <c r="B287" t="str">
        <f>Task5_Data!B287</f>
        <v>WOD</v>
      </c>
      <c r="C287">
        <f>Task5_Data!C287</f>
        <v>4.1139999999999996E-3</v>
      </c>
      <c r="D287">
        <f>Task5_Data!D287</f>
        <v>3.52</v>
      </c>
      <c r="E287">
        <f t="shared" si="8"/>
        <v>3.9741112828438948E-3</v>
      </c>
      <c r="F287" t="str">
        <f t="shared" si="9"/>
        <v>Up to $10</v>
      </c>
    </row>
    <row r="288" spans="1:6">
      <c r="A288" t="str">
        <f>Task5_Data!A288</f>
        <v>Wormhole</v>
      </c>
      <c r="B288" t="str">
        <f>Task5_Data!B288</f>
        <v>W</v>
      </c>
      <c r="C288">
        <f>Task5_Data!C288</f>
        <v>9.7219999999999997E-3</v>
      </c>
      <c r="D288">
        <f>Task5_Data!D288</f>
        <v>0.69</v>
      </c>
      <c r="E288">
        <f t="shared" si="8"/>
        <v>9.6553778925414641E-3</v>
      </c>
      <c r="F288" t="str">
        <f t="shared" si="9"/>
        <v>Up to $10</v>
      </c>
    </row>
    <row r="289" spans="1:6">
      <c r="A289" t="str">
        <f>Task5_Data!A289</f>
        <v>would</v>
      </c>
      <c r="B289" t="str">
        <f>Task5_Data!B289</f>
        <v>WOULD</v>
      </c>
      <c r="C289">
        <f>Task5_Data!C289</f>
        <v>6.1429999999999998E-2</v>
      </c>
      <c r="D289">
        <f>Task5_Data!D289</f>
        <v>0.36</v>
      </c>
      <c r="E289">
        <f t="shared" si="8"/>
        <v>6.1209645277002789E-2</v>
      </c>
      <c r="F289" t="str">
        <f t="shared" si="9"/>
        <v>Up to $10</v>
      </c>
    </row>
    <row r="290" spans="1:6">
      <c r="A290" t="str">
        <f>Task5_Data!A290</f>
        <v>XRP</v>
      </c>
      <c r="B290" t="str">
        <f>Task5_Data!B290</f>
        <v>XRP</v>
      </c>
      <c r="C290">
        <f>Task5_Data!C290</f>
        <v>1.5</v>
      </c>
      <c r="D290">
        <f>Task5_Data!D290</f>
        <v>0.97</v>
      </c>
      <c r="E290">
        <f t="shared" si="8"/>
        <v>1.4855897791423194</v>
      </c>
      <c r="F290" t="str">
        <f t="shared" si="9"/>
        <v>Up to $10</v>
      </c>
    </row>
    <row r="291" spans="1:6">
      <c r="A291" t="str">
        <f>Task5_Data!A291</f>
        <v>XSwap</v>
      </c>
      <c r="B291" t="str">
        <f>Task5_Data!B291</f>
        <v>XSWAP</v>
      </c>
      <c r="C291">
        <f>Task5_Data!C291</f>
        <v>6.2940000000000001E-3</v>
      </c>
      <c r="D291">
        <f>Task5_Data!D291</f>
        <v>0</v>
      </c>
      <c r="E291">
        <f t="shared" si="8"/>
        <v>6.2940000000000001E-3</v>
      </c>
      <c r="F291" t="str">
        <f t="shared" si="9"/>
        <v>Up to $10</v>
      </c>
    </row>
    <row r="292" spans="1:6">
      <c r="A292" t="str">
        <f>Task5_Data!A292</f>
        <v>Yee Token</v>
      </c>
      <c r="B292" t="str">
        <f>Task5_Data!B292</f>
        <v>YEE</v>
      </c>
      <c r="C292">
        <f>Task5_Data!C292</f>
        <v>3.9370000000000004E-3</v>
      </c>
      <c r="D292">
        <f>Task5_Data!D292</f>
        <v>0.44</v>
      </c>
      <c r="E292">
        <f t="shared" si="8"/>
        <v>3.9197530864197539E-3</v>
      </c>
      <c r="F292" t="str">
        <f t="shared" si="9"/>
        <v>Up to $10</v>
      </c>
    </row>
    <row r="293" spans="1:6">
      <c r="A293" t="str">
        <f>Task5_Data!A293</f>
        <v>Yooldo</v>
      </c>
      <c r="B293" t="str">
        <f>Task5_Data!B293</f>
        <v>ESPORTS</v>
      </c>
      <c r="C293">
        <f>Task5_Data!C293</f>
        <v>1.452E-2</v>
      </c>
      <c r="D293">
        <f>Task5_Data!D293</f>
        <v>0.15</v>
      </c>
      <c r="E293">
        <f t="shared" si="8"/>
        <v>1.4498252621068396E-2</v>
      </c>
      <c r="F293" t="str">
        <f t="shared" si="9"/>
        <v>Up to $10</v>
      </c>
    </row>
    <row r="294" spans="1:6">
      <c r="A294" t="str">
        <f>Task5_Data!A294</f>
        <v>Young</v>
      </c>
      <c r="B294" t="str">
        <f>Task5_Data!B294</f>
        <v>YNG</v>
      </c>
      <c r="C294">
        <f>Task5_Data!C294</f>
        <v>0.64970000000000006</v>
      </c>
      <c r="D294">
        <f>Task5_Data!D294</f>
        <v>0</v>
      </c>
      <c r="E294">
        <f t="shared" si="8"/>
        <v>0.64970000000000006</v>
      </c>
      <c r="F294" t="str">
        <f t="shared" si="9"/>
        <v>Up to $10</v>
      </c>
    </row>
    <row r="295" spans="1:6">
      <c r="A295" t="str">
        <f>Task5_Data!A295</f>
        <v>Zcash</v>
      </c>
      <c r="B295" t="str">
        <f>Task5_Data!B295</f>
        <v>ZEC</v>
      </c>
      <c r="C295">
        <f>Task5_Data!C295</f>
        <v>848.04</v>
      </c>
      <c r="D295">
        <f>Task5_Data!D295</f>
        <v>0.64</v>
      </c>
      <c r="E295">
        <f t="shared" si="8"/>
        <v>842.64705882352939</v>
      </c>
      <c r="F295" t="str">
        <f t="shared" si="9"/>
        <v>$10 and above</v>
      </c>
    </row>
    <row r="296" spans="1:6">
      <c r="A296" t="str">
        <f>Task5_Data!A296</f>
        <v>ZenChain</v>
      </c>
      <c r="B296" t="str">
        <f>Task5_Data!B296</f>
        <v>ZTC</v>
      </c>
      <c r="C296">
        <f>Task5_Data!C296</f>
        <v>5.5449999999999998E-4</v>
      </c>
      <c r="D296">
        <f>Task5_Data!D296</f>
        <v>0.45</v>
      </c>
      <c r="E296">
        <f t="shared" si="8"/>
        <v>5.5201592832254849E-4</v>
      </c>
      <c r="F296" t="str">
        <f t="shared" si="9"/>
        <v>Up to $10</v>
      </c>
    </row>
    <row r="297" spans="1:6">
      <c r="A297" t="str">
        <f>Task5_Data!A297</f>
        <v>Zeus Network</v>
      </c>
      <c r="B297" t="str">
        <f>Task5_Data!B297</f>
        <v>ZEUS</v>
      </c>
      <c r="C297">
        <f>Task5_Data!C297</f>
        <v>2.5579999999999999E-3</v>
      </c>
      <c r="D297">
        <f>Task5_Data!D297</f>
        <v>0.1</v>
      </c>
      <c r="E297">
        <f t="shared" si="8"/>
        <v>2.5554445554445558E-3</v>
      </c>
      <c r="F297" t="str">
        <f t="shared" si="9"/>
        <v>Up to $10</v>
      </c>
    </row>
    <row r="298" spans="1:6">
      <c r="A298" t="str">
        <f>Task5_Data!A298</f>
        <v>ZORA</v>
      </c>
      <c r="B298" t="str">
        <f>Task5_Data!B298</f>
        <v>ZORA</v>
      </c>
      <c r="C298">
        <f>Task5_Data!C298</f>
        <v>6.8320000000000004E-3</v>
      </c>
      <c r="D298">
        <f>Task5_Data!D298</f>
        <v>2.2799999999999998</v>
      </c>
      <c r="E298">
        <f t="shared" si="8"/>
        <v>6.679702776691436E-3</v>
      </c>
      <c r="F298" t="str">
        <f t="shared" si="9"/>
        <v>Up to $10</v>
      </c>
    </row>
    <row r="299" spans="1:6">
      <c r="A299" t="str">
        <f>Task5_Data!A299</f>
        <v>Zyfai</v>
      </c>
      <c r="B299" t="str">
        <f>Task5_Data!B299</f>
        <v>ZFI</v>
      </c>
      <c r="C299">
        <f>Task5_Data!C299</f>
        <v>6.6930000000000002E-3</v>
      </c>
      <c r="D299">
        <f>Task5_Data!D299</f>
        <v>0</v>
      </c>
      <c r="E299">
        <f t="shared" si="8"/>
        <v>6.6930000000000002E-3</v>
      </c>
      <c r="F299" t="str">
        <f t="shared" si="9"/>
        <v>Up to $10</v>
      </c>
    </row>
    <row r="300" spans="1:6">
      <c r="A300" t="str">
        <f>Task5_Data!A300</f>
        <v>τemplar</v>
      </c>
      <c r="B300" t="str">
        <f>Task5_Data!B300</f>
        <v>SN3</v>
      </c>
      <c r="C300">
        <f>Task5_Data!C300</f>
        <v>7.37</v>
      </c>
      <c r="D300">
        <f>Task5_Data!D300</f>
        <v>1.5</v>
      </c>
      <c r="E300">
        <f t="shared" si="8"/>
        <v>7.2610837438423657</v>
      </c>
      <c r="F300" t="str">
        <f t="shared" si="9"/>
        <v>Up to $10</v>
      </c>
    </row>
    <row r="301" spans="1:6">
      <c r="A301" t="str">
        <f>Task5_Data!A301</f>
        <v>错版马</v>
      </c>
      <c r="B301" t="str">
        <f>Task5_Data!B301</f>
        <v>哭哭马</v>
      </c>
      <c r="C301">
        <f>Task5_Data!C301</f>
        <v>3.9649999999999998E-3</v>
      </c>
      <c r="D301">
        <f>Task5_Data!D301</f>
        <v>0.42</v>
      </c>
      <c r="E301">
        <f t="shared" si="8"/>
        <v>3.948416650069707E-3</v>
      </c>
      <c r="F301" t="str">
        <f t="shared" si="9"/>
        <v>Up to $10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4E0FC-1FB1-4929-A0BC-5968E6173E21}">
  <sheetPr codeName="Sheet16"/>
  <dimension ref="A1:D14"/>
  <sheetViews>
    <sheetView workbookViewId="0">
      <selection activeCell="D4" sqref="D4:D13"/>
    </sheetView>
  </sheetViews>
  <sheetFormatPr defaultRowHeight="14.4"/>
  <cols>
    <col min="1" max="1" width="45.77734375" bestFit="1" customWidth="1"/>
    <col min="2" max="2" width="19.77734375" bestFit="1" customWidth="1"/>
    <col min="3" max="3" width="16.88671875" bestFit="1" customWidth="1"/>
    <col min="4" max="4" width="18.88671875" bestFit="1" customWidth="1"/>
  </cols>
  <sheetData>
    <row r="1" spans="1:4">
      <c r="A1" s="26" t="s">
        <v>1120</v>
      </c>
      <c r="B1" t="s">
        <v>1122</v>
      </c>
    </row>
    <row r="3" spans="1:4">
      <c r="A3" s="26" t="s">
        <v>2</v>
      </c>
      <c r="B3" t="s">
        <v>248</v>
      </c>
      <c r="C3" t="s">
        <v>1119</v>
      </c>
      <c r="D3" t="s">
        <v>1118</v>
      </c>
    </row>
    <row r="4" spans="1:4">
      <c r="A4" s="2" t="s">
        <v>349</v>
      </c>
      <c r="B4">
        <v>1.37</v>
      </c>
      <c r="C4">
        <v>2.9142857142857146E-6</v>
      </c>
      <c r="D4">
        <v>0</v>
      </c>
    </row>
    <row r="5" spans="1:4">
      <c r="A5" s="2" t="s">
        <v>368</v>
      </c>
      <c r="B5">
        <v>1.36</v>
      </c>
      <c r="C5">
        <v>7.0808729139922971E-7</v>
      </c>
      <c r="D5">
        <v>0</v>
      </c>
    </row>
    <row r="6" spans="1:4">
      <c r="A6" s="2" t="s">
        <v>13</v>
      </c>
      <c r="B6">
        <v>1.21</v>
      </c>
      <c r="C6">
        <v>64.60957910014514</v>
      </c>
      <c r="D6">
        <v>0</v>
      </c>
    </row>
    <row r="7" spans="1:4">
      <c r="A7" s="2" t="s">
        <v>725</v>
      </c>
      <c r="B7">
        <v>0.9</v>
      </c>
      <c r="C7">
        <v>2.1581118240146654E-6</v>
      </c>
      <c r="D7">
        <v>0</v>
      </c>
    </row>
    <row r="8" spans="1:4">
      <c r="A8" s="2" t="s">
        <v>674</v>
      </c>
      <c r="B8">
        <v>0.76</v>
      </c>
      <c r="C8">
        <v>5.4395501405810682</v>
      </c>
      <c r="D8">
        <v>0</v>
      </c>
    </row>
    <row r="9" spans="1:4">
      <c r="A9" s="2" t="s">
        <v>536</v>
      </c>
      <c r="B9">
        <v>0.75</v>
      </c>
      <c r="C9">
        <v>7.0496062992125985</v>
      </c>
      <c r="D9">
        <v>0</v>
      </c>
    </row>
    <row r="10" spans="1:4">
      <c r="A10" s="2" t="s">
        <v>12</v>
      </c>
      <c r="B10">
        <v>0.64</v>
      </c>
      <c r="C10">
        <v>12.666766243465272</v>
      </c>
      <c r="D10">
        <v>0</v>
      </c>
    </row>
    <row r="11" spans="1:4">
      <c r="A11" s="2" t="s">
        <v>295</v>
      </c>
      <c r="B11">
        <v>0.62</v>
      </c>
      <c r="C11">
        <v>2.9575775307197194</v>
      </c>
      <c r="D11">
        <v>0</v>
      </c>
    </row>
    <row r="12" spans="1:4">
      <c r="A12" s="2" t="s">
        <v>6</v>
      </c>
      <c r="B12">
        <v>0.5</v>
      </c>
      <c r="C12">
        <v>37.482396216500256</v>
      </c>
      <c r="D12">
        <v>0</v>
      </c>
    </row>
    <row r="13" spans="1:4">
      <c r="A13" s="2" t="s">
        <v>389</v>
      </c>
      <c r="B13">
        <v>0.48</v>
      </c>
      <c r="C13">
        <v>222.8721088435374</v>
      </c>
      <c r="D13">
        <v>0</v>
      </c>
    </row>
    <row r="14" spans="1:4">
      <c r="A14" s="2" t="s">
        <v>246</v>
      </c>
      <c r="B14">
        <v>8.59</v>
      </c>
      <c r="C14">
        <v>222.8721088435374</v>
      </c>
      <c r="D14">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2AD91-136D-4899-8AAA-FEDC7E66F11B}">
  <dimension ref="A1"/>
  <sheetViews>
    <sheetView workbookViewId="0"/>
  </sheetViews>
  <sheetFormatPr defaultRowHeight="14.4"/>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43F2F-69DF-4895-83E4-38BCF5290DCD}">
  <sheetPr codeName="Sheet17"/>
  <dimension ref="A1:D84"/>
  <sheetViews>
    <sheetView workbookViewId="0">
      <selection activeCell="D138" sqref="D138"/>
    </sheetView>
  </sheetViews>
  <sheetFormatPr defaultRowHeight="14.4"/>
  <cols>
    <col min="1" max="1" width="45.77734375" bestFit="1" customWidth="1"/>
    <col min="2" max="2" width="16.5546875" bestFit="1" customWidth="1"/>
    <col min="3" max="3" width="25.44140625" bestFit="1" customWidth="1"/>
    <col min="4" max="4" width="18.21875" bestFit="1" customWidth="1"/>
  </cols>
  <sheetData>
    <row r="1" spans="1:4">
      <c r="A1" s="26" t="s">
        <v>1120</v>
      </c>
      <c r="B1" t="s">
        <v>1127</v>
      </c>
    </row>
    <row r="3" spans="1:4">
      <c r="A3" s="26" t="s">
        <v>2</v>
      </c>
      <c r="B3" t="s">
        <v>1123</v>
      </c>
      <c r="C3" t="s">
        <v>1124</v>
      </c>
      <c r="D3" t="s">
        <v>1125</v>
      </c>
    </row>
    <row r="4" spans="1:4">
      <c r="A4" s="2" t="s">
        <v>595</v>
      </c>
      <c r="B4">
        <v>9.1539999999999996E-2</v>
      </c>
      <c r="C4">
        <v>0</v>
      </c>
      <c r="D4">
        <v>1</v>
      </c>
    </row>
    <row r="5" spans="1:4">
      <c r="A5" s="2" t="s">
        <v>761</v>
      </c>
      <c r="B5">
        <v>0.18490000000000001</v>
      </c>
      <c r="C5">
        <v>2.3333333333333334E-2</v>
      </c>
      <c r="D5">
        <v>1</v>
      </c>
    </row>
    <row r="6" spans="1:4">
      <c r="A6" s="2" t="s">
        <v>875</v>
      </c>
      <c r="B6">
        <v>0.2024</v>
      </c>
      <c r="C6">
        <v>3.6666666666666667E-2</v>
      </c>
      <c r="D6">
        <v>1</v>
      </c>
    </row>
    <row r="7" spans="1:4">
      <c r="A7" s="2" t="s">
        <v>480</v>
      </c>
      <c r="B7">
        <v>0.22869999999999999</v>
      </c>
      <c r="C7">
        <v>6.6666666666666666E-2</v>
      </c>
      <c r="D7">
        <v>1</v>
      </c>
    </row>
    <row r="8" spans="1:4">
      <c r="A8" s="2" t="s">
        <v>599</v>
      </c>
      <c r="B8">
        <v>0.2319</v>
      </c>
      <c r="C8">
        <v>0.29333333333333333</v>
      </c>
      <c r="D8">
        <v>1</v>
      </c>
    </row>
    <row r="9" spans="1:4">
      <c r="A9" s="2" t="s">
        <v>17</v>
      </c>
      <c r="B9">
        <v>5.1766E-2</v>
      </c>
      <c r="C9">
        <v>0.3066666666666667</v>
      </c>
      <c r="D9">
        <v>1</v>
      </c>
    </row>
    <row r="10" spans="1:4">
      <c r="A10" s="2" t="s">
        <v>31</v>
      </c>
      <c r="B10">
        <v>8.3150000000000002E-2</v>
      </c>
      <c r="C10">
        <v>0.32333333333333331</v>
      </c>
      <c r="D10">
        <v>1</v>
      </c>
    </row>
    <row r="11" spans="1:4">
      <c r="A11" s="2" t="s">
        <v>398</v>
      </c>
      <c r="B11">
        <v>0.20619999999999999</v>
      </c>
      <c r="C11">
        <v>0.55666666666666664</v>
      </c>
      <c r="D11">
        <v>1</v>
      </c>
    </row>
    <row r="12" spans="1:4">
      <c r="A12" s="2" t="s">
        <v>48</v>
      </c>
      <c r="B12">
        <v>6.2762999999999999E-2</v>
      </c>
      <c r="C12">
        <v>0.85333333333333339</v>
      </c>
      <c r="D12">
        <v>1</v>
      </c>
    </row>
    <row r="13" spans="1:4">
      <c r="A13" s="2" t="s">
        <v>566</v>
      </c>
      <c r="B13">
        <v>0.12770000000000001</v>
      </c>
      <c r="C13">
        <v>1.03</v>
      </c>
      <c r="D13">
        <v>1</v>
      </c>
    </row>
    <row r="14" spans="1:4">
      <c r="A14" s="2" t="s">
        <v>9</v>
      </c>
      <c r="B14">
        <v>0.34449999999999997</v>
      </c>
      <c r="C14">
        <v>1.28</v>
      </c>
      <c r="D14">
        <v>1</v>
      </c>
    </row>
    <row r="15" spans="1:4">
      <c r="A15" s="2" t="s">
        <v>416</v>
      </c>
      <c r="B15">
        <v>6.4241000000000006E-2</v>
      </c>
      <c r="C15">
        <v>1.3233333333333335</v>
      </c>
      <c r="D15">
        <v>1</v>
      </c>
    </row>
    <row r="16" spans="1:4">
      <c r="A16" s="2" t="s">
        <v>680</v>
      </c>
      <c r="B16">
        <v>0.17150000000000001</v>
      </c>
      <c r="C16">
        <v>1.49</v>
      </c>
      <c r="D16">
        <v>1</v>
      </c>
    </row>
    <row r="17" spans="1:4">
      <c r="A17" s="2" t="s">
        <v>767</v>
      </c>
      <c r="B17">
        <v>5.296E-2</v>
      </c>
      <c r="C17">
        <v>1.57</v>
      </c>
      <c r="D17">
        <v>1</v>
      </c>
    </row>
    <row r="18" spans="1:4">
      <c r="A18" s="2" t="s">
        <v>550</v>
      </c>
      <c r="B18">
        <v>0.1943</v>
      </c>
      <c r="C18">
        <v>2.1066666666666669</v>
      </c>
      <c r="D18">
        <v>1</v>
      </c>
    </row>
    <row r="19" spans="1:4">
      <c r="A19" s="2" t="s">
        <v>669</v>
      </c>
      <c r="B19">
        <v>0.1288</v>
      </c>
      <c r="C19">
        <v>2.2933333333333334</v>
      </c>
      <c r="D19">
        <v>1</v>
      </c>
    </row>
    <row r="20" spans="1:4">
      <c r="A20" s="2" t="s">
        <v>576</v>
      </c>
      <c r="B20">
        <v>0.13439999999999999</v>
      </c>
      <c r="C20">
        <v>2.3033333333333332</v>
      </c>
      <c r="D20">
        <v>1</v>
      </c>
    </row>
    <row r="21" spans="1:4">
      <c r="A21" s="2" t="s">
        <v>500</v>
      </c>
      <c r="B21">
        <v>0.26550000000000001</v>
      </c>
      <c r="C21">
        <v>2.5366666666666666</v>
      </c>
      <c r="D21">
        <v>1</v>
      </c>
    </row>
    <row r="22" spans="1:4">
      <c r="A22" s="2" t="s">
        <v>815</v>
      </c>
      <c r="B22">
        <v>8.4791000000000005E-2</v>
      </c>
      <c r="C22">
        <v>2.7133333333333334</v>
      </c>
      <c r="D22">
        <v>1</v>
      </c>
    </row>
    <row r="23" spans="1:4">
      <c r="A23" s="2" t="s">
        <v>477</v>
      </c>
      <c r="B23">
        <v>5.092E-2</v>
      </c>
      <c r="C23">
        <v>2.7566666666666664</v>
      </c>
      <c r="D23">
        <v>1</v>
      </c>
    </row>
    <row r="24" spans="1:4">
      <c r="A24" s="2" t="s">
        <v>605</v>
      </c>
      <c r="B24">
        <v>6.3909999999999995E-2</v>
      </c>
      <c r="C24">
        <v>2.8266666666666667</v>
      </c>
      <c r="D24">
        <v>1</v>
      </c>
    </row>
    <row r="25" spans="1:4">
      <c r="A25" s="2" t="s">
        <v>660</v>
      </c>
      <c r="B25">
        <v>0.372</v>
      </c>
      <c r="C25">
        <v>2.9866666666666668</v>
      </c>
      <c r="D25">
        <v>1</v>
      </c>
    </row>
    <row r="26" spans="1:4">
      <c r="A26" s="2" t="s">
        <v>266</v>
      </c>
      <c r="B26">
        <v>0.27900000000000003</v>
      </c>
      <c r="C26">
        <v>3.5700000000000003</v>
      </c>
      <c r="D26">
        <v>1</v>
      </c>
    </row>
    <row r="27" spans="1:4">
      <c r="A27" s="2" t="s">
        <v>404</v>
      </c>
      <c r="B27">
        <v>6.1429999999999998E-2</v>
      </c>
      <c r="C27">
        <v>3.7666666666666671</v>
      </c>
      <c r="D27">
        <v>1</v>
      </c>
    </row>
    <row r="28" spans="1:4">
      <c r="A28" s="2" t="s">
        <v>747</v>
      </c>
      <c r="B28">
        <v>0.46960000000000002</v>
      </c>
      <c r="C28">
        <v>3.9500000000000006</v>
      </c>
      <c r="D28">
        <v>1</v>
      </c>
    </row>
    <row r="29" spans="1:4">
      <c r="A29" s="2" t="s">
        <v>511</v>
      </c>
      <c r="B29">
        <v>0.17349999999999999</v>
      </c>
      <c r="C29">
        <v>4.083333333333333</v>
      </c>
      <c r="D29">
        <v>1</v>
      </c>
    </row>
    <row r="30" spans="1:4">
      <c r="A30" s="2" t="s">
        <v>652</v>
      </c>
      <c r="B30">
        <v>0.32829999999999998</v>
      </c>
      <c r="C30">
        <v>4.5633333333333335</v>
      </c>
      <c r="D30">
        <v>1</v>
      </c>
    </row>
    <row r="31" spans="1:4">
      <c r="A31" s="2" t="s">
        <v>544</v>
      </c>
      <c r="B31">
        <v>6.5549999999999997E-2</v>
      </c>
      <c r="C31">
        <v>4.66</v>
      </c>
      <c r="D31">
        <v>1</v>
      </c>
    </row>
    <row r="32" spans="1:4">
      <c r="A32" s="2" t="s">
        <v>27</v>
      </c>
      <c r="B32">
        <v>0.22070000000000001</v>
      </c>
      <c r="C32">
        <v>4.7133333333333329</v>
      </c>
      <c r="D32">
        <v>1</v>
      </c>
    </row>
    <row r="33" spans="1:4">
      <c r="A33" s="2" t="s">
        <v>60</v>
      </c>
      <c r="B33">
        <v>6.2956999999999999E-2</v>
      </c>
      <c r="C33">
        <v>4.75</v>
      </c>
      <c r="D33">
        <v>1</v>
      </c>
    </row>
    <row r="34" spans="1:4">
      <c r="A34" s="2" t="s">
        <v>486</v>
      </c>
      <c r="B34">
        <v>0.1595</v>
      </c>
      <c r="C34">
        <v>4.8266666666666671</v>
      </c>
      <c r="D34">
        <v>1</v>
      </c>
    </row>
    <row r="35" spans="1:4">
      <c r="A35" s="2" t="s">
        <v>574</v>
      </c>
      <c r="B35">
        <v>7.1730000000000002E-2</v>
      </c>
      <c r="C35">
        <v>5.2133333333333338</v>
      </c>
      <c r="D35">
        <v>1</v>
      </c>
    </row>
    <row r="36" spans="1:4">
      <c r="A36" s="2" t="s">
        <v>152</v>
      </c>
      <c r="B36">
        <v>0.121</v>
      </c>
      <c r="C36">
        <v>5.2666666666666666</v>
      </c>
      <c r="D36">
        <v>1</v>
      </c>
    </row>
    <row r="37" spans="1:4">
      <c r="A37" s="2" t="s">
        <v>699</v>
      </c>
      <c r="B37">
        <v>9.0090000000000003E-2</v>
      </c>
      <c r="C37">
        <v>5.57</v>
      </c>
      <c r="D37">
        <v>1</v>
      </c>
    </row>
    <row r="38" spans="1:4">
      <c r="A38" s="2" t="s">
        <v>504</v>
      </c>
      <c r="B38">
        <v>5.4050000000000001E-2</v>
      </c>
      <c r="C38">
        <v>5.5933333333333337</v>
      </c>
      <c r="D38">
        <v>1</v>
      </c>
    </row>
    <row r="39" spans="1:4">
      <c r="A39" s="2" t="s">
        <v>57</v>
      </c>
      <c r="B39">
        <v>0.23350000000000001</v>
      </c>
      <c r="C39">
        <v>5.7399999999999993</v>
      </c>
      <c r="D39">
        <v>1</v>
      </c>
    </row>
    <row r="40" spans="1:4">
      <c r="A40" s="2" t="s">
        <v>188</v>
      </c>
      <c r="B40">
        <v>0.10249999999999999</v>
      </c>
      <c r="C40">
        <v>6.16</v>
      </c>
      <c r="D40">
        <v>1</v>
      </c>
    </row>
    <row r="41" spans="1:4">
      <c r="A41" s="2" t="s">
        <v>454</v>
      </c>
      <c r="B41">
        <v>6.93E-2</v>
      </c>
      <c r="C41">
        <v>6.32</v>
      </c>
      <c r="D41">
        <v>1</v>
      </c>
    </row>
    <row r="42" spans="1:4">
      <c r="A42" s="2" t="s">
        <v>463</v>
      </c>
      <c r="B42">
        <v>0.2215</v>
      </c>
      <c r="C42">
        <v>6.6733333333333329</v>
      </c>
      <c r="D42">
        <v>1</v>
      </c>
    </row>
    <row r="43" spans="1:4">
      <c r="A43" s="2" t="s">
        <v>656</v>
      </c>
      <c r="B43">
        <v>0.39600000000000002</v>
      </c>
      <c r="C43">
        <v>6.6766666666666659</v>
      </c>
      <c r="D43">
        <v>1</v>
      </c>
    </row>
    <row r="44" spans="1:4">
      <c r="A44" s="2" t="s">
        <v>461</v>
      </c>
      <c r="B44">
        <v>0.27939999999999998</v>
      </c>
      <c r="C44">
        <v>6.7966666666666669</v>
      </c>
      <c r="D44">
        <v>1</v>
      </c>
    </row>
    <row r="45" spans="1:4">
      <c r="A45" s="2" t="s">
        <v>438</v>
      </c>
      <c r="B45">
        <v>0.1208</v>
      </c>
      <c r="C45">
        <v>6.81</v>
      </c>
      <c r="D45">
        <v>1</v>
      </c>
    </row>
    <row r="46" spans="1:4">
      <c r="A46" s="2" t="s">
        <v>8</v>
      </c>
      <c r="B46">
        <v>9.6890000000000004E-2</v>
      </c>
      <c r="C46">
        <v>7.0633333333333335</v>
      </c>
      <c r="D46">
        <v>1</v>
      </c>
    </row>
    <row r="47" spans="1:4">
      <c r="A47" s="2" t="s">
        <v>602</v>
      </c>
      <c r="B47">
        <v>0.2727</v>
      </c>
      <c r="C47">
        <v>7.5466666666666669</v>
      </c>
      <c r="D47">
        <v>1</v>
      </c>
    </row>
    <row r="48" spans="1:4">
      <c r="A48" s="2" t="s">
        <v>822</v>
      </c>
      <c r="B48">
        <v>9.8760000000000001E-2</v>
      </c>
      <c r="C48">
        <v>7.62</v>
      </c>
      <c r="D48">
        <v>1</v>
      </c>
    </row>
    <row r="49" spans="1:4">
      <c r="A49" s="2" t="s">
        <v>484</v>
      </c>
      <c r="B49">
        <v>8.8480000000000003E-2</v>
      </c>
      <c r="C49">
        <v>8.15</v>
      </c>
      <c r="D49">
        <v>1</v>
      </c>
    </row>
    <row r="50" spans="1:4">
      <c r="A50" s="2" t="s">
        <v>14</v>
      </c>
      <c r="B50">
        <v>5.0340000000000003E-2</v>
      </c>
      <c r="C50">
        <v>8.3833333333333329</v>
      </c>
      <c r="D50">
        <v>1</v>
      </c>
    </row>
    <row r="51" spans="1:4">
      <c r="A51" s="2" t="s">
        <v>617</v>
      </c>
      <c r="B51">
        <v>7.1664000000000005E-2</v>
      </c>
      <c r="C51">
        <v>8.5233333333333334</v>
      </c>
      <c r="D51">
        <v>1</v>
      </c>
    </row>
    <row r="52" spans="1:4">
      <c r="A52" s="2" t="s">
        <v>28</v>
      </c>
      <c r="B52">
        <v>0.12909999999999999</v>
      </c>
      <c r="C52">
        <v>8.5299999999999994</v>
      </c>
      <c r="D52">
        <v>1</v>
      </c>
    </row>
    <row r="53" spans="1:4">
      <c r="A53" s="2" t="s">
        <v>205</v>
      </c>
      <c r="B53">
        <v>8.7274000000000004E-2</v>
      </c>
      <c r="C53">
        <v>8.6566666666666663</v>
      </c>
      <c r="D53">
        <v>1</v>
      </c>
    </row>
    <row r="54" spans="1:4">
      <c r="A54" s="2" t="s">
        <v>697</v>
      </c>
      <c r="B54">
        <v>5.237E-2</v>
      </c>
      <c r="C54">
        <v>8.8899999999999988</v>
      </c>
      <c r="D54">
        <v>1</v>
      </c>
    </row>
    <row r="55" spans="1:4">
      <c r="A55" s="2" t="s">
        <v>419</v>
      </c>
      <c r="B55">
        <v>0.43259999999999998</v>
      </c>
      <c r="C55">
        <v>9.1766666666666676</v>
      </c>
      <c r="D55">
        <v>1</v>
      </c>
    </row>
    <row r="56" spans="1:4">
      <c r="A56" s="2" t="s">
        <v>346</v>
      </c>
      <c r="B56">
        <v>0.37619999999999998</v>
      </c>
      <c r="C56">
        <v>9.3800000000000008</v>
      </c>
      <c r="D56">
        <v>1</v>
      </c>
    </row>
    <row r="57" spans="1:4">
      <c r="A57" s="2" t="s">
        <v>609</v>
      </c>
      <c r="B57">
        <v>0.1162</v>
      </c>
      <c r="C57">
        <v>9.543333333333333</v>
      </c>
      <c r="D57">
        <v>1</v>
      </c>
    </row>
    <row r="58" spans="1:4">
      <c r="A58" s="2" t="s">
        <v>406</v>
      </c>
      <c r="B58">
        <v>0.2203</v>
      </c>
      <c r="C58">
        <v>9.56</v>
      </c>
      <c r="D58">
        <v>1</v>
      </c>
    </row>
    <row r="59" spans="1:4">
      <c r="A59" s="2" t="s">
        <v>434</v>
      </c>
      <c r="B59">
        <v>7.2410000000000002E-2</v>
      </c>
      <c r="C59">
        <v>9.6999999999999993</v>
      </c>
      <c r="D59">
        <v>1</v>
      </c>
    </row>
    <row r="60" spans="1:4">
      <c r="A60" s="2" t="s">
        <v>626</v>
      </c>
      <c r="B60">
        <v>6.8585999999999994E-2</v>
      </c>
      <c r="C60">
        <v>10.313333333333334</v>
      </c>
      <c r="D60">
        <v>1</v>
      </c>
    </row>
    <row r="61" spans="1:4">
      <c r="A61" s="2" t="s">
        <v>364</v>
      </c>
      <c r="B61">
        <v>9.8059999999999994E-2</v>
      </c>
      <c r="C61">
        <v>10.479999999999999</v>
      </c>
      <c r="D61">
        <v>1</v>
      </c>
    </row>
    <row r="62" spans="1:4">
      <c r="A62" s="2" t="s">
        <v>264</v>
      </c>
      <c r="B62">
        <v>9.2090000000000005E-2</v>
      </c>
      <c r="C62">
        <v>11.03</v>
      </c>
      <c r="D62">
        <v>1</v>
      </c>
    </row>
    <row r="63" spans="1:4">
      <c r="A63" s="2" t="s">
        <v>498</v>
      </c>
      <c r="B63">
        <v>0.26469999999999999</v>
      </c>
      <c r="C63">
        <v>11.086666666666666</v>
      </c>
      <c r="D63">
        <v>1</v>
      </c>
    </row>
    <row r="64" spans="1:4">
      <c r="A64" s="2" t="s">
        <v>844</v>
      </c>
      <c r="B64">
        <v>7.1887000000000006E-2</v>
      </c>
      <c r="C64">
        <v>11.26</v>
      </c>
      <c r="D64">
        <v>1</v>
      </c>
    </row>
    <row r="65" spans="1:4">
      <c r="A65" s="2" t="s">
        <v>201</v>
      </c>
      <c r="B65">
        <v>5.3672999999999998E-2</v>
      </c>
      <c r="C65">
        <v>11.593333333333334</v>
      </c>
      <c r="D65">
        <v>1</v>
      </c>
    </row>
    <row r="66" spans="1:4">
      <c r="A66" s="2" t="s">
        <v>771</v>
      </c>
      <c r="B66">
        <v>7.5439999999999993E-2</v>
      </c>
      <c r="C66">
        <v>11.873333333333335</v>
      </c>
      <c r="D66">
        <v>1</v>
      </c>
    </row>
    <row r="67" spans="1:4">
      <c r="A67" s="2" t="s">
        <v>377</v>
      </c>
      <c r="B67">
        <v>0.45639999999999997</v>
      </c>
      <c r="C67">
        <v>12.026666666666666</v>
      </c>
      <c r="D67">
        <v>1</v>
      </c>
    </row>
    <row r="68" spans="1:4">
      <c r="A68" s="2" t="s">
        <v>32</v>
      </c>
      <c r="B68">
        <v>0.1331</v>
      </c>
      <c r="C68">
        <v>12.523333333333333</v>
      </c>
      <c r="D68">
        <v>1</v>
      </c>
    </row>
    <row r="69" spans="1:4">
      <c r="A69" s="2" t="s">
        <v>559</v>
      </c>
      <c r="B69">
        <v>8.0329999999999999E-2</v>
      </c>
      <c r="C69">
        <v>13.700000000000001</v>
      </c>
      <c r="D69">
        <v>1</v>
      </c>
    </row>
    <row r="70" spans="1:4">
      <c r="A70" s="2" t="s">
        <v>360</v>
      </c>
      <c r="B70">
        <v>9.0190000000000006E-2</v>
      </c>
      <c r="C70">
        <v>14.036666666666667</v>
      </c>
      <c r="D70">
        <v>1</v>
      </c>
    </row>
    <row r="71" spans="1:4">
      <c r="A71" s="2" t="s">
        <v>612</v>
      </c>
      <c r="B71">
        <v>0.1085</v>
      </c>
      <c r="C71">
        <v>14.306666666666667</v>
      </c>
      <c r="D71">
        <v>1</v>
      </c>
    </row>
    <row r="72" spans="1:4">
      <c r="A72" s="2" t="s">
        <v>119</v>
      </c>
      <c r="B72">
        <v>0.22650000000000001</v>
      </c>
      <c r="C72">
        <v>14.536666666666667</v>
      </c>
      <c r="D72">
        <v>1</v>
      </c>
    </row>
    <row r="73" spans="1:4">
      <c r="A73" s="2" t="s">
        <v>535</v>
      </c>
      <c r="B73">
        <v>5.6610000000000001E-2</v>
      </c>
      <c r="C73">
        <v>14.703333333333333</v>
      </c>
      <c r="D73">
        <v>1</v>
      </c>
    </row>
    <row r="74" spans="1:4">
      <c r="A74" s="2" t="s">
        <v>849</v>
      </c>
      <c r="B74">
        <v>0.38800000000000001</v>
      </c>
      <c r="C74">
        <v>14.89</v>
      </c>
      <c r="D74">
        <v>1</v>
      </c>
    </row>
    <row r="75" spans="1:4">
      <c r="A75" s="2" t="s">
        <v>18</v>
      </c>
      <c r="B75">
        <v>5.3266000000000001E-2</v>
      </c>
      <c r="C75">
        <v>15.836666666666668</v>
      </c>
      <c r="D75">
        <v>1</v>
      </c>
    </row>
    <row r="76" spans="1:4">
      <c r="A76" s="2" t="s">
        <v>871</v>
      </c>
      <c r="B76">
        <v>5.0970000000000001E-2</v>
      </c>
      <c r="C76">
        <v>16.650000000000002</v>
      </c>
      <c r="D76">
        <v>1</v>
      </c>
    </row>
    <row r="77" spans="1:4">
      <c r="A77" s="2" t="s">
        <v>306</v>
      </c>
      <c r="B77">
        <v>0.27279999999999999</v>
      </c>
      <c r="C77">
        <v>16.98</v>
      </c>
      <c r="D77">
        <v>1</v>
      </c>
    </row>
    <row r="78" spans="1:4">
      <c r="A78" s="2" t="s">
        <v>425</v>
      </c>
      <c r="B78">
        <v>0.12989999999999999</v>
      </c>
      <c r="C78">
        <v>18.16</v>
      </c>
      <c r="D78">
        <v>1</v>
      </c>
    </row>
    <row r="79" spans="1:4">
      <c r="A79" s="2" t="s">
        <v>442</v>
      </c>
      <c r="B79">
        <v>0.28749999999999998</v>
      </c>
      <c r="C79">
        <v>19.703333333333333</v>
      </c>
      <c r="D79">
        <v>1</v>
      </c>
    </row>
    <row r="80" spans="1:4">
      <c r="A80" s="2" t="s">
        <v>402</v>
      </c>
      <c r="B80">
        <v>6.2579999999999997E-2</v>
      </c>
      <c r="C80">
        <v>21.25</v>
      </c>
      <c r="D80">
        <v>1</v>
      </c>
    </row>
    <row r="81" spans="1:4">
      <c r="A81" s="2" t="s">
        <v>584</v>
      </c>
      <c r="B81">
        <v>8.7129999999999999E-2</v>
      </c>
      <c r="C81">
        <v>25.326666666666668</v>
      </c>
      <c r="D81">
        <v>1</v>
      </c>
    </row>
    <row r="82" spans="1:4">
      <c r="A82" s="2" t="s">
        <v>721</v>
      </c>
      <c r="B82">
        <v>0.3377</v>
      </c>
      <c r="C82">
        <v>54.120000000000005</v>
      </c>
      <c r="D82">
        <v>1</v>
      </c>
    </row>
    <row r="83" spans="1:4">
      <c r="A83" s="2" t="s">
        <v>387</v>
      </c>
      <c r="B83">
        <v>8.9980000000000004E-2</v>
      </c>
      <c r="C83">
        <v>82.8</v>
      </c>
      <c r="D83">
        <v>1</v>
      </c>
    </row>
    <row r="84" spans="1:4">
      <c r="A84" s="2" t="s">
        <v>246</v>
      </c>
      <c r="B84">
        <v>5.0340000000000003E-2</v>
      </c>
      <c r="C84">
        <v>0</v>
      </c>
      <c r="D84">
        <v>80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J301"/>
  <sheetViews>
    <sheetView topLeftCell="A103" zoomScale="78" workbookViewId="0">
      <selection activeCell="D19" sqref="D19"/>
    </sheetView>
  </sheetViews>
  <sheetFormatPr defaultColWidth="9" defaultRowHeight="14.4"/>
  <cols>
    <col min="1" max="1" width="52.109375" bestFit="1" customWidth="1"/>
    <col min="2" max="2" width="24.88671875" bestFit="1" customWidth="1"/>
    <col min="3" max="3" width="24" bestFit="1" customWidth="1"/>
    <col min="4" max="4" width="14.6640625" bestFit="1" customWidth="1"/>
    <col min="5" max="5" width="12.88671875" customWidth="1"/>
    <col min="6" max="6" width="15.6640625" customWidth="1"/>
    <col min="7" max="7" width="12.44140625" bestFit="1" customWidth="1"/>
    <col min="8" max="8" width="14.33203125" bestFit="1" customWidth="1"/>
    <col min="9" max="9" width="10.5546875" bestFit="1" customWidth="1"/>
    <col min="10" max="10" width="18.5546875" bestFit="1" customWidth="1"/>
  </cols>
  <sheetData>
    <row r="1" spans="1:10">
      <c r="A1" t="s">
        <v>307</v>
      </c>
      <c r="B1" t="s">
        <v>308</v>
      </c>
      <c r="C1" t="s">
        <v>309</v>
      </c>
      <c r="D1" t="s">
        <v>310</v>
      </c>
      <c r="E1" t="s">
        <v>1117</v>
      </c>
      <c r="F1" t="s">
        <v>320</v>
      </c>
      <c r="G1" t="s">
        <v>1115</v>
      </c>
      <c r="H1" t="s">
        <v>1116</v>
      </c>
      <c r="I1" t="s">
        <v>1120</v>
      </c>
      <c r="J1" t="s">
        <v>1121</v>
      </c>
    </row>
    <row r="2" spans="1:10">
      <c r="A2" t="str">
        <f>cleaned_data!A2</f>
        <v>CoinMarketCap 20 Index DTF</v>
      </c>
      <c r="B2" t="str">
        <f>cleaned_data!B2</f>
        <v>CMC20</v>
      </c>
      <c r="C2">
        <f>cleaned_data!C2</f>
        <v>165.6</v>
      </c>
      <c r="D2">
        <f>cleaned_data!D2</f>
        <v>7.0000000000000007E-2</v>
      </c>
      <c r="E2">
        <f>cleaned_data!N2</f>
        <v>3.78</v>
      </c>
      <c r="F2">
        <f>cleaned_data!O2</f>
        <v>27.04</v>
      </c>
      <c r="G2">
        <f>C2/(1+F2)</f>
        <v>5.9058487874465051</v>
      </c>
      <c r="H2" t="str">
        <f>IF(OR(E2&gt;=1,E2&lt;0),"N/A",C2/(1-E2))</f>
        <v>N/A</v>
      </c>
      <c r="I2" t="str">
        <f>IF(C2&lt;=0.05,"$0-$0.05",
IF(C2&lt;=0.5,"$0.05-$0.5",
IF(C2&lt;=5,"$0.5-$5",
IF(C2&lt;=50,"$5-$50","&gt;$50"))))</f>
        <v>&gt;$50</v>
      </c>
      <c r="J2">
        <f>AVERAGE(ABS(D2),ABS(E2),ABS(F2))</f>
        <v>10.296666666666667</v>
      </c>
    </row>
    <row r="3" spans="1:10">
      <c r="A3" t="str">
        <f>cleaned_data!A3</f>
        <v>Bitcoin</v>
      </c>
      <c r="B3" t="str">
        <f>cleaned_data!B3</f>
        <v>BTC</v>
      </c>
      <c r="C3">
        <f>cleaned_data!C3</f>
        <v>80509.13</v>
      </c>
      <c r="D3">
        <f>cleaned_data!D3</f>
        <v>0.18</v>
      </c>
      <c r="E3">
        <f>cleaned_data!N3</f>
        <v>3.94</v>
      </c>
      <c r="F3">
        <f>cleaned_data!O3</f>
        <v>25.22</v>
      </c>
      <c r="G3">
        <f t="shared" ref="G3:G46" si="0">C3/(1+F3)</f>
        <v>3070.5236460717015</v>
      </c>
      <c r="H3" t="str">
        <f t="shared" ref="H3:H46" si="1">IF(OR(E3&gt;=1,E3&lt;0),"N/A",C3/(1-E3))</f>
        <v>N/A</v>
      </c>
      <c r="I3" t="str">
        <f>IF(C3&lt;=0.05,"$0-$0.05",
IF(C3&lt;=0.5,"$0.05-$0.5",
IF(C3&lt;=5,"$0.5-$5",
IF(C3&lt;=50,"$5-$50","&gt;$50"))))</f>
        <v>&gt;$50</v>
      </c>
      <c r="J3">
        <f t="shared" ref="J3:J66" si="2">AVERAGE(ABS(D3),ABS(E3),ABS(F3))</f>
        <v>9.7799999999999994</v>
      </c>
    </row>
    <row r="4" spans="1:10">
      <c r="A4" t="str">
        <f>cleaned_data!A4</f>
        <v>Ethereum</v>
      </c>
      <c r="B4" t="str">
        <f>cleaned_data!B4</f>
        <v>ETH</v>
      </c>
      <c r="C4">
        <f>cleaned_data!C4</f>
        <v>2502.7199999999998</v>
      </c>
      <c r="D4">
        <f>cleaned_data!D4</f>
        <v>0.12</v>
      </c>
      <c r="E4">
        <f>cleaned_data!N4</f>
        <v>2.04</v>
      </c>
      <c r="F4">
        <f>cleaned_data!O4</f>
        <v>31.57</v>
      </c>
      <c r="G4">
        <f t="shared" si="0"/>
        <v>76.841264967761731</v>
      </c>
      <c r="H4" t="str">
        <f t="shared" si="1"/>
        <v>N/A</v>
      </c>
      <c r="I4" t="str">
        <f t="shared" ref="I4:I66" si="3">IF(C4&lt;=0.05,"$0-$0.05",
IF(C4&lt;=0.5,"$0.05-$0.5",
IF(C4&lt;=5,"$0.5-$5",
IF(C4&lt;=50,"$5-$50","&gt;$50"))))</f>
        <v>&gt;$50</v>
      </c>
      <c r="J4">
        <f t="shared" si="2"/>
        <v>11.243333333333334</v>
      </c>
    </row>
    <row r="5" spans="1:10">
      <c r="A5" t="str">
        <f>cleaned_data!A5</f>
        <v>Tether</v>
      </c>
      <c r="B5" t="str">
        <f>cleaned_data!B5</f>
        <v>USDT</v>
      </c>
      <c r="C5">
        <f>cleaned_data!C5</f>
        <v>0.99960000000000004</v>
      </c>
      <c r="D5">
        <f>cleaned_data!D5</f>
        <v>0.01</v>
      </c>
      <c r="E5">
        <f>cleaned_data!N5</f>
        <v>0.05</v>
      </c>
      <c r="F5">
        <f>cleaned_data!O5</f>
        <v>0.06</v>
      </c>
      <c r="G5">
        <f t="shared" si="0"/>
        <v>0.94301886792452827</v>
      </c>
      <c r="H5">
        <f t="shared" si="1"/>
        <v>1.0522105263157895</v>
      </c>
      <c r="I5" t="str">
        <f t="shared" si="3"/>
        <v>$0.5-$5</v>
      </c>
      <c r="J5">
        <f t="shared" si="2"/>
        <v>0.04</v>
      </c>
    </row>
    <row r="6" spans="1:10">
      <c r="A6" t="str">
        <f>cleaned_data!A6</f>
        <v>BNB</v>
      </c>
      <c r="B6" t="str">
        <f>cleaned_data!B6</f>
        <v>BNB</v>
      </c>
      <c r="C6">
        <f>cleaned_data!C6</f>
        <v>713.29</v>
      </c>
      <c r="D6">
        <f>cleaned_data!D6</f>
        <v>0.5</v>
      </c>
      <c r="E6">
        <f>cleaned_data!N6</f>
        <v>2.08</v>
      </c>
      <c r="F6">
        <f>cleaned_data!O6</f>
        <v>18.03</v>
      </c>
      <c r="G6">
        <f t="shared" si="0"/>
        <v>37.482396216500256</v>
      </c>
      <c r="H6" t="str">
        <f t="shared" si="1"/>
        <v>N/A</v>
      </c>
      <c r="I6" t="str">
        <f t="shared" si="3"/>
        <v>&gt;$50</v>
      </c>
      <c r="J6">
        <f t="shared" si="2"/>
        <v>6.87</v>
      </c>
    </row>
    <row r="7" spans="1:10">
      <c r="A7" t="str">
        <f>cleaned_data!A7</f>
        <v>XRP</v>
      </c>
      <c r="B7" t="str">
        <f>cleaned_data!B7</f>
        <v>XRP</v>
      </c>
      <c r="C7">
        <f>cleaned_data!C7</f>
        <v>1.5</v>
      </c>
      <c r="D7">
        <f>cleaned_data!D7</f>
        <v>0.97</v>
      </c>
      <c r="E7">
        <f>cleaned_data!N7</f>
        <v>2.21</v>
      </c>
      <c r="F7">
        <f>cleaned_data!O7</f>
        <v>50.9</v>
      </c>
      <c r="G7">
        <f t="shared" si="0"/>
        <v>2.8901734104046242E-2</v>
      </c>
      <c r="H7" t="str">
        <f t="shared" si="1"/>
        <v>N/A</v>
      </c>
      <c r="I7" t="str">
        <f t="shared" si="3"/>
        <v>$0.5-$5</v>
      </c>
      <c r="J7">
        <f t="shared" si="2"/>
        <v>18.026666666666667</v>
      </c>
    </row>
    <row r="8" spans="1:10">
      <c r="A8" t="str">
        <f>cleaned_data!A8</f>
        <v>USDC</v>
      </c>
      <c r="B8" t="str">
        <f>cleaned_data!B8</f>
        <v>USDC</v>
      </c>
      <c r="C8">
        <f>cleaned_data!C8</f>
        <v>0.99990000000000001</v>
      </c>
      <c r="D8">
        <f>cleaned_data!D8</f>
        <v>0</v>
      </c>
      <c r="E8">
        <f>cleaned_data!N8</f>
        <v>0.01</v>
      </c>
      <c r="F8">
        <f>cleaned_data!O8</f>
        <v>0.01</v>
      </c>
      <c r="G8">
        <f t="shared" si="0"/>
        <v>0.99</v>
      </c>
      <c r="H8">
        <f t="shared" si="1"/>
        <v>1.01</v>
      </c>
      <c r="I8" t="str">
        <f t="shared" si="3"/>
        <v>$0.5-$5</v>
      </c>
      <c r="J8">
        <f t="shared" si="2"/>
        <v>6.6666666666666671E-3</v>
      </c>
    </row>
    <row r="9" spans="1:10">
      <c r="A9" t="str">
        <f>cleaned_data!A9</f>
        <v>Solana</v>
      </c>
      <c r="B9" t="str">
        <f>cleaned_data!B9</f>
        <v>SOL</v>
      </c>
      <c r="C9">
        <f>cleaned_data!C9</f>
        <v>101.09</v>
      </c>
      <c r="D9">
        <f>cleaned_data!D9</f>
        <v>0.62</v>
      </c>
      <c r="E9">
        <f>cleaned_data!N9</f>
        <v>7.48</v>
      </c>
      <c r="F9">
        <f>cleaned_data!O9</f>
        <v>33.18</v>
      </c>
      <c r="G9">
        <f t="shared" si="0"/>
        <v>2.9575775307197194</v>
      </c>
      <c r="H9" t="str">
        <f t="shared" si="1"/>
        <v>N/A</v>
      </c>
      <c r="I9" t="str">
        <f t="shared" si="3"/>
        <v>&gt;$50</v>
      </c>
      <c r="J9">
        <f t="shared" si="2"/>
        <v>13.76</v>
      </c>
    </row>
    <row r="10" spans="1:10">
      <c r="A10" t="str">
        <f>cleaned_data!A10</f>
        <v>TRON</v>
      </c>
      <c r="B10" t="str">
        <f>cleaned_data!B10</f>
        <v>TRX</v>
      </c>
      <c r="C10">
        <f>cleaned_data!C10</f>
        <v>0.34449999999999997</v>
      </c>
      <c r="D10">
        <f>cleaned_data!D10</f>
        <v>0.03</v>
      </c>
      <c r="E10">
        <f>cleaned_data!N10</f>
        <v>7.0000000000000007E-2</v>
      </c>
      <c r="F10">
        <f>cleaned_data!O10</f>
        <v>3.74</v>
      </c>
      <c r="G10">
        <f t="shared" si="0"/>
        <v>7.2679324894514757E-2</v>
      </c>
      <c r="H10">
        <f t="shared" si="1"/>
        <v>0.37043010752688171</v>
      </c>
      <c r="I10" t="str">
        <f t="shared" si="3"/>
        <v>$0.05-$0.5</v>
      </c>
      <c r="J10">
        <f t="shared" si="2"/>
        <v>1.28</v>
      </c>
    </row>
    <row r="11" spans="1:10">
      <c r="A11" t="str">
        <f>cleaned_data!A11</f>
        <v>Hyperliquid</v>
      </c>
      <c r="B11" t="str">
        <f>cleaned_data!B11</f>
        <v>HYPE</v>
      </c>
      <c r="C11">
        <f>cleaned_data!C11</f>
        <v>80.900000000000006</v>
      </c>
      <c r="D11">
        <f>cleaned_data!D11</f>
        <v>0.26</v>
      </c>
      <c r="E11">
        <f>cleaned_data!N11</f>
        <v>1.93</v>
      </c>
      <c r="F11">
        <f>cleaned_data!O11</f>
        <v>34.770000000000003</v>
      </c>
      <c r="G11">
        <f t="shared" si="0"/>
        <v>2.2616717920044729</v>
      </c>
      <c r="H11" t="str">
        <f t="shared" si="1"/>
        <v>N/A</v>
      </c>
      <c r="I11" t="str">
        <f t="shared" si="3"/>
        <v>&gt;$50</v>
      </c>
      <c r="J11">
        <f t="shared" si="2"/>
        <v>12.32</v>
      </c>
    </row>
    <row r="12" spans="1:10">
      <c r="A12" t="str">
        <f>cleaned_data!A12</f>
        <v>Dogecoin</v>
      </c>
      <c r="B12" t="str">
        <f>cleaned_data!B12</f>
        <v>DOGE</v>
      </c>
      <c r="C12">
        <f>cleaned_data!C12</f>
        <v>9.2090000000000005E-2</v>
      </c>
      <c r="D12">
        <f>cleaned_data!D12</f>
        <v>0.72</v>
      </c>
      <c r="E12">
        <f>cleaned_data!N12</f>
        <v>0.76</v>
      </c>
      <c r="F12">
        <f>cleaned_data!O12</f>
        <v>31.61</v>
      </c>
      <c r="G12">
        <f t="shared" si="0"/>
        <v>2.8239803741183689E-3</v>
      </c>
      <c r="H12">
        <f t="shared" si="1"/>
        <v>0.38370833333333337</v>
      </c>
      <c r="I12" t="str">
        <f t="shared" si="3"/>
        <v>$0.05-$0.5</v>
      </c>
      <c r="J12">
        <f t="shared" si="2"/>
        <v>11.03</v>
      </c>
    </row>
    <row r="13" spans="1:10">
      <c r="A13" t="str">
        <f>cleaned_data!A13</f>
        <v>Zcash</v>
      </c>
      <c r="B13" t="str">
        <f>cleaned_data!B13</f>
        <v>ZEC</v>
      </c>
      <c r="C13">
        <f>cleaned_data!C13</f>
        <v>848.04</v>
      </c>
      <c r="D13">
        <f>cleaned_data!D13</f>
        <v>0.64</v>
      </c>
      <c r="E13">
        <f>cleaned_data!N13</f>
        <v>1.26</v>
      </c>
      <c r="F13">
        <f>cleaned_data!O13</f>
        <v>65.95</v>
      </c>
      <c r="G13">
        <f t="shared" si="0"/>
        <v>12.666766243465272</v>
      </c>
      <c r="H13" t="str">
        <f t="shared" si="1"/>
        <v>N/A</v>
      </c>
      <c r="I13" t="str">
        <f t="shared" si="3"/>
        <v>&gt;$50</v>
      </c>
      <c r="J13">
        <f t="shared" si="2"/>
        <v>22.616666666666671</v>
      </c>
    </row>
    <row r="14" spans="1:10">
      <c r="A14" t="str">
        <f>cleaned_data!A14</f>
        <v>Chainlink</v>
      </c>
      <c r="B14" t="str">
        <f>cleaned_data!B14</f>
        <v>LINK</v>
      </c>
      <c r="C14">
        <f>cleaned_data!C14</f>
        <v>11.76</v>
      </c>
      <c r="D14">
        <f>cleaned_data!D14</f>
        <v>0.17</v>
      </c>
      <c r="E14">
        <f>cleaned_data!N14</f>
        <v>2.39</v>
      </c>
      <c r="F14">
        <f>cleaned_data!O14</f>
        <v>23.96</v>
      </c>
      <c r="G14">
        <f t="shared" si="0"/>
        <v>0.47115384615384615</v>
      </c>
      <c r="H14" t="str">
        <f t="shared" si="1"/>
        <v>N/A</v>
      </c>
      <c r="I14" t="str">
        <f t="shared" si="3"/>
        <v>$5-$50</v>
      </c>
      <c r="J14">
        <f t="shared" si="2"/>
        <v>8.84</v>
      </c>
    </row>
    <row r="15" spans="1:10">
      <c r="A15" t="str">
        <f>cleaned_data!A15</f>
        <v>UNUS SED LEO</v>
      </c>
      <c r="B15" t="str">
        <f>cleaned_data!B15</f>
        <v>LEO</v>
      </c>
      <c r="C15">
        <f>cleaned_data!C15</f>
        <v>9.35</v>
      </c>
      <c r="D15">
        <f>cleaned_data!D15</f>
        <v>0.06</v>
      </c>
      <c r="E15">
        <f>cleaned_data!N15</f>
        <v>0.48</v>
      </c>
      <c r="F15">
        <f>cleaned_data!O15</f>
        <v>0.75</v>
      </c>
      <c r="G15">
        <f t="shared" si="0"/>
        <v>5.3428571428571425</v>
      </c>
      <c r="H15">
        <f t="shared" si="1"/>
        <v>17.98076923076923</v>
      </c>
      <c r="I15" t="str">
        <f t="shared" si="3"/>
        <v>$5-$50</v>
      </c>
      <c r="J15">
        <f t="shared" si="2"/>
        <v>0.43</v>
      </c>
    </row>
    <row r="16" spans="1:10">
      <c r="A16" t="str">
        <f>cleaned_data!A16</f>
        <v>Monero</v>
      </c>
      <c r="B16" t="str">
        <f>cleaned_data!B16</f>
        <v>XMR</v>
      </c>
      <c r="C16">
        <f>cleaned_data!C16</f>
        <v>445.16</v>
      </c>
      <c r="D16">
        <f>cleaned_data!D16</f>
        <v>1.21</v>
      </c>
      <c r="E16">
        <f>cleaned_data!N16</f>
        <v>6.81</v>
      </c>
      <c r="F16">
        <f>cleaned_data!O16</f>
        <v>5.89</v>
      </c>
      <c r="G16">
        <f t="shared" si="0"/>
        <v>64.60957910014514</v>
      </c>
      <c r="H16" t="str">
        <f t="shared" si="1"/>
        <v>N/A</v>
      </c>
      <c r="I16" t="str">
        <f t="shared" si="3"/>
        <v>&gt;$50</v>
      </c>
      <c r="J16">
        <f t="shared" si="2"/>
        <v>4.6366666666666667</v>
      </c>
    </row>
    <row r="17" spans="1:10">
      <c r="A17" t="str">
        <f>cleaned_data!A17</f>
        <v>Gnosis</v>
      </c>
      <c r="B17" t="str">
        <f>cleaned_data!B17</f>
        <v>GNO</v>
      </c>
      <c r="C17">
        <f>cleaned_data!C17</f>
        <v>124.1</v>
      </c>
      <c r="D17">
        <f>cleaned_data!D17</f>
        <v>0.45</v>
      </c>
      <c r="E17">
        <f>cleaned_data!N17</f>
        <v>0.61</v>
      </c>
      <c r="F17">
        <f>cleaned_data!O17</f>
        <v>19.47</v>
      </c>
      <c r="G17">
        <f t="shared" si="0"/>
        <v>6.0625305324865657</v>
      </c>
      <c r="H17">
        <f t="shared" si="1"/>
        <v>318.20512820512818</v>
      </c>
      <c r="I17" t="str">
        <f t="shared" si="3"/>
        <v>&gt;$50</v>
      </c>
      <c r="J17">
        <f t="shared" si="2"/>
        <v>6.8433333333333328</v>
      </c>
    </row>
    <row r="18" spans="1:10">
      <c r="A18" t="str">
        <f>cleaned_data!A18</f>
        <v>Lido DAO</v>
      </c>
      <c r="B18" t="str">
        <f>cleaned_data!B18</f>
        <v>LDO</v>
      </c>
      <c r="C18">
        <f>cleaned_data!C18</f>
        <v>0.37619999999999998</v>
      </c>
      <c r="D18">
        <f>cleaned_data!D18</f>
        <v>1.66</v>
      </c>
      <c r="E18">
        <f>cleaned_data!N18</f>
        <v>2.27</v>
      </c>
      <c r="F18">
        <f>cleaned_data!O18</f>
        <v>24.21</v>
      </c>
      <c r="G18">
        <f t="shared" si="0"/>
        <v>1.4922649742165806E-2</v>
      </c>
      <c r="H18" t="str">
        <f t="shared" si="1"/>
        <v>N/A</v>
      </c>
      <c r="I18" t="str">
        <f t="shared" si="3"/>
        <v>$0.05-$0.5</v>
      </c>
      <c r="J18">
        <f t="shared" si="2"/>
        <v>9.3800000000000008</v>
      </c>
    </row>
    <row r="19" spans="1:10">
      <c r="A19" t="str">
        <f>cleaned_data!A19</f>
        <v>Pendle</v>
      </c>
      <c r="B19" t="str">
        <f>cleaned_data!B19</f>
        <v>PENDLE</v>
      </c>
      <c r="C19">
        <f>cleaned_data!C19</f>
        <v>1.79</v>
      </c>
      <c r="D19">
        <f>cleaned_data!D19</f>
        <v>1.63</v>
      </c>
      <c r="E19">
        <f>cleaned_data!N19</f>
        <v>0.94</v>
      </c>
      <c r="F19">
        <f>cleaned_data!O19</f>
        <v>32.85</v>
      </c>
      <c r="G19">
        <f t="shared" si="0"/>
        <v>5.2880354505169869E-2</v>
      </c>
      <c r="H19">
        <f t="shared" si="1"/>
        <v>29.833333333333307</v>
      </c>
      <c r="I19" t="str">
        <f t="shared" si="3"/>
        <v>$0.5-$5</v>
      </c>
      <c r="J19">
        <f t="shared" si="2"/>
        <v>11.806666666666667</v>
      </c>
    </row>
    <row r="20" spans="1:10">
      <c r="A20" t="str">
        <f>cleaned_data!A20</f>
        <v>Terra Classic</v>
      </c>
      <c r="B20" t="str">
        <f>cleaned_data!B20</f>
        <v>LUNC</v>
      </c>
      <c r="C20" t="str">
        <f>cleaned_data!C20</f>
        <v>5.508e-05</v>
      </c>
      <c r="D20">
        <f>cleaned_data!D20</f>
        <v>1.37</v>
      </c>
      <c r="E20">
        <f>cleaned_data!N20</f>
        <v>1.8</v>
      </c>
      <c r="F20">
        <f>cleaned_data!O20</f>
        <v>17.899999999999999</v>
      </c>
      <c r="G20">
        <f t="shared" si="0"/>
        <v>2.9142857142857146E-6</v>
      </c>
      <c r="H20" t="str">
        <f t="shared" si="1"/>
        <v>N/A</v>
      </c>
      <c r="I20" t="str">
        <f t="shared" si="3"/>
        <v>&gt;$50</v>
      </c>
      <c r="J20">
        <f t="shared" si="2"/>
        <v>7.0233333333333334</v>
      </c>
    </row>
    <row r="21" spans="1:10">
      <c r="A21" t="str">
        <f>cleaned_data!A21</f>
        <v>Pieverse</v>
      </c>
      <c r="B21" t="str">
        <f>cleaned_data!B21</f>
        <v>PIEVERSE</v>
      </c>
      <c r="C21">
        <f>cleaned_data!C21</f>
        <v>1.02</v>
      </c>
      <c r="D21">
        <f>cleaned_data!D21</f>
        <v>0.26</v>
      </c>
      <c r="E21">
        <f>cleaned_data!N21</f>
        <v>7.39</v>
      </c>
      <c r="F21">
        <f>cleaned_data!O21</f>
        <v>11.36</v>
      </c>
      <c r="G21">
        <f t="shared" si="0"/>
        <v>8.2524271844660199E-2</v>
      </c>
      <c r="H21" t="str">
        <f t="shared" si="1"/>
        <v>N/A</v>
      </c>
      <c r="I21" t="str">
        <f t="shared" si="3"/>
        <v>$0.5-$5</v>
      </c>
      <c r="J21">
        <f t="shared" si="2"/>
        <v>6.336666666666666</v>
      </c>
    </row>
    <row r="22" spans="1:10">
      <c r="A22" t="str">
        <f>cleaned_data!A22</f>
        <v>Jito</v>
      </c>
      <c r="B22" t="str">
        <f>cleaned_data!B22</f>
        <v>JTO</v>
      </c>
      <c r="C22">
        <f>cleaned_data!C22</f>
        <v>0.57689999999999997</v>
      </c>
      <c r="D22">
        <f>cleaned_data!D22</f>
        <v>1.85</v>
      </c>
      <c r="E22">
        <f>cleaned_data!N22</f>
        <v>0.57999999999999996</v>
      </c>
      <c r="F22">
        <f>cleaned_data!O22</f>
        <v>0.8</v>
      </c>
      <c r="G22">
        <f t="shared" si="0"/>
        <v>0.32049999999999995</v>
      </c>
      <c r="H22">
        <f t="shared" si="1"/>
        <v>1.3735714285714284</v>
      </c>
      <c r="I22" t="str">
        <f t="shared" si="3"/>
        <v>$0.5-$5</v>
      </c>
      <c r="J22">
        <f t="shared" si="2"/>
        <v>1.0766666666666669</v>
      </c>
    </row>
    <row r="23" spans="1:10">
      <c r="A23" t="str">
        <f>cleaned_data!A23</f>
        <v>BitTorrent [New]</v>
      </c>
      <c r="B23" t="str">
        <f>cleaned_data!B23</f>
        <v>BTT</v>
      </c>
      <c r="C23">
        <f>cleaned_data!C23</f>
        <v>6.2956999999999999E-2</v>
      </c>
      <c r="D23">
        <f>cleaned_data!D23</f>
        <v>0.08</v>
      </c>
      <c r="E23">
        <f>cleaned_data!N23</f>
        <v>0.2</v>
      </c>
      <c r="F23">
        <f>cleaned_data!O23</f>
        <v>13.97</v>
      </c>
      <c r="G23">
        <f t="shared" si="0"/>
        <v>4.2055444221776881E-3</v>
      </c>
      <c r="H23">
        <f t="shared" si="1"/>
        <v>7.8696249999999995E-2</v>
      </c>
      <c r="I23" t="str">
        <f t="shared" si="3"/>
        <v>$0.05-$0.5</v>
      </c>
      <c r="J23">
        <f t="shared" si="2"/>
        <v>4.75</v>
      </c>
    </row>
    <row r="24" spans="1:10">
      <c r="A24" t="str">
        <f>cleaned_data!A24</f>
        <v>Bonk</v>
      </c>
      <c r="B24" t="str">
        <f>cleaned_data!B24</f>
        <v>BONK</v>
      </c>
      <c r="C24">
        <f>cleaned_data!C24</f>
        <v>5.3266000000000001E-2</v>
      </c>
      <c r="D24">
        <f>cleaned_data!D24</f>
        <v>1.98</v>
      </c>
      <c r="E24">
        <f>cleaned_data!N24</f>
        <v>3.18</v>
      </c>
      <c r="F24">
        <f>cleaned_data!O24</f>
        <v>42.35</v>
      </c>
      <c r="G24">
        <f t="shared" si="0"/>
        <v>1.2287427912341406E-3</v>
      </c>
      <c r="H24" t="str">
        <f t="shared" si="1"/>
        <v>N/A</v>
      </c>
      <c r="I24" t="str">
        <f t="shared" si="3"/>
        <v>$0.05-$0.5</v>
      </c>
      <c r="J24">
        <f t="shared" si="2"/>
        <v>15.836666666666668</v>
      </c>
    </row>
    <row r="25" spans="1:10">
      <c r="A25" t="str">
        <f>cleaned_data!A25</f>
        <v>Falcon Finance</v>
      </c>
      <c r="B25" t="str">
        <f>cleaned_data!B25</f>
        <v>FF</v>
      </c>
      <c r="C25">
        <f>cleaned_data!C25</f>
        <v>9.0190000000000006E-2</v>
      </c>
      <c r="D25">
        <f>cleaned_data!D25</f>
        <v>1.69</v>
      </c>
      <c r="E25">
        <f>cleaned_data!N25</f>
        <v>0.56000000000000005</v>
      </c>
      <c r="F25">
        <f>cleaned_data!O25</f>
        <v>39.86</v>
      </c>
      <c r="G25">
        <f t="shared" si="0"/>
        <v>2.2072931962799805E-3</v>
      </c>
      <c r="H25">
        <f t="shared" si="1"/>
        <v>0.20497727272727276</v>
      </c>
      <c r="I25" t="str">
        <f t="shared" si="3"/>
        <v>$0.05-$0.5</v>
      </c>
      <c r="J25">
        <f t="shared" si="2"/>
        <v>14.036666666666667</v>
      </c>
    </row>
    <row r="26" spans="1:10">
      <c r="A26" t="str">
        <f>cleaned_data!A26</f>
        <v>AINFT</v>
      </c>
      <c r="B26" t="str">
        <f>cleaned_data!B26</f>
        <v>NFT</v>
      </c>
      <c r="C26">
        <f>cleaned_data!C26</f>
        <v>6.2762999999999999E-2</v>
      </c>
      <c r="D26">
        <f>cleaned_data!D26</f>
        <v>0.23</v>
      </c>
      <c r="E26">
        <f>cleaned_data!N26</f>
        <v>1.23</v>
      </c>
      <c r="F26">
        <f>cleaned_data!O26</f>
        <v>1.1000000000000001</v>
      </c>
      <c r="G26">
        <f t="shared" si="0"/>
        <v>2.9887142857142855E-2</v>
      </c>
      <c r="H26" t="str">
        <f t="shared" si="1"/>
        <v>N/A</v>
      </c>
      <c r="I26" t="str">
        <f t="shared" si="3"/>
        <v>$0.05-$0.5</v>
      </c>
      <c r="J26">
        <f t="shared" si="2"/>
        <v>0.85333333333333339</v>
      </c>
    </row>
    <row r="27" spans="1:10">
      <c r="A27" t="str">
        <f>cleaned_data!A27</f>
        <v>Plasma</v>
      </c>
      <c r="B27" t="str">
        <f>cleaned_data!B27</f>
        <v>XPL</v>
      </c>
      <c r="C27">
        <f>cleaned_data!C27</f>
        <v>9.8059999999999994E-2</v>
      </c>
      <c r="D27">
        <f>cleaned_data!D27</f>
        <v>0.91</v>
      </c>
      <c r="E27">
        <f>cleaned_data!N27</f>
        <v>1.63</v>
      </c>
      <c r="F27">
        <f>cleaned_data!O27</f>
        <v>28.9</v>
      </c>
      <c r="G27">
        <f t="shared" si="0"/>
        <v>3.2795986622073578E-3</v>
      </c>
      <c r="H27" t="str">
        <f t="shared" si="1"/>
        <v>N/A</v>
      </c>
      <c r="I27" t="str">
        <f t="shared" si="3"/>
        <v>$0.05-$0.5</v>
      </c>
      <c r="J27">
        <f t="shared" si="2"/>
        <v>10.479999999999999</v>
      </c>
    </row>
    <row r="28" spans="1:10">
      <c r="A28" t="str">
        <f>cleaned_data!A28</f>
        <v>Immutable</v>
      </c>
      <c r="B28" t="str">
        <f>cleaned_data!B28</f>
        <v>IMX</v>
      </c>
      <c r="C28">
        <f>cleaned_data!C28</f>
        <v>0.1331</v>
      </c>
      <c r="D28">
        <f>cleaned_data!D28</f>
        <v>1.1299999999999999</v>
      </c>
      <c r="E28">
        <f>cleaned_data!N28</f>
        <v>5.04</v>
      </c>
      <c r="F28">
        <f>cleaned_data!O28</f>
        <v>31.4</v>
      </c>
      <c r="G28">
        <f t="shared" si="0"/>
        <v>4.1080246913580247E-3</v>
      </c>
      <c r="H28" t="str">
        <f t="shared" si="1"/>
        <v>N/A</v>
      </c>
      <c r="I28" t="str">
        <f t="shared" si="3"/>
        <v>$0.05-$0.5</v>
      </c>
      <c r="J28">
        <f t="shared" si="2"/>
        <v>12.523333333333333</v>
      </c>
    </row>
    <row r="29" spans="1:10">
      <c r="A29" t="str">
        <f>cleaned_data!A29</f>
        <v>Conflux</v>
      </c>
      <c r="B29" t="str">
        <f>cleaned_data!B29</f>
        <v>CFX</v>
      </c>
      <c r="C29">
        <f>cleaned_data!C29</f>
        <v>5.0340000000000003E-2</v>
      </c>
      <c r="D29">
        <f>cleaned_data!D29</f>
        <v>0.04</v>
      </c>
      <c r="E29">
        <f>cleaned_data!N29</f>
        <v>4.6100000000000003</v>
      </c>
      <c r="F29">
        <f>cleaned_data!O29</f>
        <v>20.5</v>
      </c>
      <c r="G29">
        <f t="shared" si="0"/>
        <v>2.3413953488372096E-3</v>
      </c>
      <c r="H29" t="str">
        <f t="shared" si="1"/>
        <v>N/A</v>
      </c>
      <c r="I29" t="str">
        <f t="shared" si="3"/>
        <v>$0.05-$0.5</v>
      </c>
      <c r="J29">
        <f t="shared" si="2"/>
        <v>8.3833333333333329</v>
      </c>
    </row>
    <row r="30" spans="1:10">
      <c r="A30" t="str">
        <f>cleaned_data!A30</f>
        <v>FLOKI</v>
      </c>
      <c r="B30" t="str">
        <f>cleaned_data!B30</f>
        <v>FLOKI</v>
      </c>
      <c r="C30" t="str">
        <f>cleaned_data!C30</f>
        <v>2.758e-05</v>
      </c>
      <c r="D30">
        <f>cleaned_data!D30</f>
        <v>1.36</v>
      </c>
      <c r="E30">
        <f>cleaned_data!N30</f>
        <v>2.85</v>
      </c>
      <c r="F30">
        <f>cleaned_data!O30</f>
        <v>37.950000000000003</v>
      </c>
      <c r="G30">
        <f t="shared" si="0"/>
        <v>7.0808729139922971E-7</v>
      </c>
      <c r="H30" t="str">
        <f t="shared" si="1"/>
        <v>N/A</v>
      </c>
      <c r="I30" t="str">
        <f t="shared" si="3"/>
        <v>&gt;$50</v>
      </c>
      <c r="J30">
        <f t="shared" si="2"/>
        <v>14.053333333333335</v>
      </c>
    </row>
    <row r="31" spans="1:10">
      <c r="A31" t="str">
        <f>cleaned_data!A31</f>
        <v>Tezos</v>
      </c>
      <c r="B31" t="str">
        <f>cleaned_data!B31</f>
        <v>XTZ</v>
      </c>
      <c r="C31">
        <f>cleaned_data!C31</f>
        <v>0.23350000000000001</v>
      </c>
      <c r="D31">
        <f>cleaned_data!D31</f>
        <v>0.75</v>
      </c>
      <c r="E31">
        <f>cleaned_data!N31</f>
        <v>2.0499999999999998</v>
      </c>
      <c r="F31">
        <f>cleaned_data!O31</f>
        <v>14.42</v>
      </c>
      <c r="G31">
        <f t="shared" si="0"/>
        <v>1.5142671854734113E-2</v>
      </c>
      <c r="H31" t="str">
        <f t="shared" si="1"/>
        <v>N/A</v>
      </c>
      <c r="I31" t="str">
        <f t="shared" si="3"/>
        <v>$0.05-$0.5</v>
      </c>
      <c r="J31">
        <f t="shared" si="2"/>
        <v>5.7399999999999993</v>
      </c>
    </row>
    <row r="32" spans="1:10">
      <c r="A32" t="str">
        <f>cleaned_data!A32</f>
        <v>Rain</v>
      </c>
      <c r="B32" t="str">
        <f>cleaned_data!B32</f>
        <v>RAIN</v>
      </c>
      <c r="C32">
        <f>cleaned_data!C32</f>
        <v>1.468E-2</v>
      </c>
      <c r="D32">
        <f>cleaned_data!D32</f>
        <v>0.2</v>
      </c>
      <c r="E32">
        <f>cleaned_data!N32</f>
        <v>5.33</v>
      </c>
      <c r="F32">
        <f>cleaned_data!O32</f>
        <v>12.27</v>
      </c>
      <c r="G32">
        <f t="shared" si="0"/>
        <v>1.1062547098718916E-3</v>
      </c>
      <c r="H32" t="str">
        <f t="shared" si="1"/>
        <v>N/A</v>
      </c>
      <c r="I32" t="str">
        <f t="shared" si="3"/>
        <v>$0-$0.05</v>
      </c>
      <c r="J32">
        <f t="shared" si="2"/>
        <v>5.9333333333333336</v>
      </c>
    </row>
    <row r="33" spans="1:10">
      <c r="A33" t="str">
        <f>cleaned_data!A33</f>
        <v>Decimal</v>
      </c>
      <c r="B33" t="str">
        <f>cleaned_data!B33</f>
        <v>DEL</v>
      </c>
      <c r="C33">
        <f>cleaned_data!C33</f>
        <v>0.59330000000000005</v>
      </c>
      <c r="D33">
        <f>cleaned_data!D33</f>
        <v>0.12</v>
      </c>
      <c r="E33">
        <f>cleaned_data!N33</f>
        <v>0.38</v>
      </c>
      <c r="F33">
        <f>cleaned_data!O33</f>
        <v>1.9</v>
      </c>
      <c r="G33">
        <f t="shared" si="0"/>
        <v>0.20458620689655174</v>
      </c>
      <c r="H33">
        <f t="shared" si="1"/>
        <v>0.95693548387096783</v>
      </c>
      <c r="I33" t="str">
        <f t="shared" si="3"/>
        <v>$0.5-$5</v>
      </c>
      <c r="J33">
        <f t="shared" si="2"/>
        <v>0.79999999999999993</v>
      </c>
    </row>
    <row r="34" spans="1:10">
      <c r="A34" t="str">
        <f>cleaned_data!A34</f>
        <v>Ondo US Dollar Yield</v>
      </c>
      <c r="B34" t="str">
        <f>cleaned_data!B34</f>
        <v>USDY</v>
      </c>
      <c r="C34">
        <f>cleaned_data!C34</f>
        <v>1.1399999999999999</v>
      </c>
      <c r="D34">
        <f>cleaned_data!D34</f>
        <v>0.02</v>
      </c>
      <c r="E34">
        <f>cleaned_data!N34</f>
        <v>0.03</v>
      </c>
      <c r="F34">
        <f>cleaned_data!O34</f>
        <v>0.19</v>
      </c>
      <c r="G34">
        <f t="shared" si="0"/>
        <v>0.95798319327731085</v>
      </c>
      <c r="H34">
        <f t="shared" si="1"/>
        <v>1.1752577319587627</v>
      </c>
      <c r="I34" t="str">
        <f t="shared" si="3"/>
        <v>$0.5-$5</v>
      </c>
      <c r="J34">
        <f t="shared" si="2"/>
        <v>0.08</v>
      </c>
    </row>
    <row r="35" spans="1:10">
      <c r="A35" t="str">
        <f>cleaned_data!A35</f>
        <v>HTX</v>
      </c>
      <c r="B35" t="str">
        <f>cleaned_data!B35</f>
        <v>HTX</v>
      </c>
      <c r="C35">
        <f>cleaned_data!C35</f>
        <v>5.1766E-2</v>
      </c>
      <c r="D35">
        <f>cleaned_data!D35</f>
        <v>0.03</v>
      </c>
      <c r="E35">
        <f>cleaned_data!N35</f>
        <v>0.61</v>
      </c>
      <c r="F35">
        <f>cleaned_data!O35</f>
        <v>0.28000000000000003</v>
      </c>
      <c r="G35">
        <f t="shared" si="0"/>
        <v>4.0442187499999997E-2</v>
      </c>
      <c r="H35">
        <f t="shared" si="1"/>
        <v>0.13273333333333331</v>
      </c>
      <c r="I35" t="str">
        <f t="shared" si="3"/>
        <v>$0.05-$0.5</v>
      </c>
      <c r="J35">
        <f t="shared" si="2"/>
        <v>0.3066666666666667</v>
      </c>
    </row>
    <row r="36" spans="1:10">
      <c r="A36" t="str">
        <f>cleaned_data!A36</f>
        <v>Bitway</v>
      </c>
      <c r="B36" t="str">
        <f>cleaned_data!B36</f>
        <v>BTW</v>
      </c>
      <c r="C36">
        <f>cleaned_data!C36</f>
        <v>0.45639999999999997</v>
      </c>
      <c r="D36">
        <f>cleaned_data!D36</f>
        <v>0.32</v>
      </c>
      <c r="E36">
        <f>cleaned_data!N36</f>
        <v>7.03</v>
      </c>
      <c r="F36">
        <f>cleaned_data!O36</f>
        <v>28.73</v>
      </c>
      <c r="G36">
        <f t="shared" si="0"/>
        <v>1.5351496804574503E-2</v>
      </c>
      <c r="H36" t="str">
        <f t="shared" si="1"/>
        <v>N/A</v>
      </c>
      <c r="I36" t="str">
        <f t="shared" si="3"/>
        <v>$0.05-$0.5</v>
      </c>
      <c r="J36">
        <f t="shared" si="2"/>
        <v>12.026666666666666</v>
      </c>
    </row>
    <row r="37" spans="1:10">
      <c r="A37" t="str">
        <f>cleaned_data!A37</f>
        <v>USDGO</v>
      </c>
      <c r="B37" t="str">
        <f>cleaned_data!B37</f>
        <v>USDGO</v>
      </c>
      <c r="C37">
        <f>cleaned_data!C37</f>
        <v>1</v>
      </c>
      <c r="D37">
        <f>cleaned_data!D37</f>
        <v>0</v>
      </c>
      <c r="E37">
        <f>cleaned_data!N37</f>
        <v>0.02</v>
      </c>
      <c r="F37">
        <f>cleaned_data!O37</f>
        <v>0</v>
      </c>
      <c r="G37">
        <f t="shared" si="0"/>
        <v>1</v>
      </c>
      <c r="H37">
        <f t="shared" si="1"/>
        <v>1.0204081632653061</v>
      </c>
      <c r="I37" t="str">
        <f t="shared" si="3"/>
        <v>$0.5-$5</v>
      </c>
      <c r="J37">
        <f t="shared" si="2"/>
        <v>6.6666666666666671E-3</v>
      </c>
    </row>
    <row r="38" spans="1:10">
      <c r="A38" t="str">
        <f>cleaned_data!A38</f>
        <v>Falcon USD</v>
      </c>
      <c r="B38" t="str">
        <f>cleaned_data!B38</f>
        <v>USDf</v>
      </c>
      <c r="C38">
        <f>cleaned_data!C38</f>
        <v>0.99529999999999996</v>
      </c>
      <c r="D38">
        <f>cleaned_data!D38</f>
        <v>0.08</v>
      </c>
      <c r="E38">
        <f>cleaned_data!N38</f>
        <v>0.05</v>
      </c>
      <c r="F38">
        <f>cleaned_data!O38</f>
        <v>0.04</v>
      </c>
      <c r="G38">
        <f t="shared" si="0"/>
        <v>0.95701923076923068</v>
      </c>
      <c r="H38">
        <f t="shared" si="1"/>
        <v>1.0476842105263158</v>
      </c>
      <c r="I38" t="str">
        <f t="shared" si="3"/>
        <v>$0.5-$5</v>
      </c>
      <c r="J38">
        <f t="shared" si="2"/>
        <v>5.6666666666666671E-2</v>
      </c>
    </row>
    <row r="39" spans="1:10">
      <c r="A39" t="str">
        <f>cleaned_data!A39</f>
        <v>c8ntinuum</v>
      </c>
      <c r="B39" t="str">
        <f>cleaned_data!B39</f>
        <v>CTM</v>
      </c>
      <c r="C39">
        <f>cleaned_data!C39</f>
        <v>0.22070000000000001</v>
      </c>
      <c r="D39">
        <f>cleaned_data!D39</f>
        <v>0.62</v>
      </c>
      <c r="E39">
        <f>cleaned_data!N39</f>
        <v>2.0699999999999998</v>
      </c>
      <c r="F39">
        <f>cleaned_data!O39</f>
        <v>11.45</v>
      </c>
      <c r="G39">
        <f t="shared" si="0"/>
        <v>1.7726907630522089E-2</v>
      </c>
      <c r="H39" t="str">
        <f t="shared" si="1"/>
        <v>N/A</v>
      </c>
      <c r="I39" t="str">
        <f t="shared" si="3"/>
        <v>$0.05-$0.5</v>
      </c>
      <c r="J39">
        <f t="shared" si="2"/>
        <v>4.7133333333333329</v>
      </c>
    </row>
    <row r="40" spans="1:10">
      <c r="A40" t="str">
        <f>cleaned_data!A40</f>
        <v>Jupiter Perps LP</v>
      </c>
      <c r="B40" t="str">
        <f>cleaned_data!B40</f>
        <v>JLP</v>
      </c>
      <c r="C40">
        <f>cleaned_data!C40</f>
        <v>4.41</v>
      </c>
      <c r="D40">
        <f>cleaned_data!D40</f>
        <v>0.31</v>
      </c>
      <c r="E40">
        <f>cleaned_data!N40</f>
        <v>4.22</v>
      </c>
      <c r="F40">
        <f>cleaned_data!O40</f>
        <v>20.96</v>
      </c>
      <c r="G40">
        <f t="shared" si="0"/>
        <v>0.20081967213114754</v>
      </c>
      <c r="H40" t="str">
        <f t="shared" si="1"/>
        <v>N/A</v>
      </c>
      <c r="I40" t="str">
        <f t="shared" si="3"/>
        <v>$0.5-$5</v>
      </c>
      <c r="J40">
        <f t="shared" si="2"/>
        <v>8.4966666666666679</v>
      </c>
    </row>
    <row r="41" spans="1:10">
      <c r="A41" t="str">
        <f>cleaned_data!A41</f>
        <v>GHO</v>
      </c>
      <c r="B41" t="str">
        <f>cleaned_data!B41</f>
        <v>GHO</v>
      </c>
      <c r="C41">
        <f>cleaned_data!C41</f>
        <v>0.99860000000000004</v>
      </c>
      <c r="D41">
        <f>cleaned_data!D41</f>
        <v>0.02</v>
      </c>
      <c r="E41">
        <f>cleaned_data!N41</f>
        <v>0.04</v>
      </c>
      <c r="F41">
        <f>cleaned_data!O41</f>
        <v>0.01</v>
      </c>
      <c r="G41">
        <f t="shared" si="0"/>
        <v>0.9887128712871287</v>
      </c>
      <c r="H41">
        <f t="shared" si="1"/>
        <v>1.0402083333333334</v>
      </c>
      <c r="I41" t="str">
        <f t="shared" si="3"/>
        <v>$0.5-$5</v>
      </c>
      <c r="J41">
        <f t="shared" si="2"/>
        <v>2.3333333333333331E-2</v>
      </c>
    </row>
    <row r="42" spans="1:10">
      <c r="A42" t="str">
        <f>cleaned_data!A42</f>
        <v>Beldex</v>
      </c>
      <c r="B42" t="str">
        <f>cleaned_data!B42</f>
        <v>BDX</v>
      </c>
      <c r="C42">
        <f>cleaned_data!C42</f>
        <v>8.3150000000000002E-2</v>
      </c>
      <c r="D42">
        <f>cleaned_data!D42</f>
        <v>0.09</v>
      </c>
      <c r="E42">
        <f>cleaned_data!N42</f>
        <v>0.7</v>
      </c>
      <c r="F42">
        <f>cleaned_data!O42</f>
        <v>0.18</v>
      </c>
      <c r="G42">
        <f t="shared" si="0"/>
        <v>7.0466101694915254E-2</v>
      </c>
      <c r="H42">
        <f t="shared" si="1"/>
        <v>0.27716666666666662</v>
      </c>
      <c r="I42" t="str">
        <f t="shared" si="3"/>
        <v>$0.05-$0.5</v>
      </c>
      <c r="J42">
        <f t="shared" si="2"/>
        <v>0.32333333333333331</v>
      </c>
    </row>
    <row r="43" spans="1:10">
      <c r="A43" t="str">
        <f>cleaned_data!A43</f>
        <v>Usual USD</v>
      </c>
      <c r="B43" t="str">
        <f>cleaned_data!B43</f>
        <v>USD0</v>
      </c>
      <c r="C43">
        <f>cleaned_data!C43</f>
        <v>0.99870000000000003</v>
      </c>
      <c r="D43">
        <f>cleaned_data!D43</f>
        <v>0.01</v>
      </c>
      <c r="E43">
        <f>cleaned_data!N43</f>
        <v>0.01</v>
      </c>
      <c r="F43">
        <f>cleaned_data!O43</f>
        <v>0</v>
      </c>
      <c r="G43">
        <f t="shared" si="0"/>
        <v>0.99870000000000003</v>
      </c>
      <c r="H43">
        <f t="shared" si="1"/>
        <v>1.0087878787878788</v>
      </c>
      <c r="I43" t="str">
        <f t="shared" si="3"/>
        <v>$0.5-$5</v>
      </c>
      <c r="J43">
        <f t="shared" si="2"/>
        <v>6.6666666666666671E-3</v>
      </c>
    </row>
    <row r="44" spans="1:10">
      <c r="A44" t="str">
        <f>cleaned_data!A44</f>
        <v>USDai</v>
      </c>
      <c r="B44" t="str">
        <f>cleaned_data!B44</f>
        <v>USDAI</v>
      </c>
      <c r="C44">
        <f>cleaned_data!C44</f>
        <v>0.99990000000000001</v>
      </c>
      <c r="D44">
        <f>cleaned_data!D44</f>
        <v>0.01</v>
      </c>
      <c r="E44">
        <f>cleaned_data!N44</f>
        <v>0.01</v>
      </c>
      <c r="F44">
        <f>cleaned_data!O44</f>
        <v>0.01</v>
      </c>
      <c r="G44">
        <f t="shared" si="0"/>
        <v>0.99</v>
      </c>
      <c r="H44">
        <f t="shared" si="1"/>
        <v>1.01</v>
      </c>
      <c r="I44" t="str">
        <f t="shared" si="3"/>
        <v>$0.5-$5</v>
      </c>
      <c r="J44">
        <f t="shared" si="2"/>
        <v>0.01</v>
      </c>
    </row>
    <row r="45" spans="1:10">
      <c r="A45" t="str">
        <f>cleaned_data!A45</f>
        <v>Solstice USX</v>
      </c>
      <c r="B45" t="str">
        <f>cleaned_data!B45</f>
        <v>USX</v>
      </c>
      <c r="C45">
        <f>cleaned_data!C45</f>
        <v>1</v>
      </c>
      <c r="D45">
        <f>cleaned_data!D45</f>
        <v>0.01</v>
      </c>
      <c r="E45">
        <f>cleaned_data!N45</f>
        <v>0.01</v>
      </c>
      <c r="F45">
        <f>cleaned_data!O45</f>
        <v>0.06</v>
      </c>
      <c r="G45">
        <f t="shared" si="0"/>
        <v>0.94339622641509424</v>
      </c>
      <c r="H45">
        <f t="shared" si="1"/>
        <v>1.0101010101010102</v>
      </c>
      <c r="I45" t="str">
        <f t="shared" si="3"/>
        <v>$0.5-$5</v>
      </c>
      <c r="J45">
        <f t="shared" si="2"/>
        <v>2.6666666666666668E-2</v>
      </c>
    </row>
    <row r="46" spans="1:10">
      <c r="A46" t="str">
        <f>cleaned_data!A46</f>
        <v>Unibase</v>
      </c>
      <c r="B46" t="str">
        <f>cleaned_data!B46</f>
        <v>UB</v>
      </c>
      <c r="C46">
        <f>cleaned_data!C46</f>
        <v>0.12909999999999999</v>
      </c>
      <c r="D46">
        <f>cleaned_data!D46</f>
        <v>2.34</v>
      </c>
      <c r="E46">
        <f>cleaned_data!N46</f>
        <v>9.14</v>
      </c>
      <c r="F46">
        <f>cleaned_data!O46</f>
        <v>14.11</v>
      </c>
      <c r="G46">
        <f t="shared" si="0"/>
        <v>8.5440105890138979E-3</v>
      </c>
      <c r="H46" t="str">
        <f t="shared" si="1"/>
        <v>N/A</v>
      </c>
      <c r="I46" t="str">
        <f t="shared" si="3"/>
        <v>$0.05-$0.5</v>
      </c>
      <c r="J46">
        <f t="shared" si="2"/>
        <v>8.5299999999999994</v>
      </c>
    </row>
    <row r="47" spans="1:10">
      <c r="A47" t="str">
        <f>cleaned_data!A222</f>
        <v>Arrow Finance</v>
      </c>
      <c r="B47" t="str">
        <f>cleaned_data!B222</f>
        <v>ARROW</v>
      </c>
      <c r="C47">
        <f>cleaned_data!C222</f>
        <v>0.3377</v>
      </c>
      <c r="D47">
        <f>cleaned_data!D222</f>
        <v>45.45</v>
      </c>
      <c r="E47">
        <f>cleaned_data!N222</f>
        <v>23.83</v>
      </c>
      <c r="F47">
        <f>cleaned_data!O222</f>
        <v>93.08</v>
      </c>
      <c r="G47">
        <f t="shared" ref="G47:G110" si="4">C47/(1+F47)</f>
        <v>3.5894982993197279E-3</v>
      </c>
      <c r="H47" t="str">
        <f t="shared" ref="H47:H110" si="5">IF(OR(E47&gt;=1,E47&lt;0),"N/A",C47/(1-E47))</f>
        <v>N/A</v>
      </c>
      <c r="I47" t="str">
        <f t="shared" si="3"/>
        <v>$0.05-$0.5</v>
      </c>
      <c r="J47">
        <f t="shared" si="2"/>
        <v>54.120000000000005</v>
      </c>
    </row>
    <row r="48" spans="1:10">
      <c r="A48" t="str">
        <f>cleaned_data!A48</f>
        <v>Diem</v>
      </c>
      <c r="B48" t="str">
        <f>cleaned_data!B48</f>
        <v>DIEM</v>
      </c>
      <c r="C48">
        <f>cleaned_data!C48</f>
        <v>1638.11</v>
      </c>
      <c r="D48">
        <f>cleaned_data!D48</f>
        <v>0.48</v>
      </c>
      <c r="E48">
        <f>cleaned_data!N48</f>
        <v>1.02</v>
      </c>
      <c r="F48">
        <f>cleaned_data!O48</f>
        <v>6.35</v>
      </c>
      <c r="G48">
        <f t="shared" si="4"/>
        <v>222.8721088435374</v>
      </c>
      <c r="H48" t="str">
        <f t="shared" si="5"/>
        <v>N/A</v>
      </c>
      <c r="I48" t="str">
        <f t="shared" si="3"/>
        <v>&gt;$50</v>
      </c>
      <c r="J48">
        <f t="shared" si="2"/>
        <v>2.6166666666666667</v>
      </c>
    </row>
    <row r="49" spans="1:10">
      <c r="A49" t="str">
        <f>cleaned_data!A49</f>
        <v>ECOMI</v>
      </c>
      <c r="B49" t="str">
        <f>cleaned_data!B49</f>
        <v>OMI</v>
      </c>
      <c r="C49">
        <f>cleaned_data!C49</f>
        <v>2.2159999999999999E-4</v>
      </c>
      <c r="D49">
        <f>cleaned_data!D49</f>
        <v>2.36</v>
      </c>
      <c r="E49">
        <f>cleaned_data!N49</f>
        <v>6.3</v>
      </c>
      <c r="F49">
        <f>cleaned_data!O49</f>
        <v>15.51</v>
      </c>
      <c r="G49">
        <f t="shared" si="4"/>
        <v>1.3422168382798305E-5</v>
      </c>
      <c r="H49" t="str">
        <f t="shared" si="5"/>
        <v>N/A</v>
      </c>
      <c r="I49" t="str">
        <f t="shared" si="3"/>
        <v>$0-$0.05</v>
      </c>
      <c r="J49">
        <f t="shared" si="2"/>
        <v>8.0566666666666666</v>
      </c>
    </row>
    <row r="50" spans="1:10">
      <c r="A50" t="str">
        <f>cleaned_data!A50</f>
        <v>Fidelity Digital Dollar</v>
      </c>
      <c r="B50" t="str">
        <f>cleaned_data!B50</f>
        <v>FIDD</v>
      </c>
      <c r="C50">
        <f>cleaned_data!C50</f>
        <v>0.99950000000000006</v>
      </c>
      <c r="D50">
        <f>cleaned_data!D50</f>
        <v>0</v>
      </c>
      <c r="E50">
        <f>cleaned_data!N50</f>
        <v>0.01</v>
      </c>
      <c r="F50">
        <f>cleaned_data!O50</f>
        <v>0.03</v>
      </c>
      <c r="G50">
        <f t="shared" si="4"/>
        <v>0.9703883495145631</v>
      </c>
      <c r="H50">
        <f t="shared" si="5"/>
        <v>1.0095959595959596</v>
      </c>
      <c r="I50" t="str">
        <f t="shared" si="3"/>
        <v>$0.5-$5</v>
      </c>
      <c r="J50">
        <f t="shared" si="2"/>
        <v>1.3333333333333334E-2</v>
      </c>
    </row>
    <row r="51" spans="1:10">
      <c r="A51" t="str">
        <f>cleaned_data!A51</f>
        <v>Wormhole</v>
      </c>
      <c r="B51" t="str">
        <f>cleaned_data!B51</f>
        <v>W</v>
      </c>
      <c r="C51">
        <f>cleaned_data!C51</f>
        <v>9.7219999999999997E-3</v>
      </c>
      <c r="D51">
        <f>cleaned_data!D51</f>
        <v>0.69</v>
      </c>
      <c r="E51">
        <f>cleaned_data!N51</f>
        <v>2.72</v>
      </c>
      <c r="F51">
        <f>cleaned_data!O51</f>
        <v>19.010000000000002</v>
      </c>
      <c r="G51">
        <f t="shared" si="4"/>
        <v>4.8585707146426779E-4</v>
      </c>
      <c r="H51" t="str">
        <f t="shared" si="5"/>
        <v>N/A</v>
      </c>
      <c r="I51" t="str">
        <f t="shared" si="3"/>
        <v>$0-$0.05</v>
      </c>
      <c r="J51">
        <f t="shared" si="2"/>
        <v>7.4733333333333336</v>
      </c>
    </row>
    <row r="52" spans="1:10">
      <c r="A52" t="str">
        <f>cleaned_data!A52</f>
        <v>NEXPACE</v>
      </c>
      <c r="B52" t="str">
        <f>cleaned_data!B52</f>
        <v>NXPC</v>
      </c>
      <c r="C52">
        <f>cleaned_data!C52</f>
        <v>0.20619999999999999</v>
      </c>
      <c r="D52">
        <f>cleaned_data!D52</f>
        <v>0.47</v>
      </c>
      <c r="E52">
        <f>cleaned_data!N52</f>
        <v>0.3</v>
      </c>
      <c r="F52">
        <f>cleaned_data!O52</f>
        <v>0.9</v>
      </c>
      <c r="G52">
        <f t="shared" si="4"/>
        <v>0.10852631578947369</v>
      </c>
      <c r="H52">
        <f t="shared" si="5"/>
        <v>0.2945714285714286</v>
      </c>
      <c r="I52" t="str">
        <f t="shared" si="3"/>
        <v>$0.05-$0.5</v>
      </c>
      <c r="J52">
        <f t="shared" si="2"/>
        <v>0.55666666666666664</v>
      </c>
    </row>
    <row r="53" spans="1:10">
      <c r="A53" t="str">
        <f>cleaned_data!A53</f>
        <v>BNB Attestation Service</v>
      </c>
      <c r="B53" t="str">
        <f>cleaned_data!B53</f>
        <v>BAS</v>
      </c>
      <c r="C53">
        <f>cleaned_data!C53</f>
        <v>2.4729999999999999E-2</v>
      </c>
      <c r="D53">
        <f>cleaned_data!D53</f>
        <v>0.78</v>
      </c>
      <c r="E53">
        <f>cleaned_data!N53</f>
        <v>4.4400000000000004</v>
      </c>
      <c r="F53">
        <f>cleaned_data!O53</f>
        <v>3.96</v>
      </c>
      <c r="G53">
        <f t="shared" si="4"/>
        <v>4.9858870967741933E-3</v>
      </c>
      <c r="H53" t="str">
        <f t="shared" si="5"/>
        <v>N/A</v>
      </c>
      <c r="I53" t="str">
        <f t="shared" si="3"/>
        <v>$0-$0.05</v>
      </c>
      <c r="J53">
        <f t="shared" si="2"/>
        <v>3.06</v>
      </c>
    </row>
    <row r="54" spans="1:10">
      <c r="A54" t="str">
        <f>cleaned_data!A54</f>
        <v>Popcat (SOL)</v>
      </c>
      <c r="B54" t="str">
        <f>cleaned_data!B54</f>
        <v>POPCAT</v>
      </c>
      <c r="C54">
        <f>cleaned_data!C54</f>
        <v>6.2579999999999997E-2</v>
      </c>
      <c r="D54">
        <f>cleaned_data!D54</f>
        <v>1.2</v>
      </c>
      <c r="E54">
        <f>cleaned_data!N54</f>
        <v>11.24</v>
      </c>
      <c r="F54">
        <f>cleaned_data!O54</f>
        <v>51.31</v>
      </c>
      <c r="G54">
        <f t="shared" si="4"/>
        <v>1.196329573695278E-3</v>
      </c>
      <c r="H54" t="str">
        <f t="shared" si="5"/>
        <v>N/A</v>
      </c>
      <c r="I54" t="str">
        <f t="shared" si="3"/>
        <v>$0.05-$0.5</v>
      </c>
      <c r="J54">
        <f t="shared" si="2"/>
        <v>21.25</v>
      </c>
    </row>
    <row r="55" spans="1:10">
      <c r="A55" t="str">
        <f>cleaned_data!A55</f>
        <v>would</v>
      </c>
      <c r="B55" t="str">
        <f>cleaned_data!B55</f>
        <v>WOULD</v>
      </c>
      <c r="C55">
        <f>cleaned_data!C55</f>
        <v>6.1429999999999998E-2</v>
      </c>
      <c r="D55">
        <f>cleaned_data!D55</f>
        <v>0.36</v>
      </c>
      <c r="E55">
        <f>cleaned_data!N55</f>
        <v>1.38</v>
      </c>
      <c r="F55">
        <f>cleaned_data!O55</f>
        <v>9.56</v>
      </c>
      <c r="G55">
        <f t="shared" si="4"/>
        <v>5.8172348484848485E-3</v>
      </c>
      <c r="H55" t="str">
        <f t="shared" si="5"/>
        <v>N/A</v>
      </c>
      <c r="I55" t="str">
        <f t="shared" si="3"/>
        <v>$0.05-$0.5</v>
      </c>
      <c r="J55">
        <f t="shared" si="2"/>
        <v>3.7666666666666671</v>
      </c>
    </row>
    <row r="56" spans="1:10">
      <c r="A56" t="str">
        <f>cleaned_data!A112</f>
        <v>Jimothy The Raccoon</v>
      </c>
      <c r="B56" t="str">
        <f>cleaned_data!B112</f>
        <v>JIMOTHY</v>
      </c>
      <c r="C56">
        <f>cleaned_data!C112</f>
        <v>1.7440000000000001E-2</v>
      </c>
      <c r="D56">
        <f>cleaned_data!D112</f>
        <v>30.91</v>
      </c>
      <c r="E56">
        <f>cleaned_data!N112</f>
        <v>95.95</v>
      </c>
      <c r="F56">
        <f>cleaned_data!O112</f>
        <v>168.45</v>
      </c>
      <c r="G56">
        <f t="shared" si="4"/>
        <v>1.0292121569784598E-4</v>
      </c>
      <c r="H56" t="str">
        <f t="shared" si="5"/>
        <v>N/A</v>
      </c>
      <c r="I56" t="str">
        <f t="shared" si="3"/>
        <v>$0-$0.05</v>
      </c>
      <c r="J56">
        <f t="shared" si="2"/>
        <v>98.436666666666667</v>
      </c>
    </row>
    <row r="57" spans="1:10">
      <c r="A57" t="str">
        <f>cleaned_data!A57</f>
        <v>Targon</v>
      </c>
      <c r="B57" t="str">
        <f>cleaned_data!B57</f>
        <v>SN4</v>
      </c>
      <c r="C57">
        <f>cleaned_data!C57</f>
        <v>13.79</v>
      </c>
      <c r="D57">
        <f>cleaned_data!D57</f>
        <v>0.63</v>
      </c>
      <c r="E57">
        <f>cleaned_data!N57</f>
        <v>1.34</v>
      </c>
      <c r="F57">
        <f>cleaned_data!O57</f>
        <v>28.86</v>
      </c>
      <c r="G57">
        <f t="shared" si="4"/>
        <v>0.46182183523107834</v>
      </c>
      <c r="H57" t="str">
        <f t="shared" si="5"/>
        <v>N/A</v>
      </c>
      <c r="I57" t="str">
        <f t="shared" si="3"/>
        <v>$5-$50</v>
      </c>
      <c r="J57">
        <f t="shared" si="2"/>
        <v>10.276666666666666</v>
      </c>
    </row>
    <row r="58" spans="1:10">
      <c r="A58" t="str">
        <f>cleaned_data!A58</f>
        <v>Dohrnii</v>
      </c>
      <c r="B58" t="str">
        <f>cleaned_data!B58</f>
        <v>DHN</v>
      </c>
      <c r="C58">
        <f>cleaned_data!C58</f>
        <v>3.54</v>
      </c>
      <c r="D58">
        <f>cleaned_data!D58</f>
        <v>0.14000000000000001</v>
      </c>
      <c r="E58">
        <f>cleaned_data!N58</f>
        <v>1.31</v>
      </c>
      <c r="F58">
        <f>cleaned_data!O58</f>
        <v>1.64</v>
      </c>
      <c r="G58">
        <f t="shared" si="4"/>
        <v>1.3409090909090911</v>
      </c>
      <c r="H58" t="str">
        <f t="shared" si="5"/>
        <v>N/A</v>
      </c>
      <c r="I58" t="str">
        <f t="shared" si="3"/>
        <v>$0.5-$5</v>
      </c>
      <c r="J58">
        <f t="shared" si="2"/>
        <v>1.03</v>
      </c>
    </row>
    <row r="59" spans="1:10">
      <c r="A59" t="str">
        <f>cleaned_data!A59</f>
        <v>StandX DUSD</v>
      </c>
      <c r="B59" t="str">
        <f>cleaned_data!B59</f>
        <v>DUSD</v>
      </c>
      <c r="C59">
        <f>cleaned_data!C59</f>
        <v>0.999</v>
      </c>
      <c r="D59">
        <f>cleaned_data!D59</f>
        <v>0.01</v>
      </c>
      <c r="E59">
        <f>cleaned_data!N59</f>
        <v>0.01</v>
      </c>
      <c r="F59">
        <f>cleaned_data!O59</f>
        <v>0.09</v>
      </c>
      <c r="G59">
        <f t="shared" si="4"/>
        <v>0.91651376146788988</v>
      </c>
      <c r="H59">
        <f t="shared" si="5"/>
        <v>1.009090909090909</v>
      </c>
      <c r="I59" t="str">
        <f t="shared" si="3"/>
        <v>$0.5-$5</v>
      </c>
      <c r="J59">
        <f t="shared" si="2"/>
        <v>3.6666666666666667E-2</v>
      </c>
    </row>
    <row r="60" spans="1:10">
      <c r="A60" t="str">
        <f>cleaned_data!A60</f>
        <v>Venus BUSD</v>
      </c>
      <c r="B60" t="str">
        <f>cleaned_data!B60</f>
        <v>vBUSD</v>
      </c>
      <c r="C60">
        <f>cleaned_data!C60</f>
        <v>2.2349999999999998E-2</v>
      </c>
      <c r="D60">
        <f>cleaned_data!D60</f>
        <v>0.03</v>
      </c>
      <c r="E60">
        <f>cleaned_data!N60</f>
        <v>0.01</v>
      </c>
      <c r="F60">
        <f>cleaned_data!O60</f>
        <v>0.23</v>
      </c>
      <c r="G60">
        <f t="shared" si="4"/>
        <v>1.8170731707317072E-2</v>
      </c>
      <c r="H60">
        <f t="shared" si="5"/>
        <v>2.2575757575757575E-2</v>
      </c>
      <c r="I60" t="str">
        <f t="shared" si="3"/>
        <v>$0-$0.05</v>
      </c>
      <c r="J60">
        <f t="shared" si="2"/>
        <v>9.0000000000000011E-2</v>
      </c>
    </row>
    <row r="61" spans="1:10">
      <c r="A61" t="str">
        <f>cleaned_data!A61</f>
        <v>Qubic</v>
      </c>
      <c r="B61" t="str">
        <f>cleaned_data!B61</f>
        <v>QUBIC</v>
      </c>
      <c r="C61">
        <f>cleaned_data!C61</f>
        <v>6.4241000000000006E-2</v>
      </c>
      <c r="D61">
        <f>cleaned_data!D61</f>
        <v>0.38</v>
      </c>
      <c r="E61">
        <f>cleaned_data!N61</f>
        <v>0.6</v>
      </c>
      <c r="F61">
        <f>cleaned_data!O61</f>
        <v>2.99</v>
      </c>
      <c r="G61">
        <f t="shared" si="4"/>
        <v>1.6100501253132834E-2</v>
      </c>
      <c r="H61">
        <f t="shared" si="5"/>
        <v>0.16060250000000001</v>
      </c>
      <c r="I61" t="str">
        <f t="shared" si="3"/>
        <v>$0.05-$0.5</v>
      </c>
      <c r="J61">
        <f t="shared" si="2"/>
        <v>1.3233333333333335</v>
      </c>
    </row>
    <row r="62" spans="1:10">
      <c r="A62" t="str">
        <f>cleaned_data!A62</f>
        <v>Mask Network</v>
      </c>
      <c r="B62" t="str">
        <f>cleaned_data!B62</f>
        <v>MASK</v>
      </c>
      <c r="C62">
        <f>cleaned_data!C62</f>
        <v>0.43259999999999998</v>
      </c>
      <c r="D62">
        <f>cleaned_data!D62</f>
        <v>0.21</v>
      </c>
      <c r="E62">
        <f>cleaned_data!N62</f>
        <v>3</v>
      </c>
      <c r="F62">
        <f>cleaned_data!O62</f>
        <v>24.32</v>
      </c>
      <c r="G62">
        <f t="shared" si="4"/>
        <v>1.7085308056872039E-2</v>
      </c>
      <c r="H62" t="str">
        <f t="shared" si="5"/>
        <v>N/A</v>
      </c>
      <c r="I62" t="str">
        <f t="shared" si="3"/>
        <v>$0.05-$0.5</v>
      </c>
      <c r="J62">
        <f t="shared" si="2"/>
        <v>9.1766666666666676</v>
      </c>
    </row>
    <row r="63" spans="1:10">
      <c r="A63" t="str">
        <f>cleaned_data!A63</f>
        <v>Gravity</v>
      </c>
      <c r="B63" t="str">
        <f>cleaned_data!B63</f>
        <v>G</v>
      </c>
      <c r="C63">
        <f>cleaned_data!C63</f>
        <v>3.9129999999999998E-3</v>
      </c>
      <c r="D63">
        <f>cleaned_data!D63</f>
        <v>0.5</v>
      </c>
      <c r="E63">
        <f>cleaned_data!N63</f>
        <v>2.09</v>
      </c>
      <c r="F63">
        <f>cleaned_data!O63</f>
        <v>0.64</v>
      </c>
      <c r="G63">
        <f t="shared" si="4"/>
        <v>2.3859756097560974E-3</v>
      </c>
      <c r="H63" t="str">
        <f t="shared" si="5"/>
        <v>N/A</v>
      </c>
      <c r="I63" t="str">
        <f t="shared" si="3"/>
        <v>$0-$0.05</v>
      </c>
      <c r="J63">
        <f t="shared" si="2"/>
        <v>1.0766666666666667</v>
      </c>
    </row>
    <row r="64" spans="1:10">
      <c r="A64" t="str">
        <f>cleaned_data!A64</f>
        <v>River</v>
      </c>
      <c r="B64" t="str">
        <f>cleaned_data!B64</f>
        <v>RIVER</v>
      </c>
      <c r="C64">
        <f>cleaned_data!C64</f>
        <v>2.19</v>
      </c>
      <c r="D64">
        <f>cleaned_data!D64</f>
        <v>0.36</v>
      </c>
      <c r="E64">
        <f>cleaned_data!N64</f>
        <v>3.51</v>
      </c>
      <c r="F64">
        <f>cleaned_data!O64</f>
        <v>15.38</v>
      </c>
      <c r="G64">
        <f t="shared" si="4"/>
        <v>0.13369963369963367</v>
      </c>
      <c r="H64" t="str">
        <f t="shared" si="5"/>
        <v>N/A</v>
      </c>
      <c r="I64" t="str">
        <f t="shared" si="3"/>
        <v>$0.5-$5</v>
      </c>
      <c r="J64">
        <f t="shared" si="2"/>
        <v>6.416666666666667</v>
      </c>
    </row>
    <row r="65" spans="1:10">
      <c r="A65" t="str">
        <f>cleaned_data!A65</f>
        <v>Audiera</v>
      </c>
      <c r="B65" t="str">
        <f>cleaned_data!B65</f>
        <v>BEAT</v>
      </c>
      <c r="C65">
        <f>cleaned_data!C65</f>
        <v>0.12989999999999999</v>
      </c>
      <c r="D65">
        <f>cleaned_data!D65</f>
        <v>1.88</v>
      </c>
      <c r="E65">
        <f>cleaned_data!N65</f>
        <v>2.2799999999999998</v>
      </c>
      <c r="F65">
        <f>cleaned_data!O65</f>
        <v>50.32</v>
      </c>
      <c r="G65">
        <f t="shared" si="4"/>
        <v>2.531176929072486E-3</v>
      </c>
      <c r="H65" t="str">
        <f t="shared" si="5"/>
        <v>N/A</v>
      </c>
      <c r="I65" t="str">
        <f t="shared" si="3"/>
        <v>$0.05-$0.5</v>
      </c>
      <c r="J65">
        <f t="shared" si="2"/>
        <v>18.16</v>
      </c>
    </row>
    <row r="66" spans="1:10">
      <c r="A66" t="str">
        <f>cleaned_data!A66</f>
        <v>Magma Finance</v>
      </c>
      <c r="B66" t="str">
        <f>cleaned_data!B66</f>
        <v>MAGMA</v>
      </c>
      <c r="C66">
        <f>cleaned_data!C66</f>
        <v>0.22650000000000001</v>
      </c>
      <c r="D66">
        <f>cleaned_data!D66</f>
        <v>0.91</v>
      </c>
      <c r="E66">
        <f>cleaned_data!N66</f>
        <v>1.75</v>
      </c>
      <c r="F66">
        <f>cleaned_data!O66</f>
        <v>40.950000000000003</v>
      </c>
      <c r="G66">
        <f t="shared" si="4"/>
        <v>5.3992848629320616E-3</v>
      </c>
      <c r="H66" t="str">
        <f t="shared" si="5"/>
        <v>N/A</v>
      </c>
      <c r="I66" t="str">
        <f t="shared" si="3"/>
        <v>$0.05-$0.5</v>
      </c>
      <c r="J66">
        <f t="shared" si="2"/>
        <v>14.536666666666667</v>
      </c>
    </row>
    <row r="67" spans="1:10">
      <c r="A67" t="str">
        <f>cleaned_data!A67</f>
        <v>Locus Chain</v>
      </c>
      <c r="B67" t="str">
        <f>cleaned_data!B67</f>
        <v>LOCUS</v>
      </c>
      <c r="C67">
        <f>cleaned_data!C67</f>
        <v>7.718E-3</v>
      </c>
      <c r="D67">
        <f>cleaned_data!D67</f>
        <v>0.75</v>
      </c>
      <c r="E67">
        <f>cleaned_data!N67</f>
        <v>3.48</v>
      </c>
      <c r="F67">
        <f>cleaned_data!O67</f>
        <v>54.87</v>
      </c>
      <c r="G67">
        <f t="shared" si="4"/>
        <v>1.3814211562555935E-4</v>
      </c>
      <c r="H67" t="str">
        <f t="shared" si="5"/>
        <v>N/A</v>
      </c>
      <c r="I67" t="str">
        <f t="shared" ref="I67:I130" si="6">IF(C67&lt;=0.05,"$0-$0.05",
IF(C67&lt;=0.5,"$0.05-$0.5",
IF(C67&lt;=5,"$0.5-$5",
IF(C67&lt;=50,"$5-$50","&gt;$50"))))</f>
        <v>$0-$0.05</v>
      </c>
      <c r="J67">
        <f t="shared" ref="J67:J130" si="7">AVERAGE(ABS(D67),ABS(E67),ABS(F67))</f>
        <v>19.7</v>
      </c>
    </row>
    <row r="68" spans="1:10">
      <c r="A68" t="str">
        <f>cleaned_data!A68</f>
        <v>Aztec</v>
      </c>
      <c r="B68" t="str">
        <f>cleaned_data!B68</f>
        <v>AZTEC</v>
      </c>
      <c r="C68">
        <f>cleaned_data!C68</f>
        <v>1.489E-2</v>
      </c>
      <c r="D68">
        <f>cleaned_data!D68</f>
        <v>7.0000000000000007E-2</v>
      </c>
      <c r="E68">
        <f>cleaned_data!N68</f>
        <v>6.67</v>
      </c>
      <c r="F68">
        <f>cleaned_data!O68</f>
        <v>28.37</v>
      </c>
      <c r="G68">
        <f t="shared" si="4"/>
        <v>5.0697991147429346E-4</v>
      </c>
      <c r="H68" t="str">
        <f t="shared" si="5"/>
        <v>N/A</v>
      </c>
      <c r="I68" t="str">
        <f t="shared" si="6"/>
        <v>$0-$0.05</v>
      </c>
      <c r="J68">
        <f t="shared" si="7"/>
        <v>11.703333333333333</v>
      </c>
    </row>
    <row r="69" spans="1:10">
      <c r="A69" t="str">
        <f>cleaned_data!A69</f>
        <v>Verge</v>
      </c>
      <c r="B69" t="str">
        <f>cleaned_data!B69</f>
        <v>XVG</v>
      </c>
      <c r="C69">
        <f>cleaned_data!C69</f>
        <v>2.594E-3</v>
      </c>
      <c r="D69">
        <f>cleaned_data!D69</f>
        <v>0.84</v>
      </c>
      <c r="E69">
        <f>cleaned_data!N69</f>
        <v>1.58</v>
      </c>
      <c r="F69">
        <f>cleaned_data!O69</f>
        <v>31.06</v>
      </c>
      <c r="G69">
        <f t="shared" si="4"/>
        <v>8.0910792264504052E-5</v>
      </c>
      <c r="H69" t="str">
        <f t="shared" si="5"/>
        <v>N/A</v>
      </c>
      <c r="I69" t="str">
        <f t="shared" si="6"/>
        <v>$0-$0.05</v>
      </c>
      <c r="J69">
        <f t="shared" si="7"/>
        <v>11.159999999999998</v>
      </c>
    </row>
    <row r="70" spans="1:10">
      <c r="A70" t="str">
        <f>cleaned_data!A70</f>
        <v>Keeta</v>
      </c>
      <c r="B70" t="str">
        <f>cleaned_data!B70</f>
        <v>KTA</v>
      </c>
      <c r="C70">
        <f>cleaned_data!C70</f>
        <v>7.2410000000000002E-2</v>
      </c>
      <c r="D70">
        <f>cleaned_data!D70</f>
        <v>0.34</v>
      </c>
      <c r="E70">
        <f>cleaned_data!N70</f>
        <v>6.77</v>
      </c>
      <c r="F70">
        <f>cleaned_data!O70</f>
        <v>21.99</v>
      </c>
      <c r="G70">
        <f t="shared" si="4"/>
        <v>3.1496302740321881E-3</v>
      </c>
      <c r="H70" t="str">
        <f t="shared" si="5"/>
        <v>N/A</v>
      </c>
      <c r="I70" t="str">
        <f t="shared" si="6"/>
        <v>$0.05-$0.5</v>
      </c>
      <c r="J70">
        <f t="shared" si="7"/>
        <v>9.6999999999999993</v>
      </c>
    </row>
    <row r="71" spans="1:10">
      <c r="A71" t="str">
        <f>cleaned_data!A71</f>
        <v>ssv.network</v>
      </c>
      <c r="B71" t="str">
        <f>cleaned_data!B71</f>
        <v>SSV</v>
      </c>
      <c r="C71">
        <f>cleaned_data!C71</f>
        <v>2.68</v>
      </c>
      <c r="D71">
        <f>cleaned_data!D71</f>
        <v>1.33</v>
      </c>
      <c r="E71">
        <f>cleaned_data!N71</f>
        <v>3.59</v>
      </c>
      <c r="F71">
        <f>cleaned_data!O71</f>
        <v>23.97</v>
      </c>
      <c r="G71">
        <f t="shared" si="4"/>
        <v>0.10732879455346417</v>
      </c>
      <c r="H71" t="str">
        <f t="shared" si="5"/>
        <v>N/A</v>
      </c>
      <c r="I71" t="str">
        <f t="shared" si="6"/>
        <v>$0.5-$5</v>
      </c>
      <c r="J71">
        <f t="shared" si="7"/>
        <v>9.6300000000000008</v>
      </c>
    </row>
    <row r="72" spans="1:10">
      <c r="A72" t="str">
        <f>cleaned_data!A72</f>
        <v>Lombard</v>
      </c>
      <c r="B72" t="str">
        <f>cleaned_data!B72</f>
        <v>BARD</v>
      </c>
      <c r="C72">
        <f>cleaned_data!C72</f>
        <v>0.1208</v>
      </c>
      <c r="D72">
        <f>cleaned_data!D72</f>
        <v>1.19</v>
      </c>
      <c r="E72">
        <f>cleaned_data!N72</f>
        <v>1.82</v>
      </c>
      <c r="F72">
        <f>cleaned_data!O72</f>
        <v>17.420000000000002</v>
      </c>
      <c r="G72">
        <f t="shared" si="4"/>
        <v>6.5580890336590656E-3</v>
      </c>
      <c r="H72" t="str">
        <f t="shared" si="5"/>
        <v>N/A</v>
      </c>
      <c r="I72" t="str">
        <f t="shared" si="6"/>
        <v>$0.05-$0.5</v>
      </c>
      <c r="J72">
        <f t="shared" si="7"/>
        <v>6.81</v>
      </c>
    </row>
    <row r="73" spans="1:10">
      <c r="A73" t="str">
        <f>cleaned_data!A73</f>
        <v>Frankencoin</v>
      </c>
      <c r="B73" t="str">
        <f>cleaned_data!B73</f>
        <v>ZCHF</v>
      </c>
      <c r="C73">
        <f>cleaned_data!C73</f>
        <v>1.24</v>
      </c>
      <c r="D73">
        <f>cleaned_data!D73</f>
        <v>0.02</v>
      </c>
      <c r="E73">
        <f>cleaned_data!N73</f>
        <v>0.23</v>
      </c>
      <c r="F73">
        <f>cleaned_data!O73</f>
        <v>0.87</v>
      </c>
      <c r="G73">
        <f t="shared" si="4"/>
        <v>0.66310160427807485</v>
      </c>
      <c r="H73">
        <f t="shared" si="5"/>
        <v>1.6103896103896103</v>
      </c>
      <c r="I73" t="str">
        <f t="shared" si="6"/>
        <v>$0.5-$5</v>
      </c>
      <c r="J73">
        <f t="shared" si="7"/>
        <v>0.37333333333333335</v>
      </c>
    </row>
    <row r="74" spans="1:10">
      <c r="A74" t="str">
        <f>cleaned_data!A74</f>
        <v>ApeX Protocol</v>
      </c>
      <c r="B74" t="str">
        <f>cleaned_data!B74</f>
        <v>APEX</v>
      </c>
      <c r="C74">
        <f>cleaned_data!C74</f>
        <v>0.28749999999999998</v>
      </c>
      <c r="D74">
        <f>cleaned_data!D74</f>
        <v>1.3</v>
      </c>
      <c r="E74">
        <f>cleaned_data!N74</f>
        <v>3.25</v>
      </c>
      <c r="F74">
        <f>cleaned_data!O74</f>
        <v>54.56</v>
      </c>
      <c r="G74">
        <f t="shared" si="4"/>
        <v>5.1745860331173501E-3</v>
      </c>
      <c r="H74" t="str">
        <f t="shared" si="5"/>
        <v>N/A</v>
      </c>
      <c r="I74" t="str">
        <f t="shared" si="6"/>
        <v>$0.05-$0.5</v>
      </c>
      <c r="J74">
        <f t="shared" si="7"/>
        <v>19.703333333333333</v>
      </c>
    </row>
    <row r="75" spans="1:10">
      <c r="A75" t="str">
        <f>cleaned_data!A75</f>
        <v>Threshold</v>
      </c>
      <c r="B75" t="str">
        <f>cleaned_data!B75</f>
        <v>T</v>
      </c>
      <c r="C75">
        <f>cleaned_data!C75</f>
        <v>3.7659999999999998E-3</v>
      </c>
      <c r="D75">
        <f>cleaned_data!D75</f>
        <v>0.28000000000000003</v>
      </c>
      <c r="E75">
        <f>cleaned_data!N75</f>
        <v>1.35</v>
      </c>
      <c r="F75">
        <f>cleaned_data!O75</f>
        <v>17.11</v>
      </c>
      <c r="G75">
        <f t="shared" si="4"/>
        <v>2.0795140806184427E-4</v>
      </c>
      <c r="H75" t="str">
        <f t="shared" si="5"/>
        <v>N/A</v>
      </c>
      <c r="I75" t="str">
        <f t="shared" si="6"/>
        <v>$0-$0.05</v>
      </c>
      <c r="J75">
        <f t="shared" si="7"/>
        <v>6.2466666666666661</v>
      </c>
    </row>
    <row r="76" spans="1:10">
      <c r="A76" t="str">
        <f>cleaned_data!A76</f>
        <v>Notcoin</v>
      </c>
      <c r="B76" t="str">
        <f>cleaned_data!B76</f>
        <v>NOT</v>
      </c>
      <c r="C76">
        <f>cleaned_data!C76</f>
        <v>4.1990000000000001E-4</v>
      </c>
      <c r="D76">
        <f>cleaned_data!D76</f>
        <v>0.51</v>
      </c>
      <c r="E76">
        <f>cleaned_data!N76</f>
        <v>0.85</v>
      </c>
      <c r="F76">
        <f>cleaned_data!O76</f>
        <v>12.02</v>
      </c>
      <c r="G76">
        <f t="shared" si="4"/>
        <v>3.2250384024577577E-5</v>
      </c>
      <c r="H76">
        <f t="shared" si="5"/>
        <v>2.7993333333333329E-3</v>
      </c>
      <c r="I76" t="str">
        <f t="shared" si="6"/>
        <v>$0-$0.05</v>
      </c>
      <c r="J76">
        <f t="shared" si="7"/>
        <v>4.46</v>
      </c>
    </row>
    <row r="77" spans="1:10">
      <c r="A77" t="str">
        <f>cleaned_data!A77</f>
        <v>templar</v>
      </c>
      <c r="B77" t="str">
        <f>cleaned_data!B77</f>
        <v>SN3</v>
      </c>
      <c r="C77">
        <f>cleaned_data!C77</f>
        <v>7.37</v>
      </c>
      <c r="D77">
        <f>cleaned_data!D77</f>
        <v>1.5</v>
      </c>
      <c r="E77">
        <f>cleaned_data!N77</f>
        <v>13.34</v>
      </c>
      <c r="F77">
        <f>cleaned_data!O77</f>
        <v>30.68</v>
      </c>
      <c r="G77">
        <f t="shared" si="4"/>
        <v>0.2326388888888889</v>
      </c>
      <c r="H77" t="str">
        <f t="shared" si="5"/>
        <v>N/A</v>
      </c>
      <c r="I77" t="str">
        <f t="shared" si="6"/>
        <v>$5-$50</v>
      </c>
      <c r="J77">
        <f t="shared" si="7"/>
        <v>15.173333333333332</v>
      </c>
    </row>
    <row r="78" spans="1:10">
      <c r="A78" t="str">
        <f>cleaned_data!A78</f>
        <v>Vana</v>
      </c>
      <c r="B78" t="str">
        <f>cleaned_data!B78</f>
        <v>VANA</v>
      </c>
      <c r="C78">
        <f>cleaned_data!C78</f>
        <v>1.02</v>
      </c>
      <c r="D78">
        <f>cleaned_data!D78</f>
        <v>0.5</v>
      </c>
      <c r="E78">
        <f>cleaned_data!N78</f>
        <v>2.92</v>
      </c>
      <c r="F78">
        <f>cleaned_data!O78</f>
        <v>21.14</v>
      </c>
      <c r="G78">
        <f t="shared" si="4"/>
        <v>4.6070460704607047E-2</v>
      </c>
      <c r="H78" t="str">
        <f t="shared" si="5"/>
        <v>N/A</v>
      </c>
      <c r="I78" t="str">
        <f t="shared" si="6"/>
        <v>$0.5-$5</v>
      </c>
      <c r="J78">
        <f t="shared" si="7"/>
        <v>8.1866666666666674</v>
      </c>
    </row>
    <row r="79" spans="1:10">
      <c r="A79" t="str">
        <f>cleaned_data!A79</f>
        <v>LUSD</v>
      </c>
      <c r="B79" t="str">
        <f>cleaned_data!B79</f>
        <v>LUSD</v>
      </c>
      <c r="C79">
        <f>cleaned_data!C79</f>
        <v>0.99960000000000004</v>
      </c>
      <c r="D79">
        <f>cleaned_data!D79</f>
        <v>0.01</v>
      </c>
      <c r="E79">
        <f>cleaned_data!N79</f>
        <v>0.02</v>
      </c>
      <c r="F79">
        <f>cleaned_data!O79</f>
        <v>0.06</v>
      </c>
      <c r="G79">
        <f t="shared" si="4"/>
        <v>0.94301886792452827</v>
      </c>
      <c r="H79">
        <f t="shared" si="5"/>
        <v>1.02</v>
      </c>
      <c r="I79" t="str">
        <f t="shared" si="6"/>
        <v>$0.5-$5</v>
      </c>
      <c r="J79">
        <f t="shared" si="7"/>
        <v>0.03</v>
      </c>
    </row>
    <row r="80" spans="1:10">
      <c r="A80" t="str">
        <f>cleaned_data!A80</f>
        <v>World Mobile Token</v>
      </c>
      <c r="B80" t="str">
        <f>cleaned_data!B80</f>
        <v>WMTX</v>
      </c>
      <c r="C80">
        <f>cleaned_data!C80</f>
        <v>3.5490000000000001E-2</v>
      </c>
      <c r="D80">
        <f>cleaned_data!D80</f>
        <v>0.11</v>
      </c>
      <c r="E80">
        <f>cleaned_data!N80</f>
        <v>2.4500000000000002</v>
      </c>
      <c r="F80">
        <f>cleaned_data!O80</f>
        <v>17.87</v>
      </c>
      <c r="G80">
        <f t="shared" si="4"/>
        <v>1.8807631160572336E-3</v>
      </c>
      <c r="H80" t="str">
        <f t="shared" si="5"/>
        <v>N/A</v>
      </c>
      <c r="I80" t="str">
        <f t="shared" si="6"/>
        <v>$0-$0.05</v>
      </c>
      <c r="J80">
        <f t="shared" si="7"/>
        <v>6.81</v>
      </c>
    </row>
    <row r="81" spans="1:10">
      <c r="A81" t="str">
        <f>cleaned_data!A81</f>
        <v>Lista DAO</v>
      </c>
      <c r="B81" t="str">
        <f>cleaned_data!B81</f>
        <v>LISTA</v>
      </c>
      <c r="C81">
        <f>cleaned_data!C81</f>
        <v>6.93E-2</v>
      </c>
      <c r="D81">
        <f>cleaned_data!D81</f>
        <v>0.8</v>
      </c>
      <c r="E81">
        <f>cleaned_data!N81</f>
        <v>1.38</v>
      </c>
      <c r="F81">
        <f>cleaned_data!O81</f>
        <v>16.78</v>
      </c>
      <c r="G81">
        <f t="shared" si="4"/>
        <v>3.8976377952755904E-3</v>
      </c>
      <c r="H81" t="str">
        <f t="shared" si="5"/>
        <v>N/A</v>
      </c>
      <c r="I81" t="str">
        <f t="shared" si="6"/>
        <v>$0.05-$0.5</v>
      </c>
      <c r="J81">
        <f t="shared" si="7"/>
        <v>6.32</v>
      </c>
    </row>
    <row r="82" spans="1:10">
      <c r="A82" t="str">
        <f>cleaned_data!A82</f>
        <v>ZORA</v>
      </c>
      <c r="B82" t="str">
        <f>cleaned_data!B82</f>
        <v>ZORA</v>
      </c>
      <c r="C82">
        <f>cleaned_data!C82</f>
        <v>6.8320000000000004E-3</v>
      </c>
      <c r="D82">
        <f>cleaned_data!D82</f>
        <v>2.2799999999999998</v>
      </c>
      <c r="E82">
        <f>cleaned_data!N82</f>
        <v>1.22</v>
      </c>
      <c r="F82">
        <f>cleaned_data!O82</f>
        <v>42.3</v>
      </c>
      <c r="G82">
        <f t="shared" si="4"/>
        <v>1.5778290993071595E-4</v>
      </c>
      <c r="H82" t="str">
        <f t="shared" si="5"/>
        <v>N/A</v>
      </c>
      <c r="I82" t="str">
        <f t="shared" si="6"/>
        <v>$0-$0.05</v>
      </c>
      <c r="J82">
        <f t="shared" si="7"/>
        <v>15.266666666666666</v>
      </c>
    </row>
    <row r="83" spans="1:10">
      <c r="A83" t="str">
        <f>cleaned_data!A83</f>
        <v>iota</v>
      </c>
      <c r="B83" t="str">
        <f>cleaned_data!B83</f>
        <v>SN9</v>
      </c>
      <c r="C83">
        <f>cleaned_data!C83</f>
        <v>7.61</v>
      </c>
      <c r="D83">
        <f>cleaned_data!D83</f>
        <v>0.7</v>
      </c>
      <c r="E83">
        <f>cleaned_data!N83</f>
        <v>2.98</v>
      </c>
      <c r="F83">
        <f>cleaned_data!O83</f>
        <v>20.56</v>
      </c>
      <c r="G83">
        <f t="shared" si="4"/>
        <v>0.35296846011131727</v>
      </c>
      <c r="H83" t="str">
        <f t="shared" si="5"/>
        <v>N/A</v>
      </c>
      <c r="I83" t="str">
        <f t="shared" si="6"/>
        <v>$5-$50</v>
      </c>
      <c r="J83">
        <f t="shared" si="7"/>
        <v>8.08</v>
      </c>
    </row>
    <row r="84" spans="1:10">
      <c r="A84" t="str">
        <f>cleaned_data!A84</f>
        <v>TerraClassicUSD</v>
      </c>
      <c r="B84" t="str">
        <f>cleaned_data!B84</f>
        <v>USTC</v>
      </c>
      <c r="C84">
        <f>cleaned_data!C84</f>
        <v>5.4539999999999996E-3</v>
      </c>
      <c r="D84">
        <f>cleaned_data!D84</f>
        <v>1.22</v>
      </c>
      <c r="E84">
        <f>cleaned_data!N84</f>
        <v>2.86</v>
      </c>
      <c r="F84">
        <f>cleaned_data!O84</f>
        <v>15.22</v>
      </c>
      <c r="G84">
        <f t="shared" si="4"/>
        <v>3.3625154130702837E-4</v>
      </c>
      <c r="H84" t="str">
        <f t="shared" si="5"/>
        <v>N/A</v>
      </c>
      <c r="I84" t="str">
        <f t="shared" si="6"/>
        <v>$0-$0.05</v>
      </c>
      <c r="J84">
        <f t="shared" si="7"/>
        <v>6.4333333333333336</v>
      </c>
    </row>
    <row r="85" spans="1:10">
      <c r="A85" t="str">
        <f>cleaned_data!A85</f>
        <v>EthereumPoW</v>
      </c>
      <c r="B85" t="str">
        <f>cleaned_data!B85</f>
        <v>ETHW</v>
      </c>
      <c r="C85">
        <f>cleaned_data!C85</f>
        <v>0.27939999999999998</v>
      </c>
      <c r="D85">
        <f>cleaned_data!D85</f>
        <v>0.37</v>
      </c>
      <c r="E85">
        <f>cleaned_data!N85</f>
        <v>2.2400000000000002</v>
      </c>
      <c r="F85">
        <f>cleaned_data!O85</f>
        <v>17.78</v>
      </c>
      <c r="G85">
        <f t="shared" si="4"/>
        <v>1.4877529286474971E-2</v>
      </c>
      <c r="H85" t="str">
        <f t="shared" si="5"/>
        <v>N/A</v>
      </c>
      <c r="I85" t="str">
        <f t="shared" si="6"/>
        <v>$0.05-$0.5</v>
      </c>
      <c r="J85">
        <f t="shared" si="7"/>
        <v>6.7966666666666669</v>
      </c>
    </row>
    <row r="86" spans="1:10">
      <c r="A86" t="str">
        <f>cleaned_data!A86</f>
        <v>Waves</v>
      </c>
      <c r="B86" t="str">
        <f>cleaned_data!B86</f>
        <v>WAVES</v>
      </c>
      <c r="C86">
        <f>cleaned_data!C86</f>
        <v>0.2215</v>
      </c>
      <c r="D86">
        <f>cleaned_data!D86</f>
        <v>7.0000000000000007E-2</v>
      </c>
      <c r="E86">
        <f>cleaned_data!N86</f>
        <v>0.89</v>
      </c>
      <c r="F86">
        <f>cleaned_data!O86</f>
        <v>19.059999999999999</v>
      </c>
      <c r="G86">
        <f t="shared" si="4"/>
        <v>1.1041874376869393E-2</v>
      </c>
      <c r="H86">
        <f t="shared" si="5"/>
        <v>2.0136363636363641</v>
      </c>
      <c r="I86" t="str">
        <f t="shared" si="6"/>
        <v>$0.05-$0.5</v>
      </c>
      <c r="J86">
        <f t="shared" si="7"/>
        <v>6.6733333333333329</v>
      </c>
    </row>
    <row r="87" spans="1:10">
      <c r="A87" t="str">
        <f>cleaned_data!A87</f>
        <v>Fabric Protocol</v>
      </c>
      <c r="B87" t="str">
        <f>cleaned_data!B87</f>
        <v>ROBO</v>
      </c>
      <c r="C87">
        <f>cleaned_data!C87</f>
        <v>1.3480000000000001E-2</v>
      </c>
      <c r="D87">
        <f>cleaned_data!D87</f>
        <v>1.3</v>
      </c>
      <c r="E87">
        <f>cleaned_data!N87</f>
        <v>0.72</v>
      </c>
      <c r="F87">
        <f>cleaned_data!O87</f>
        <v>1.05</v>
      </c>
      <c r="G87">
        <f t="shared" si="4"/>
        <v>6.5756097560975618E-3</v>
      </c>
      <c r="H87">
        <f t="shared" si="5"/>
        <v>4.814285714285714E-2</v>
      </c>
      <c r="I87" t="str">
        <f t="shared" si="6"/>
        <v>$0-$0.05</v>
      </c>
      <c r="J87">
        <f t="shared" si="7"/>
        <v>1.0233333333333334</v>
      </c>
    </row>
    <row r="88" spans="1:10">
      <c r="A88" t="str">
        <f>cleaned_data!A88</f>
        <v>Sahara AI</v>
      </c>
      <c r="B88" t="str">
        <f>cleaned_data!B88</f>
        <v>SAHARA</v>
      </c>
      <c r="C88">
        <f>cleaned_data!C88</f>
        <v>8.3149999999999995E-3</v>
      </c>
      <c r="D88">
        <f>cleaned_data!D88</f>
        <v>0.8</v>
      </c>
      <c r="E88">
        <f>cleaned_data!N88</f>
        <v>1.34</v>
      </c>
      <c r="F88">
        <f>cleaned_data!O88</f>
        <v>14.74</v>
      </c>
      <c r="G88">
        <f t="shared" si="4"/>
        <v>5.2827191867852602E-4</v>
      </c>
      <c r="H88" t="str">
        <f t="shared" si="5"/>
        <v>N/A</v>
      </c>
      <c r="I88" t="str">
        <f t="shared" si="6"/>
        <v>$0-$0.05</v>
      </c>
      <c r="J88">
        <f t="shared" si="7"/>
        <v>5.626666666666666</v>
      </c>
    </row>
    <row r="89" spans="1:10">
      <c r="A89" t="str">
        <f>cleaned_data!A89</f>
        <v>Anoma</v>
      </c>
      <c r="B89" t="str">
        <f>cleaned_data!B89</f>
        <v>XAN</v>
      </c>
      <c r="C89">
        <f>cleaned_data!C89</f>
        <v>1.184E-2</v>
      </c>
      <c r="D89">
        <f>cleaned_data!D89</f>
        <v>1.46</v>
      </c>
      <c r="E89">
        <f>cleaned_data!N89</f>
        <v>4.1900000000000004</v>
      </c>
      <c r="F89">
        <f>cleaned_data!O89</f>
        <v>12.25</v>
      </c>
      <c r="G89">
        <f t="shared" si="4"/>
        <v>8.9358490566037731E-4</v>
      </c>
      <c r="H89" t="str">
        <f t="shared" si="5"/>
        <v>N/A</v>
      </c>
      <c r="I89" t="str">
        <f t="shared" si="6"/>
        <v>$0-$0.05</v>
      </c>
      <c r="J89">
        <f t="shared" si="7"/>
        <v>5.9666666666666659</v>
      </c>
    </row>
    <row r="90" spans="1:10">
      <c r="A90" t="str">
        <f>cleaned_data!A90</f>
        <v>Status</v>
      </c>
      <c r="B90" t="str">
        <f>cleaned_data!B90</f>
        <v>SNT</v>
      </c>
      <c r="C90">
        <f>cleaned_data!C90</f>
        <v>6.1570000000000001E-3</v>
      </c>
      <c r="D90">
        <f>cleaned_data!D90</f>
        <v>0.38</v>
      </c>
      <c r="E90">
        <f>cleaned_data!N90</f>
        <v>1.77</v>
      </c>
      <c r="F90">
        <f>cleaned_data!O90</f>
        <v>23.03</v>
      </c>
      <c r="G90">
        <f t="shared" si="4"/>
        <v>2.5622138992925512E-4</v>
      </c>
      <c r="H90" t="str">
        <f t="shared" si="5"/>
        <v>N/A</v>
      </c>
      <c r="I90" t="str">
        <f t="shared" si="6"/>
        <v>$0-$0.05</v>
      </c>
      <c r="J90">
        <f t="shared" si="7"/>
        <v>8.3933333333333326</v>
      </c>
    </row>
    <row r="91" spans="1:10">
      <c r="A91" t="str">
        <f>cleaned_data!A91</f>
        <v>DEAPcoin</v>
      </c>
      <c r="B91" t="str">
        <f>cleaned_data!B91</f>
        <v>DEP</v>
      </c>
      <c r="C91">
        <f>cleaned_data!C91</f>
        <v>9.8820000000000006E-4</v>
      </c>
      <c r="D91">
        <f>cleaned_data!D91</f>
        <v>0</v>
      </c>
      <c r="E91">
        <f>cleaned_data!N91</f>
        <v>0.96</v>
      </c>
      <c r="F91">
        <f>cleaned_data!O91</f>
        <v>0.22</v>
      </c>
      <c r="G91">
        <f t="shared" si="4"/>
        <v>8.1000000000000006E-4</v>
      </c>
      <c r="H91">
        <f t="shared" si="5"/>
        <v>2.470499999999998E-2</v>
      </c>
      <c r="I91" t="str">
        <f t="shared" si="6"/>
        <v>$0-$0.05</v>
      </c>
      <c r="J91">
        <f t="shared" si="7"/>
        <v>0.39333333333333331</v>
      </c>
    </row>
    <row r="92" spans="1:10">
      <c r="A92" t="str">
        <f>cleaned_data!A92</f>
        <v>B3 (Base)</v>
      </c>
      <c r="B92" t="str">
        <f>cleaned_data!B92</f>
        <v>B3</v>
      </c>
      <c r="C92">
        <f>cleaned_data!C92</f>
        <v>4.9919999999999999E-4</v>
      </c>
      <c r="D92">
        <f>cleaned_data!D92</f>
        <v>1.2</v>
      </c>
      <c r="E92">
        <f>cleaned_data!N92</f>
        <v>3.25</v>
      </c>
      <c r="F92">
        <f>cleaned_data!O92</f>
        <v>19.47</v>
      </c>
      <c r="G92">
        <f t="shared" si="4"/>
        <v>2.4386907669760625E-5</v>
      </c>
      <c r="H92" t="str">
        <f t="shared" si="5"/>
        <v>N/A</v>
      </c>
      <c r="I92" t="str">
        <f t="shared" si="6"/>
        <v>$0-$0.05</v>
      </c>
      <c r="J92">
        <f t="shared" si="7"/>
        <v>7.9733333333333327</v>
      </c>
    </row>
    <row r="93" spans="1:10">
      <c r="A93" t="str">
        <f>cleaned_data!A93</f>
        <v>GMT</v>
      </c>
      <c r="B93" t="str">
        <f>cleaned_data!B93</f>
        <v>GMT</v>
      </c>
      <c r="C93">
        <f>cleaned_data!C93</f>
        <v>7.4009999999999996E-3</v>
      </c>
      <c r="D93">
        <f>cleaned_data!D93</f>
        <v>1.07</v>
      </c>
      <c r="E93">
        <f>cleaned_data!N93</f>
        <v>1.69</v>
      </c>
      <c r="F93">
        <f>cleaned_data!O93</f>
        <v>24.98</v>
      </c>
      <c r="G93">
        <f t="shared" si="4"/>
        <v>2.8487297921478058E-4</v>
      </c>
      <c r="H93" t="str">
        <f t="shared" si="5"/>
        <v>N/A</v>
      </c>
      <c r="I93" t="str">
        <f t="shared" si="6"/>
        <v>$0-$0.05</v>
      </c>
      <c r="J93">
        <f t="shared" si="7"/>
        <v>9.2466666666666679</v>
      </c>
    </row>
    <row r="94" spans="1:10">
      <c r="A94" t="str">
        <f>cleaned_data!A94</f>
        <v>Catizen</v>
      </c>
      <c r="B94" t="str">
        <f>cleaned_data!B94</f>
        <v>CATI</v>
      </c>
      <c r="C94">
        <f>cleaned_data!C94</f>
        <v>5.092E-2</v>
      </c>
      <c r="D94">
        <f>cleaned_data!D94</f>
        <v>0.1</v>
      </c>
      <c r="E94">
        <f>cleaned_data!N94</f>
        <v>2.2000000000000002</v>
      </c>
      <c r="F94">
        <f>cleaned_data!O94</f>
        <v>5.97</v>
      </c>
      <c r="G94">
        <f t="shared" si="4"/>
        <v>7.3055954088952655E-3</v>
      </c>
      <c r="H94" t="str">
        <f t="shared" si="5"/>
        <v>N/A</v>
      </c>
      <c r="I94" t="str">
        <f t="shared" si="6"/>
        <v>$0.05-$0.5</v>
      </c>
      <c r="J94">
        <f t="shared" si="7"/>
        <v>2.7566666666666664</v>
      </c>
    </row>
    <row r="95" spans="1:10">
      <c r="A95" t="str">
        <f>cleaned_data!A95</f>
        <v>Block Street</v>
      </c>
      <c r="B95" t="str">
        <f>cleaned_data!B95</f>
        <v>BSB</v>
      </c>
      <c r="C95">
        <f>cleaned_data!C95</f>
        <v>9.6890000000000004E-2</v>
      </c>
      <c r="D95">
        <f>cleaned_data!D95</f>
        <v>0.93</v>
      </c>
      <c r="E95">
        <f>cleaned_data!N95</f>
        <v>2.5499999999999998</v>
      </c>
      <c r="F95">
        <f>cleaned_data!O95</f>
        <v>17.71</v>
      </c>
      <c r="G95">
        <f t="shared" si="4"/>
        <v>5.178514163548904E-3</v>
      </c>
      <c r="H95" t="str">
        <f t="shared" si="5"/>
        <v>N/A</v>
      </c>
      <c r="I95" t="str">
        <f t="shared" si="6"/>
        <v>$0.05-$0.5</v>
      </c>
      <c r="J95">
        <f t="shared" si="7"/>
        <v>7.0633333333333335</v>
      </c>
    </row>
    <row r="96" spans="1:10">
      <c r="A96" t="str">
        <f>cleaned_data!A96</f>
        <v>Isiklar Coin</v>
      </c>
      <c r="B96" t="str">
        <f>cleaned_data!B96</f>
        <v>ISIKC</v>
      </c>
      <c r="C96">
        <f>cleaned_data!C96</f>
        <v>0.22869999999999999</v>
      </c>
      <c r="D96">
        <f>cleaned_data!D96</f>
        <v>0.05</v>
      </c>
      <c r="E96">
        <f>cleaned_data!N96</f>
        <v>0.09</v>
      </c>
      <c r="F96">
        <f>cleaned_data!O96</f>
        <v>0.06</v>
      </c>
      <c r="G96">
        <f t="shared" si="4"/>
        <v>0.21575471698113205</v>
      </c>
      <c r="H96">
        <f t="shared" si="5"/>
        <v>0.25131868131868129</v>
      </c>
      <c r="I96" t="str">
        <f t="shared" si="6"/>
        <v>$0.05-$0.5</v>
      </c>
      <c r="J96">
        <f t="shared" si="7"/>
        <v>6.6666666666666666E-2</v>
      </c>
    </row>
    <row r="97" spans="1:10">
      <c r="A97" t="str">
        <f>cleaned_data!A97</f>
        <v>Usual</v>
      </c>
      <c r="B97" t="str">
        <f>cleaned_data!B97</f>
        <v>USUAL</v>
      </c>
      <c r="C97">
        <f>cleaned_data!C97</f>
        <v>1.196E-2</v>
      </c>
      <c r="D97">
        <f>cleaned_data!D97</f>
        <v>1.44</v>
      </c>
      <c r="E97">
        <f>cleaned_data!N97</f>
        <v>1.96</v>
      </c>
      <c r="F97">
        <f>cleaned_data!O97</f>
        <v>37.79</v>
      </c>
      <c r="G97">
        <f t="shared" si="4"/>
        <v>3.0832688837329207E-4</v>
      </c>
      <c r="H97" t="str">
        <f t="shared" si="5"/>
        <v>N/A</v>
      </c>
      <c r="I97" t="str">
        <f t="shared" si="6"/>
        <v>$0-$0.05</v>
      </c>
      <c r="J97">
        <f t="shared" si="7"/>
        <v>13.729999999999999</v>
      </c>
    </row>
    <row r="98" spans="1:10">
      <c r="A98" t="str">
        <f>cleaned_data!A98</f>
        <v>Pundi X (New)</v>
      </c>
      <c r="B98" t="str">
        <f>cleaned_data!B98</f>
        <v>PUNDIX</v>
      </c>
      <c r="C98">
        <f>cleaned_data!C98</f>
        <v>8.8480000000000003E-2</v>
      </c>
      <c r="D98">
        <f>cleaned_data!D98</f>
        <v>0.35</v>
      </c>
      <c r="E98">
        <f>cleaned_data!N98</f>
        <v>2.39</v>
      </c>
      <c r="F98">
        <f>cleaned_data!O98</f>
        <v>21.71</v>
      </c>
      <c r="G98">
        <f t="shared" si="4"/>
        <v>3.8960810215763982E-3</v>
      </c>
      <c r="H98" t="str">
        <f t="shared" si="5"/>
        <v>N/A</v>
      </c>
      <c r="I98" t="str">
        <f t="shared" si="6"/>
        <v>$0.05-$0.5</v>
      </c>
      <c r="J98">
        <f t="shared" si="7"/>
        <v>8.15</v>
      </c>
    </row>
    <row r="99" spans="1:10">
      <c r="A99" t="str">
        <f>cleaned_data!A99</f>
        <v>Stargate Finance</v>
      </c>
      <c r="B99" t="str">
        <f>cleaned_data!B99</f>
        <v>STG</v>
      </c>
      <c r="C99">
        <f>cleaned_data!C99</f>
        <v>0.1595</v>
      </c>
      <c r="D99">
        <f>cleaned_data!D99</f>
        <v>0.37</v>
      </c>
      <c r="E99">
        <f>cleaned_data!N99</f>
        <v>1.21</v>
      </c>
      <c r="F99">
        <f>cleaned_data!O99</f>
        <v>12.9</v>
      </c>
      <c r="G99">
        <f t="shared" si="4"/>
        <v>1.1474820143884892E-2</v>
      </c>
      <c r="H99" t="str">
        <f t="shared" si="5"/>
        <v>N/A</v>
      </c>
      <c r="I99" t="str">
        <f t="shared" si="6"/>
        <v>$0.05-$0.5</v>
      </c>
      <c r="J99">
        <f t="shared" si="7"/>
        <v>4.8266666666666671</v>
      </c>
    </row>
    <row r="100" spans="1:10">
      <c r="A100" t="str">
        <f>cleaned_data!A100</f>
        <v>Bounce Token</v>
      </c>
      <c r="B100" t="str">
        <f>cleaned_data!B100</f>
        <v>AUCTION</v>
      </c>
      <c r="C100">
        <f>cleaned_data!C100</f>
        <v>3.24</v>
      </c>
      <c r="D100">
        <f>cleaned_data!D100</f>
        <v>0.61</v>
      </c>
      <c r="E100">
        <f>cleaned_data!N100</f>
        <v>2.35</v>
      </c>
      <c r="F100">
        <f>cleaned_data!O100</f>
        <v>18.47</v>
      </c>
      <c r="G100">
        <f t="shared" si="4"/>
        <v>0.16640986132511559</v>
      </c>
      <c r="H100" t="str">
        <f t="shared" si="5"/>
        <v>N/A</v>
      </c>
      <c r="I100" t="str">
        <f t="shared" si="6"/>
        <v>$0.5-$5</v>
      </c>
      <c r="J100">
        <f t="shared" si="7"/>
        <v>7.1433333333333335</v>
      </c>
    </row>
    <row r="101" spans="1:10">
      <c r="A101" t="str">
        <f>cleaned_data!A101</f>
        <v>saffron.finance</v>
      </c>
      <c r="B101" t="str">
        <f>cleaned_data!B101</f>
        <v>SFI</v>
      </c>
      <c r="C101">
        <f>cleaned_data!C101</f>
        <v>223.04</v>
      </c>
      <c r="D101">
        <f>cleaned_data!D101</f>
        <v>0.13</v>
      </c>
      <c r="E101">
        <f>cleaned_data!N101</f>
        <v>17.260000000000002</v>
      </c>
      <c r="F101">
        <f>cleaned_data!O101</f>
        <v>8.2200000000000006</v>
      </c>
      <c r="G101">
        <f t="shared" si="4"/>
        <v>24.190889370932751</v>
      </c>
      <c r="H101" t="str">
        <f t="shared" si="5"/>
        <v>N/A</v>
      </c>
      <c r="I101" t="str">
        <f t="shared" si="6"/>
        <v>&gt;$50</v>
      </c>
      <c r="J101">
        <f t="shared" si="7"/>
        <v>8.5366666666666671</v>
      </c>
    </row>
    <row r="102" spans="1:10">
      <c r="A102" t="str">
        <f>cleaned_data!A102</f>
        <v>State Street SPDR S&amp;P 500 ETF Tokenized bStocks</v>
      </c>
      <c r="B102" t="str">
        <f>cleaned_data!B102</f>
        <v>SPYB</v>
      </c>
      <c r="C102">
        <f>cleaned_data!C102</f>
        <v>764.74</v>
      </c>
      <c r="D102">
        <f>cleaned_data!D102</f>
        <v>0.06</v>
      </c>
      <c r="E102">
        <f>cleaned_data!N102</f>
        <v>7.0000000000000007E-2</v>
      </c>
      <c r="F102">
        <f>cleaned_data!O102</f>
        <v>0.61</v>
      </c>
      <c r="G102">
        <f t="shared" si="4"/>
        <v>474.99378881987582</v>
      </c>
      <c r="H102">
        <f t="shared" si="5"/>
        <v>822.30107526881727</v>
      </c>
      <c r="I102" t="str">
        <f t="shared" si="6"/>
        <v>&gt;$50</v>
      </c>
      <c r="J102">
        <f t="shared" si="7"/>
        <v>0.24666666666666667</v>
      </c>
    </row>
    <row r="103" spans="1:10">
      <c r="A103" t="str">
        <f>cleaned_data!A103</f>
        <v>Metis</v>
      </c>
      <c r="B103" t="str">
        <f>cleaned_data!B103</f>
        <v>METIS</v>
      </c>
      <c r="C103">
        <f>cleaned_data!C103</f>
        <v>2.84</v>
      </c>
      <c r="D103">
        <f>cleaned_data!D103</f>
        <v>0.34</v>
      </c>
      <c r="E103">
        <f>cleaned_data!N103</f>
        <v>4.0199999999999996</v>
      </c>
      <c r="F103">
        <f>cleaned_data!O103</f>
        <v>23.48</v>
      </c>
      <c r="G103">
        <f t="shared" si="4"/>
        <v>0.11601307189542483</v>
      </c>
      <c r="H103" t="str">
        <f t="shared" si="5"/>
        <v>N/A</v>
      </c>
      <c r="I103" t="str">
        <f t="shared" si="6"/>
        <v>$0.5-$5</v>
      </c>
      <c r="J103">
        <f t="shared" si="7"/>
        <v>9.2799999999999994</v>
      </c>
    </row>
    <row r="104" spans="1:10">
      <c r="A104" t="str">
        <f>cleaned_data!A104</f>
        <v>WOO</v>
      </c>
      <c r="B104" t="str">
        <f>cleaned_data!B104</f>
        <v>WOO</v>
      </c>
      <c r="C104">
        <f>cleaned_data!C104</f>
        <v>1.174E-2</v>
      </c>
      <c r="D104">
        <f>cleaned_data!D104</f>
        <v>0.7</v>
      </c>
      <c r="E104">
        <f>cleaned_data!N104</f>
        <v>0.06</v>
      </c>
      <c r="F104">
        <f>cleaned_data!O104</f>
        <v>13.29</v>
      </c>
      <c r="G104">
        <f t="shared" si="4"/>
        <v>8.2155353393981818E-4</v>
      </c>
      <c r="H104">
        <f t="shared" si="5"/>
        <v>1.2489361702127661E-2</v>
      </c>
      <c r="I104" t="str">
        <f t="shared" si="6"/>
        <v>$0-$0.05</v>
      </c>
      <c r="J104">
        <f t="shared" si="7"/>
        <v>4.6833333333333327</v>
      </c>
    </row>
    <row r="105" spans="1:10">
      <c r="A105" t="str">
        <f>cleaned_data!A105</f>
        <v>AO</v>
      </c>
      <c r="B105" t="str">
        <f>cleaned_data!B105</f>
        <v>AO</v>
      </c>
      <c r="C105">
        <f>cleaned_data!C105</f>
        <v>2.99</v>
      </c>
      <c r="D105">
        <f>cleaned_data!D105</f>
        <v>0.39</v>
      </c>
      <c r="E105">
        <f>cleaned_data!N105</f>
        <v>18.940000000000001</v>
      </c>
      <c r="F105">
        <f>cleaned_data!O105</f>
        <v>57.24</v>
      </c>
      <c r="G105">
        <f t="shared" si="4"/>
        <v>5.1339285714285719E-2</v>
      </c>
      <c r="H105" t="str">
        <f t="shared" si="5"/>
        <v>N/A</v>
      </c>
      <c r="I105" t="str">
        <f t="shared" si="6"/>
        <v>$0.5-$5</v>
      </c>
      <c r="J105">
        <f t="shared" si="7"/>
        <v>25.523333333333337</v>
      </c>
    </row>
    <row r="106" spans="1:10">
      <c r="A106" t="str">
        <f>cleaned_data!A106</f>
        <v>Ergo</v>
      </c>
      <c r="B106" t="str">
        <f>cleaned_data!B106</f>
        <v>ERG</v>
      </c>
      <c r="C106">
        <f>cleaned_data!C106</f>
        <v>0.26469999999999999</v>
      </c>
      <c r="D106">
        <f>cleaned_data!D106</f>
        <v>0.77</v>
      </c>
      <c r="E106">
        <f>cleaned_data!N106</f>
        <v>1.6</v>
      </c>
      <c r="F106">
        <f>cleaned_data!O106</f>
        <v>30.89</v>
      </c>
      <c r="G106">
        <f t="shared" si="4"/>
        <v>8.3004076513013472E-3</v>
      </c>
      <c r="H106" t="str">
        <f t="shared" si="5"/>
        <v>N/A</v>
      </c>
      <c r="I106" t="str">
        <f t="shared" si="6"/>
        <v>$0.05-$0.5</v>
      </c>
      <c r="J106">
        <f t="shared" si="7"/>
        <v>11.086666666666666</v>
      </c>
    </row>
    <row r="107" spans="1:10">
      <c r="A107" t="str">
        <f>cleaned_data!A107</f>
        <v>MAX Exchange Token</v>
      </c>
      <c r="B107" t="str">
        <f>cleaned_data!B107</f>
        <v>MAX</v>
      </c>
      <c r="C107">
        <f>cleaned_data!C107</f>
        <v>0.26550000000000001</v>
      </c>
      <c r="D107">
        <f>cleaned_data!D107</f>
        <v>0.02</v>
      </c>
      <c r="E107">
        <f>cleaned_data!N107</f>
        <v>2.69</v>
      </c>
      <c r="F107">
        <f>cleaned_data!O107</f>
        <v>4.9000000000000004</v>
      </c>
      <c r="G107">
        <f t="shared" si="4"/>
        <v>4.4999999999999998E-2</v>
      </c>
      <c r="H107" t="str">
        <f t="shared" si="5"/>
        <v>N/A</v>
      </c>
      <c r="I107" t="str">
        <f t="shared" si="6"/>
        <v>$0.05-$0.5</v>
      </c>
      <c r="J107">
        <f t="shared" si="7"/>
        <v>2.5366666666666666</v>
      </c>
    </row>
    <row r="108" spans="1:10">
      <c r="A108" t="str">
        <f>cleaned_data!A108</f>
        <v>Young</v>
      </c>
      <c r="B108" t="str">
        <f>cleaned_data!B108</f>
        <v>YNG</v>
      </c>
      <c r="C108">
        <f>cleaned_data!C108</f>
        <v>0.64970000000000006</v>
      </c>
      <c r="D108">
        <f>cleaned_data!D108</f>
        <v>0</v>
      </c>
      <c r="E108">
        <f>cleaned_data!N108</f>
        <v>0.05</v>
      </c>
      <c r="F108">
        <f>cleaned_data!O108</f>
        <v>3.28</v>
      </c>
      <c r="G108">
        <f t="shared" si="4"/>
        <v>0.15179906542056079</v>
      </c>
      <c r="H108">
        <f t="shared" si="5"/>
        <v>0.68389473684210533</v>
      </c>
      <c r="I108" t="str">
        <f t="shared" si="6"/>
        <v>$0.5-$5</v>
      </c>
      <c r="J108">
        <f t="shared" si="7"/>
        <v>1.1099999999999999</v>
      </c>
    </row>
    <row r="109" spans="1:10">
      <c r="A109" t="str">
        <f>cleaned_data!A109</f>
        <v>STBL</v>
      </c>
      <c r="B109" t="str">
        <f>cleaned_data!B109</f>
        <v>STBL</v>
      </c>
      <c r="C109">
        <f>cleaned_data!C109</f>
        <v>2.503E-2</v>
      </c>
      <c r="D109">
        <f>cleaned_data!D109</f>
        <v>1.18</v>
      </c>
      <c r="E109">
        <f>cleaned_data!N109</f>
        <v>3.38</v>
      </c>
      <c r="F109">
        <f>cleaned_data!O109</f>
        <v>1.89</v>
      </c>
      <c r="G109">
        <f t="shared" si="4"/>
        <v>8.6608996539792402E-3</v>
      </c>
      <c r="H109" t="str">
        <f t="shared" si="5"/>
        <v>N/A</v>
      </c>
      <c r="I109" t="str">
        <f t="shared" si="6"/>
        <v>$0-$0.05</v>
      </c>
      <c r="J109">
        <f t="shared" si="7"/>
        <v>2.15</v>
      </c>
    </row>
    <row r="110" spans="1:10">
      <c r="A110" t="str">
        <f>cleaned_data!A110</f>
        <v>BitMart Token</v>
      </c>
      <c r="B110" t="str">
        <f>cleaned_data!B110</f>
        <v>BMX</v>
      </c>
      <c r="C110">
        <f>cleaned_data!C110</f>
        <v>5.4050000000000001E-2</v>
      </c>
      <c r="D110">
        <f>cleaned_data!D110</f>
        <v>0.19</v>
      </c>
      <c r="E110">
        <f>cleaned_data!N110</f>
        <v>4.78</v>
      </c>
      <c r="F110">
        <f>cleaned_data!O110</f>
        <v>11.81</v>
      </c>
      <c r="G110">
        <f t="shared" si="4"/>
        <v>4.2193598750975801E-3</v>
      </c>
      <c r="H110" t="str">
        <f t="shared" si="5"/>
        <v>N/A</v>
      </c>
      <c r="I110" t="str">
        <f t="shared" si="6"/>
        <v>$0.05-$0.5</v>
      </c>
      <c r="J110">
        <f t="shared" si="7"/>
        <v>5.5933333333333337</v>
      </c>
    </row>
    <row r="111" spans="1:10">
      <c r="A111" t="str">
        <f>cleaned_data!A111</f>
        <v>Goldgr</v>
      </c>
      <c r="B111" t="str">
        <f>cleaned_data!B111</f>
        <v>GOLDGR</v>
      </c>
      <c r="C111">
        <f>cleaned_data!C111</f>
        <v>148.4</v>
      </c>
      <c r="D111">
        <f>cleaned_data!D111</f>
        <v>0</v>
      </c>
      <c r="E111">
        <f>cleaned_data!N111</f>
        <v>0.22</v>
      </c>
      <c r="F111">
        <f>cleaned_data!O111</f>
        <v>5.6</v>
      </c>
      <c r="G111">
        <f t="shared" ref="G111:G174" si="8">C111/(1+F111)</f>
        <v>22.484848484848488</v>
      </c>
      <c r="H111">
        <f t="shared" ref="H111:H174" si="9">IF(OR(E111&gt;=1,E111&lt;0),"N/A",C111/(1-E111))</f>
        <v>190.25641025641025</v>
      </c>
      <c r="I111" t="str">
        <f t="shared" si="6"/>
        <v>&gt;$50</v>
      </c>
      <c r="J111">
        <f t="shared" si="7"/>
        <v>1.9399999999999997</v>
      </c>
    </row>
    <row r="112" spans="1:10">
      <c r="A112" t="str">
        <f>cleaned_data!A191</f>
        <v>Measurable Data Token</v>
      </c>
      <c r="B112" t="str">
        <f>cleaned_data!B191</f>
        <v>MDT</v>
      </c>
      <c r="C112">
        <f>cleaned_data!C191</f>
        <v>7.5779999999999997E-3</v>
      </c>
      <c r="D112">
        <f>cleaned_data!D191</f>
        <v>19.54</v>
      </c>
      <c r="E112">
        <f>cleaned_data!N191</f>
        <v>150.69</v>
      </c>
      <c r="F112">
        <f>cleaned_data!O191</f>
        <v>176</v>
      </c>
      <c r="G112">
        <f t="shared" si="8"/>
        <v>4.2813559322033897E-5</v>
      </c>
      <c r="H112" t="str">
        <f t="shared" si="9"/>
        <v>N/A</v>
      </c>
      <c r="I112" t="str">
        <f t="shared" si="6"/>
        <v>$0-$0.05</v>
      </c>
      <c r="J112">
        <f t="shared" si="7"/>
        <v>115.41000000000001</v>
      </c>
    </row>
    <row r="113" spans="1:10">
      <c r="A113" t="str">
        <f>cleaned_data!A113</f>
        <v>Enso</v>
      </c>
      <c r="B113" t="str">
        <f>cleaned_data!B113</f>
        <v>ENSO</v>
      </c>
      <c r="C113">
        <f>cleaned_data!C113</f>
        <v>0.84640000000000004</v>
      </c>
      <c r="D113">
        <f>cleaned_data!D113</f>
        <v>0.93</v>
      </c>
      <c r="E113">
        <f>cleaned_data!N113</f>
        <v>1.02</v>
      </c>
      <c r="F113">
        <f>cleaned_data!O113</f>
        <v>4.9000000000000004</v>
      </c>
      <c r="G113">
        <f t="shared" si="8"/>
        <v>0.14345762711864407</v>
      </c>
      <c r="H113" t="str">
        <f t="shared" si="9"/>
        <v>N/A</v>
      </c>
      <c r="I113" t="str">
        <f t="shared" si="6"/>
        <v>$0.5-$5</v>
      </c>
      <c r="J113">
        <f t="shared" si="7"/>
        <v>2.2833333333333337</v>
      </c>
    </row>
    <row r="114" spans="1:10">
      <c r="A114" t="str">
        <f>cleaned_data!A114</f>
        <v>Cobak Token</v>
      </c>
      <c r="B114" t="str">
        <f>cleaned_data!B114</f>
        <v>CBK</v>
      </c>
      <c r="C114">
        <f>cleaned_data!C114</f>
        <v>0.17349999999999999</v>
      </c>
      <c r="D114">
        <f>cleaned_data!D114</f>
        <v>0.05</v>
      </c>
      <c r="E114">
        <f>cleaned_data!N114</f>
        <v>0.24</v>
      </c>
      <c r="F114">
        <f>cleaned_data!O114</f>
        <v>11.96</v>
      </c>
      <c r="G114">
        <f t="shared" si="8"/>
        <v>1.3387345679012343E-2</v>
      </c>
      <c r="H114">
        <f t="shared" si="9"/>
        <v>0.22828947368421051</v>
      </c>
      <c r="I114" t="str">
        <f t="shared" si="6"/>
        <v>$0.05-$0.5</v>
      </c>
      <c r="J114">
        <f t="shared" si="7"/>
        <v>4.083333333333333</v>
      </c>
    </row>
    <row r="115" spans="1:10">
      <c r="A115" t="str">
        <f>cleaned_data!A115</f>
        <v>Codatta</v>
      </c>
      <c r="B115" t="str">
        <f>cleaned_data!B115</f>
        <v>XNY</v>
      </c>
      <c r="C115">
        <f>cleaned_data!C115</f>
        <v>6.9309999999999997E-3</v>
      </c>
      <c r="D115">
        <f>cleaned_data!D115</f>
        <v>0.97</v>
      </c>
      <c r="E115">
        <f>cleaned_data!N115</f>
        <v>3.1</v>
      </c>
      <c r="F115">
        <f>cleaned_data!O115</f>
        <v>3.5</v>
      </c>
      <c r="G115">
        <f t="shared" si="8"/>
        <v>1.5402222222222221E-3</v>
      </c>
      <c r="H115" t="str">
        <f t="shared" si="9"/>
        <v>N/A</v>
      </c>
      <c r="I115" t="str">
        <f t="shared" si="6"/>
        <v>$0-$0.05</v>
      </c>
      <c r="J115">
        <f t="shared" si="7"/>
        <v>2.5233333333333334</v>
      </c>
    </row>
    <row r="116" spans="1:10">
      <c r="A116" t="str">
        <f>cleaned_data!A116</f>
        <v>Tether Gold Tokens</v>
      </c>
      <c r="B116" t="str">
        <f>cleaned_data!B116</f>
        <v>XAUT0</v>
      </c>
      <c r="C116">
        <f>cleaned_data!C116</f>
        <v>4631.91</v>
      </c>
      <c r="D116">
        <f>cleaned_data!D116</f>
        <v>0.14000000000000001</v>
      </c>
      <c r="E116">
        <f>cleaned_data!N116</f>
        <v>0.05</v>
      </c>
      <c r="F116">
        <f>cleaned_data!O116</f>
        <v>5.91</v>
      </c>
      <c r="G116">
        <f t="shared" si="8"/>
        <v>670.31982633863959</v>
      </c>
      <c r="H116">
        <f t="shared" si="9"/>
        <v>4875.6947368421052</v>
      </c>
      <c r="I116" t="str">
        <f t="shared" si="6"/>
        <v>&gt;$50</v>
      </c>
      <c r="J116">
        <f t="shared" si="7"/>
        <v>2.0333333333333337</v>
      </c>
    </row>
    <row r="117" spans="1:10">
      <c r="A117" t="str">
        <f>cleaned_data!A117</f>
        <v>Spell Token</v>
      </c>
      <c r="B117" t="str">
        <f>cleaned_data!B117</f>
        <v>SPELL</v>
      </c>
      <c r="C117" t="str">
        <f>cleaned_data!C117</f>
        <v>8.813e-05</v>
      </c>
      <c r="D117">
        <f>cleaned_data!D117</f>
        <v>0.38</v>
      </c>
      <c r="E117">
        <f>cleaned_data!N117</f>
        <v>5.46</v>
      </c>
      <c r="F117">
        <f>cleaned_data!O117</f>
        <v>15.91</v>
      </c>
      <c r="G117">
        <f t="shared" si="8"/>
        <v>5.21170904790065E-6</v>
      </c>
      <c r="H117" t="str">
        <f t="shared" si="9"/>
        <v>N/A</v>
      </c>
      <c r="I117" t="str">
        <f t="shared" si="6"/>
        <v>&gt;$50</v>
      </c>
      <c r="J117">
        <f t="shared" si="7"/>
        <v>7.25</v>
      </c>
    </row>
    <row r="118" spans="1:10">
      <c r="A118" t="str">
        <f>cleaned_data!A118</f>
        <v>Namecoin</v>
      </c>
      <c r="B118" t="str">
        <f>cleaned_data!B118</f>
        <v>NMC</v>
      </c>
      <c r="C118">
        <f>cleaned_data!C118</f>
        <v>1.1599999999999999</v>
      </c>
      <c r="D118">
        <f>cleaned_data!D118</f>
        <v>0.21</v>
      </c>
      <c r="E118">
        <f>cleaned_data!N118</f>
        <v>3.82</v>
      </c>
      <c r="F118">
        <f>cleaned_data!O118</f>
        <v>23.7</v>
      </c>
      <c r="G118">
        <f t="shared" si="8"/>
        <v>4.6963562753036432E-2</v>
      </c>
      <c r="H118" t="str">
        <f t="shared" si="9"/>
        <v>N/A</v>
      </c>
      <c r="I118" t="str">
        <f t="shared" si="6"/>
        <v>$0.5-$5</v>
      </c>
      <c r="J118">
        <f t="shared" si="7"/>
        <v>9.2433333333333341</v>
      </c>
    </row>
    <row r="119" spans="1:10">
      <c r="A119" t="str">
        <f>cleaned_data!A119</f>
        <v>Pocket Network</v>
      </c>
      <c r="B119" t="str">
        <f>cleaned_data!B119</f>
        <v>POKT</v>
      </c>
      <c r="C119">
        <f>cleaned_data!C119</f>
        <v>7.3509999999999999E-3</v>
      </c>
      <c r="D119">
        <f>cleaned_data!D119</f>
        <v>0.17</v>
      </c>
      <c r="E119">
        <f>cleaned_data!N119</f>
        <v>2.0699999999999998</v>
      </c>
      <c r="F119">
        <f>cleaned_data!O119</f>
        <v>6.91</v>
      </c>
      <c r="G119">
        <f t="shared" si="8"/>
        <v>9.2932996207332487E-4</v>
      </c>
      <c r="H119" t="str">
        <f t="shared" si="9"/>
        <v>N/A</v>
      </c>
      <c r="I119" t="str">
        <f t="shared" si="6"/>
        <v>$0-$0.05</v>
      </c>
      <c r="J119">
        <f t="shared" si="7"/>
        <v>3.0500000000000003</v>
      </c>
    </row>
    <row r="120" spans="1:10">
      <c r="A120" t="str">
        <f>cleaned_data!A120</f>
        <v>NaoX Protocol</v>
      </c>
      <c r="B120" t="str">
        <f>cleaned_data!B120</f>
        <v>NAORIS</v>
      </c>
      <c r="C120">
        <f>cleaned_data!C120</f>
        <v>2.8680000000000001E-2</v>
      </c>
      <c r="D120">
        <f>cleaned_data!D120</f>
        <v>0.13</v>
      </c>
      <c r="E120">
        <f>cleaned_data!N120</f>
        <v>5.22</v>
      </c>
      <c r="F120">
        <f>cleaned_data!O120</f>
        <v>5.98</v>
      </c>
      <c r="G120">
        <f t="shared" si="8"/>
        <v>4.1088825214899713E-3</v>
      </c>
      <c r="H120" t="str">
        <f t="shared" si="9"/>
        <v>N/A</v>
      </c>
      <c r="I120" t="str">
        <f t="shared" si="6"/>
        <v>$0-$0.05</v>
      </c>
      <c r="J120">
        <f t="shared" si="7"/>
        <v>3.7766666666666668</v>
      </c>
    </row>
    <row r="121" spans="1:10">
      <c r="A121" t="str">
        <f>cleaned_data!A121</f>
        <v>Eesee</v>
      </c>
      <c r="B121" t="str">
        <f>cleaned_data!B121</f>
        <v>ESE</v>
      </c>
      <c r="C121">
        <f>cleaned_data!C121</f>
        <v>1.243E-2</v>
      </c>
      <c r="D121">
        <f>cleaned_data!D121</f>
        <v>0.46</v>
      </c>
      <c r="E121">
        <f>cleaned_data!N121</f>
        <v>1.42</v>
      </c>
      <c r="F121">
        <f>cleaned_data!O121</f>
        <v>4.1399999999999997</v>
      </c>
      <c r="G121">
        <f t="shared" si="8"/>
        <v>2.4182879377431907E-3</v>
      </c>
      <c r="H121" t="str">
        <f t="shared" si="9"/>
        <v>N/A</v>
      </c>
      <c r="I121" t="str">
        <f t="shared" si="6"/>
        <v>$0-$0.05</v>
      </c>
      <c r="J121">
        <f t="shared" si="7"/>
        <v>2.0066666666666664</v>
      </c>
    </row>
    <row r="122" spans="1:10">
      <c r="A122" t="str">
        <f>cleaned_data!A122</f>
        <v>Corn</v>
      </c>
      <c r="B122" t="str">
        <f>cleaned_data!B122</f>
        <v>CORN</v>
      </c>
      <c r="C122">
        <f>cleaned_data!C122</f>
        <v>2.5420000000000002E-2</v>
      </c>
      <c r="D122">
        <f>cleaned_data!D122</f>
        <v>0.15</v>
      </c>
      <c r="E122">
        <f>cleaned_data!N122</f>
        <v>0.09</v>
      </c>
      <c r="F122">
        <f>cleaned_data!O122</f>
        <v>0.12</v>
      </c>
      <c r="G122">
        <f t="shared" si="8"/>
        <v>2.2696428571428572E-2</v>
      </c>
      <c r="H122">
        <f t="shared" si="9"/>
        <v>2.7934065934065933E-2</v>
      </c>
      <c r="I122" t="str">
        <f t="shared" si="6"/>
        <v>$0-$0.05</v>
      </c>
      <c r="J122">
        <f t="shared" si="7"/>
        <v>0.12</v>
      </c>
    </row>
    <row r="123" spans="1:10">
      <c r="A123" t="str">
        <f>cleaned_data!A123</f>
        <v>Mey Network</v>
      </c>
      <c r="B123" t="str">
        <f>cleaned_data!B123</f>
        <v>MEY</v>
      </c>
      <c r="C123">
        <f>cleaned_data!C123</f>
        <v>4.6640000000000001E-2</v>
      </c>
      <c r="D123">
        <f>cleaned_data!D123</f>
        <v>0.05</v>
      </c>
      <c r="E123">
        <f>cleaned_data!N123</f>
        <v>0.76</v>
      </c>
      <c r="F123">
        <f>cleaned_data!O123</f>
        <v>3.98</v>
      </c>
      <c r="G123">
        <f t="shared" si="8"/>
        <v>9.3654618473895581E-3</v>
      </c>
      <c r="H123">
        <f t="shared" si="9"/>
        <v>0.19433333333333336</v>
      </c>
      <c r="I123" t="str">
        <f t="shared" si="6"/>
        <v>$0-$0.05</v>
      </c>
      <c r="J123">
        <f t="shared" si="7"/>
        <v>1.5966666666666667</v>
      </c>
    </row>
    <row r="124" spans="1:10">
      <c r="A124" t="str">
        <f>cleaned_data!A124</f>
        <v>Pepecoin</v>
      </c>
      <c r="B124" t="str">
        <f>cleaned_data!B124</f>
        <v>PEP</v>
      </c>
      <c r="C124">
        <f>cleaned_data!C124</f>
        <v>1.2879999999999999E-4</v>
      </c>
      <c r="D124">
        <f>cleaned_data!D124</f>
        <v>0.05</v>
      </c>
      <c r="E124">
        <f>cleaned_data!N124</f>
        <v>2.04</v>
      </c>
      <c r="F124">
        <f>cleaned_data!O124</f>
        <v>49.23</v>
      </c>
      <c r="G124">
        <f t="shared" si="8"/>
        <v>2.5642046585705751E-6</v>
      </c>
      <c r="H124" t="str">
        <f t="shared" si="9"/>
        <v>N/A</v>
      </c>
      <c r="I124" t="str">
        <f t="shared" si="6"/>
        <v>$0-$0.05</v>
      </c>
      <c r="J124">
        <f t="shared" si="7"/>
        <v>17.106666666666666</v>
      </c>
    </row>
    <row r="125" spans="1:10">
      <c r="A125" t="str">
        <f>cleaned_data!A125</f>
        <v>AEON</v>
      </c>
      <c r="B125" t="str">
        <f>cleaned_data!B125</f>
        <v>AEON</v>
      </c>
      <c r="C125">
        <f>cleaned_data!C125</f>
        <v>5.6610000000000001E-2</v>
      </c>
      <c r="D125">
        <f>cleaned_data!D125</f>
        <v>0.31</v>
      </c>
      <c r="E125">
        <f>cleaned_data!N125</f>
        <v>6.19</v>
      </c>
      <c r="F125">
        <f>cleaned_data!O125</f>
        <v>37.61</v>
      </c>
      <c r="G125">
        <f t="shared" si="8"/>
        <v>1.4662004662004662E-3</v>
      </c>
      <c r="H125" t="str">
        <f t="shared" si="9"/>
        <v>N/A</v>
      </c>
      <c r="I125" t="str">
        <f t="shared" si="6"/>
        <v>$0.05-$0.5</v>
      </c>
      <c r="J125">
        <f t="shared" si="7"/>
        <v>14.703333333333333</v>
      </c>
    </row>
    <row r="126" spans="1:10">
      <c r="A126" t="str">
        <f>cleaned_data!A126</f>
        <v>Intel Tokenized Stock (Reality)</v>
      </c>
      <c r="B126" t="str">
        <f>cleaned_data!B126</f>
        <v>rINTC</v>
      </c>
      <c r="C126">
        <f>cleaned_data!C126</f>
        <v>89.53</v>
      </c>
      <c r="D126">
        <f>cleaned_data!D126</f>
        <v>0.75</v>
      </c>
      <c r="E126">
        <f>cleaned_data!N126</f>
        <v>1.64</v>
      </c>
      <c r="F126">
        <f>cleaned_data!O126</f>
        <v>11.7</v>
      </c>
      <c r="G126">
        <f t="shared" si="8"/>
        <v>7.0496062992125985</v>
      </c>
      <c r="H126" t="str">
        <f t="shared" si="9"/>
        <v>N/A</v>
      </c>
      <c r="I126" t="str">
        <f t="shared" si="6"/>
        <v>&gt;$50</v>
      </c>
      <c r="J126">
        <f t="shared" si="7"/>
        <v>4.6966666666666663</v>
      </c>
    </row>
    <row r="127" spans="1:10">
      <c r="A127" t="str">
        <f>cleaned_data!A127</f>
        <v>Infinex</v>
      </c>
      <c r="B127" t="str">
        <f>cleaned_data!B127</f>
        <v>INX</v>
      </c>
      <c r="C127">
        <f>cleaned_data!C127</f>
        <v>6.62E-3</v>
      </c>
      <c r="D127">
        <f>cleaned_data!D127</f>
        <v>0.24</v>
      </c>
      <c r="E127">
        <f>cleaned_data!N127</f>
        <v>2.3199999999999998</v>
      </c>
      <c r="F127">
        <f>cleaned_data!O127</f>
        <v>18.97</v>
      </c>
      <c r="G127">
        <f t="shared" si="8"/>
        <v>3.3149724586880322E-4</v>
      </c>
      <c r="H127" t="str">
        <f t="shared" si="9"/>
        <v>N/A</v>
      </c>
      <c r="I127" t="str">
        <f t="shared" si="6"/>
        <v>$0-$0.05</v>
      </c>
      <c r="J127">
        <f t="shared" si="7"/>
        <v>7.1766666666666659</v>
      </c>
    </row>
    <row r="128" spans="1:10">
      <c r="A128" t="str">
        <f>cleaned_data!A128</f>
        <v>Yooldo</v>
      </c>
      <c r="B128" t="str">
        <f>cleaned_data!B128</f>
        <v>ESPORTS</v>
      </c>
      <c r="C128">
        <f>cleaned_data!C128</f>
        <v>1.452E-2</v>
      </c>
      <c r="D128">
        <f>cleaned_data!D128</f>
        <v>0.15</v>
      </c>
      <c r="E128">
        <f>cleaned_data!N128</f>
        <v>1.02</v>
      </c>
      <c r="F128">
        <f>cleaned_data!O128</f>
        <v>1.79</v>
      </c>
      <c r="G128">
        <f t="shared" si="8"/>
        <v>5.2043010752688169E-3</v>
      </c>
      <c r="H128" t="str">
        <f t="shared" si="9"/>
        <v>N/A</v>
      </c>
      <c r="I128" t="str">
        <f t="shared" si="6"/>
        <v>$0-$0.05</v>
      </c>
      <c r="J128">
        <f t="shared" si="7"/>
        <v>0.98666666666666669</v>
      </c>
    </row>
    <row r="129" spans="1:10">
      <c r="A129" t="str">
        <f>cleaned_data!A129</f>
        <v>SoFi Technologies Tokenized Stock (Ondo)</v>
      </c>
      <c r="B129" t="str">
        <f>cleaned_data!B129</f>
        <v>SOFIon</v>
      </c>
      <c r="C129">
        <f>cleaned_data!C129</f>
        <v>18.420000000000002</v>
      </c>
      <c r="D129">
        <f>cleaned_data!D129</f>
        <v>0.28999999999999998</v>
      </c>
      <c r="E129">
        <f>cleaned_data!N129</f>
        <v>2.2000000000000002</v>
      </c>
      <c r="F129">
        <f>cleaned_data!O129</f>
        <v>1.46</v>
      </c>
      <c r="G129">
        <f t="shared" si="8"/>
        <v>7.4878048780487809</v>
      </c>
      <c r="H129" t="str">
        <f t="shared" si="9"/>
        <v>N/A</v>
      </c>
      <c r="I129" t="str">
        <f t="shared" si="6"/>
        <v>$5-$50</v>
      </c>
      <c r="J129">
        <f t="shared" si="7"/>
        <v>1.3166666666666667</v>
      </c>
    </row>
    <row r="130" spans="1:10">
      <c r="A130" t="str">
        <f>cleaned_data!A130</f>
        <v>Boundless</v>
      </c>
      <c r="B130" t="str">
        <f>cleaned_data!B130</f>
        <v>ZKC</v>
      </c>
      <c r="C130">
        <f>cleaned_data!C130</f>
        <v>4.1480000000000003E-2</v>
      </c>
      <c r="D130">
        <f>cleaned_data!D130</f>
        <v>0.61</v>
      </c>
      <c r="E130">
        <f>cleaned_data!N130</f>
        <v>1.34</v>
      </c>
      <c r="F130">
        <f>cleaned_data!O130</f>
        <v>13.29</v>
      </c>
      <c r="G130">
        <f t="shared" si="8"/>
        <v>2.9027291812456267E-3</v>
      </c>
      <c r="H130" t="str">
        <f t="shared" si="9"/>
        <v>N/A</v>
      </c>
      <c r="I130" t="str">
        <f t="shared" si="6"/>
        <v>$0-$0.05</v>
      </c>
      <c r="J130">
        <f t="shared" si="7"/>
        <v>5.0799999999999992</v>
      </c>
    </row>
    <row r="131" spans="1:10">
      <c r="A131" t="str">
        <f>cleaned_data!A131</f>
        <v>Fluent</v>
      </c>
      <c r="B131" t="str">
        <f>cleaned_data!B131</f>
        <v>BLEND</v>
      </c>
      <c r="C131">
        <f>cleaned_data!C131</f>
        <v>6.5549999999999997E-2</v>
      </c>
      <c r="D131">
        <f>cleaned_data!D131</f>
        <v>0.31</v>
      </c>
      <c r="E131">
        <f>cleaned_data!N131</f>
        <v>2.54</v>
      </c>
      <c r="F131">
        <f>cleaned_data!O131</f>
        <v>11.13</v>
      </c>
      <c r="G131">
        <f t="shared" si="8"/>
        <v>5.4039571310799664E-3</v>
      </c>
      <c r="H131" t="str">
        <f t="shared" si="9"/>
        <v>N/A</v>
      </c>
      <c r="I131" t="str">
        <f t="shared" ref="I131:I194" si="10">IF(C131&lt;=0.05,"$0-$0.05",
IF(C131&lt;=0.5,"$0.05-$0.5",
IF(C131&lt;=5,"$0.5-$5",
IF(C131&lt;=50,"$5-$50","&gt;$50"))))</f>
        <v>$0.05-$0.5</v>
      </c>
      <c r="J131">
        <f t="shared" ref="J131:J194" si="11">AVERAGE(ABS(D131),ABS(E131),ABS(F131))</f>
        <v>4.66</v>
      </c>
    </row>
    <row r="132" spans="1:10">
      <c r="A132" t="str">
        <f>cleaned_data!A132</f>
        <v>Solv Protocol</v>
      </c>
      <c r="B132" t="str">
        <f>cleaned_data!B132</f>
        <v>SOLV</v>
      </c>
      <c r="C132">
        <f>cleaned_data!C132</f>
        <v>2.7989999999999998E-3</v>
      </c>
      <c r="D132">
        <f>cleaned_data!D132</f>
        <v>7.0000000000000007E-2</v>
      </c>
      <c r="E132">
        <f>cleaned_data!N132</f>
        <v>10.61</v>
      </c>
      <c r="F132">
        <f>cleaned_data!O132</f>
        <v>22.96</v>
      </c>
      <c r="G132">
        <f t="shared" si="8"/>
        <v>1.1681969949916526E-4</v>
      </c>
      <c r="H132" t="str">
        <f t="shared" si="9"/>
        <v>N/A</v>
      </c>
      <c r="I132" t="str">
        <f t="shared" si="10"/>
        <v>$0-$0.05</v>
      </c>
      <c r="J132">
        <f t="shared" si="11"/>
        <v>11.213333333333333</v>
      </c>
    </row>
    <row r="133" spans="1:10">
      <c r="A133" t="str">
        <f>cleaned_data!A133</f>
        <v>GYEN</v>
      </c>
      <c r="B133" t="str">
        <f>cleaned_data!B133</f>
        <v>GYEN</v>
      </c>
      <c r="C133">
        <f>cleaned_data!C133</f>
        <v>6.2030000000000002E-3</v>
      </c>
      <c r="D133">
        <f>cleaned_data!D133</f>
        <v>0.18</v>
      </c>
      <c r="E133">
        <f>cleaned_data!N133</f>
        <v>1.1200000000000001</v>
      </c>
      <c r="F133">
        <f>cleaned_data!O133</f>
        <v>1.46</v>
      </c>
      <c r="G133">
        <f t="shared" si="8"/>
        <v>2.5215447154471548E-3</v>
      </c>
      <c r="H133" t="str">
        <f t="shared" si="9"/>
        <v>N/A</v>
      </c>
      <c r="I133" t="str">
        <f t="shared" si="10"/>
        <v>$0-$0.05</v>
      </c>
      <c r="J133">
        <f t="shared" si="11"/>
        <v>0.91999999999999993</v>
      </c>
    </row>
    <row r="134" spans="1:10">
      <c r="A134" t="str">
        <f>cleaned_data!A134</f>
        <v>ROGin AI</v>
      </c>
      <c r="B134" t="str">
        <f>cleaned_data!B134</f>
        <v>ROG</v>
      </c>
      <c r="C134">
        <f>cleaned_data!C134</f>
        <v>0.1943</v>
      </c>
      <c r="D134">
        <f>cleaned_data!D134</f>
        <v>0.02</v>
      </c>
      <c r="E134">
        <f>cleaned_data!N134</f>
        <v>0.44</v>
      </c>
      <c r="F134">
        <f>cleaned_data!O134</f>
        <v>5.86</v>
      </c>
      <c r="G134">
        <f t="shared" si="8"/>
        <v>2.8323615160349851E-2</v>
      </c>
      <c r="H134">
        <f t="shared" si="9"/>
        <v>0.34696428571428567</v>
      </c>
      <c r="I134" t="str">
        <f t="shared" si="10"/>
        <v>$0.05-$0.5</v>
      </c>
      <c r="J134">
        <f t="shared" si="11"/>
        <v>2.1066666666666669</v>
      </c>
    </row>
    <row r="135" spans="1:10">
      <c r="A135" t="str">
        <f>cleaned_data!A135</f>
        <v>Firo</v>
      </c>
      <c r="B135" t="str">
        <f>cleaned_data!B135</f>
        <v>FIRO</v>
      </c>
      <c r="C135">
        <f>cleaned_data!C135</f>
        <v>0.68469999999999998</v>
      </c>
      <c r="D135">
        <f>cleaned_data!D135</f>
        <v>0.06</v>
      </c>
      <c r="E135">
        <f>cleaned_data!N135</f>
        <v>2.42</v>
      </c>
      <c r="F135">
        <f>cleaned_data!O135</f>
        <v>10.63</v>
      </c>
      <c r="G135">
        <f t="shared" si="8"/>
        <v>5.8873602751504724E-2</v>
      </c>
      <c r="H135" t="str">
        <f t="shared" si="9"/>
        <v>N/A</v>
      </c>
      <c r="I135" t="str">
        <f t="shared" si="10"/>
        <v>$0.5-$5</v>
      </c>
      <c r="J135">
        <f t="shared" si="11"/>
        <v>4.37</v>
      </c>
    </row>
    <row r="136" spans="1:10">
      <c r="A136" t="str">
        <f>cleaned_data!A136</f>
        <v>MovieBloc</v>
      </c>
      <c r="B136" t="str">
        <f>cleaned_data!B136</f>
        <v>MBL</v>
      </c>
      <c r="C136">
        <f>cleaned_data!C136</f>
        <v>6.5919999999999998E-4</v>
      </c>
      <c r="D136">
        <f>cleaned_data!D136</f>
        <v>0.9</v>
      </c>
      <c r="E136">
        <f>cleaned_data!N136</f>
        <v>0.79</v>
      </c>
      <c r="F136">
        <f>cleaned_data!O136</f>
        <v>16.87</v>
      </c>
      <c r="G136">
        <f t="shared" si="8"/>
        <v>3.6888640179071067E-5</v>
      </c>
      <c r="H136">
        <f t="shared" si="9"/>
        <v>3.1390476190476194E-3</v>
      </c>
      <c r="I136" t="str">
        <f t="shared" si="10"/>
        <v>$0-$0.05</v>
      </c>
      <c r="J136">
        <f t="shared" si="11"/>
        <v>6.1866666666666674</v>
      </c>
    </row>
    <row r="137" spans="1:10">
      <c r="A137" t="str">
        <f>cleaned_data!A137</f>
        <v>DIAM</v>
      </c>
      <c r="B137" t="str">
        <f>cleaned_data!B137</f>
        <v>DIAM</v>
      </c>
      <c r="C137">
        <f>cleaned_data!C137</f>
        <v>5.0619999999999997E-3</v>
      </c>
      <c r="D137">
        <f>cleaned_data!D137</f>
        <v>0.01</v>
      </c>
      <c r="E137">
        <f>cleaned_data!N137</f>
        <v>0.31</v>
      </c>
      <c r="F137">
        <f>cleaned_data!O137</f>
        <v>1.53</v>
      </c>
      <c r="G137">
        <f t="shared" si="8"/>
        <v>2.000790513833992E-3</v>
      </c>
      <c r="H137">
        <f t="shared" si="9"/>
        <v>7.3362318840579713E-3</v>
      </c>
      <c r="I137" t="str">
        <f t="shared" si="10"/>
        <v>$0-$0.05</v>
      </c>
      <c r="J137">
        <f t="shared" si="11"/>
        <v>0.6166666666666667</v>
      </c>
    </row>
    <row r="138" spans="1:10">
      <c r="A138" t="str">
        <f>cleaned_data!A138</f>
        <v>RAMP</v>
      </c>
      <c r="B138" t="str">
        <f>cleaned_data!B138</f>
        <v>RAMP</v>
      </c>
      <c r="C138">
        <f>cleaned_data!C138</f>
        <v>2.214E-2</v>
      </c>
      <c r="D138">
        <f>cleaned_data!D138</f>
        <v>0</v>
      </c>
      <c r="E138">
        <f>cleaned_data!N138</f>
        <v>3.37</v>
      </c>
      <c r="F138">
        <f>cleaned_data!O138</f>
        <v>26.96</v>
      </c>
      <c r="G138">
        <f t="shared" si="8"/>
        <v>7.9184549356223178E-4</v>
      </c>
      <c r="H138" t="str">
        <f t="shared" si="9"/>
        <v>N/A</v>
      </c>
      <c r="I138" t="str">
        <f t="shared" si="10"/>
        <v>$0-$0.05</v>
      </c>
      <c r="J138">
        <f t="shared" si="11"/>
        <v>10.110000000000001</v>
      </c>
    </row>
    <row r="139" spans="1:10">
      <c r="A139" t="str">
        <f>cleaned_data!A139</f>
        <v>Dolomite</v>
      </c>
      <c r="B139" t="str">
        <f>cleaned_data!B139</f>
        <v>DOLO</v>
      </c>
      <c r="C139">
        <f>cleaned_data!C139</f>
        <v>2.3949999999999999E-2</v>
      </c>
      <c r="D139">
        <f>cleaned_data!D139</f>
        <v>0.45</v>
      </c>
      <c r="E139">
        <f>cleaned_data!N139</f>
        <v>0.61</v>
      </c>
      <c r="F139">
        <f>cleaned_data!O139</f>
        <v>3.45</v>
      </c>
      <c r="G139">
        <f t="shared" si="8"/>
        <v>5.3820224719101119E-3</v>
      </c>
      <c r="H139">
        <f t="shared" si="9"/>
        <v>6.1410256410256409E-2</v>
      </c>
      <c r="I139" t="str">
        <f t="shared" si="10"/>
        <v>$0-$0.05</v>
      </c>
      <c r="J139">
        <f t="shared" si="11"/>
        <v>1.5033333333333332</v>
      </c>
    </row>
    <row r="140" spans="1:10">
      <c r="A140" t="str">
        <f>cleaned_data!A140</f>
        <v>Limitless</v>
      </c>
      <c r="B140" t="str">
        <f>cleaned_data!B140</f>
        <v>LMTS</v>
      </c>
      <c r="C140">
        <f>cleaned_data!C140</f>
        <v>8.0329999999999999E-2</v>
      </c>
      <c r="D140">
        <f>cleaned_data!D140</f>
        <v>1.05</v>
      </c>
      <c r="E140">
        <f>cleaned_data!N140</f>
        <v>9.24</v>
      </c>
      <c r="F140">
        <f>cleaned_data!O140</f>
        <v>30.81</v>
      </c>
      <c r="G140">
        <f t="shared" si="8"/>
        <v>2.5253065073876139E-3</v>
      </c>
      <c r="H140" t="str">
        <f t="shared" si="9"/>
        <v>N/A</v>
      </c>
      <c r="I140" t="str">
        <f t="shared" si="10"/>
        <v>$0.05-$0.5</v>
      </c>
      <c r="J140">
        <f t="shared" si="11"/>
        <v>13.700000000000001</v>
      </c>
    </row>
    <row r="141" spans="1:10">
      <c r="A141" t="str">
        <f>cleaned_data!A226</f>
        <v>Billy (Bitcoin)</v>
      </c>
      <c r="B141" t="str">
        <f>cleaned_data!B226</f>
        <v>BILLY</v>
      </c>
      <c r="C141">
        <f>cleaned_data!C226</f>
        <v>3.0019999999999999E-3</v>
      </c>
      <c r="D141">
        <f>cleaned_data!D226</f>
        <v>9.58</v>
      </c>
      <c r="E141">
        <f>cleaned_data!N226</f>
        <v>111.97</v>
      </c>
      <c r="F141">
        <f>cleaned_data!O226</f>
        <v>179.93</v>
      </c>
      <c r="G141">
        <f t="shared" si="8"/>
        <v>1.659205217487426E-5</v>
      </c>
      <c r="H141" t="str">
        <f t="shared" si="9"/>
        <v>N/A</v>
      </c>
      <c r="I141" t="str">
        <f t="shared" si="10"/>
        <v>$0-$0.05</v>
      </c>
      <c r="J141">
        <f t="shared" si="11"/>
        <v>100.49333333333334</v>
      </c>
    </row>
    <row r="142" spans="1:10">
      <c r="A142" t="str">
        <f>cleaned_data!A142</f>
        <v>Creta World</v>
      </c>
      <c r="B142" t="str">
        <f>cleaned_data!B142</f>
        <v>CRETA</v>
      </c>
      <c r="C142">
        <f>cleaned_data!C142</f>
        <v>3.503E-3</v>
      </c>
      <c r="D142">
        <f>cleaned_data!D142</f>
        <v>1.26</v>
      </c>
      <c r="E142">
        <f>cleaned_data!N142</f>
        <v>5.84</v>
      </c>
      <c r="F142">
        <f>cleaned_data!O142</f>
        <v>145.86000000000001</v>
      </c>
      <c r="G142">
        <f t="shared" si="8"/>
        <v>2.3852648781152114E-5</v>
      </c>
      <c r="H142" t="str">
        <f t="shared" si="9"/>
        <v>N/A</v>
      </c>
      <c r="I142" t="str">
        <f t="shared" si="10"/>
        <v>$0-$0.05</v>
      </c>
      <c r="J142">
        <f t="shared" si="11"/>
        <v>50.986666666666672</v>
      </c>
    </row>
    <row r="143" spans="1:10">
      <c r="A143" t="str">
        <f>cleaned_data!A143</f>
        <v>Heima</v>
      </c>
      <c r="B143" t="str">
        <f>cleaned_data!B143</f>
        <v>HEI</v>
      </c>
      <c r="C143">
        <f>cleaned_data!C143</f>
        <v>0.12770000000000001</v>
      </c>
      <c r="D143">
        <f>cleaned_data!D143</f>
        <v>0.64</v>
      </c>
      <c r="E143">
        <f>cleaned_data!N143</f>
        <v>2.33</v>
      </c>
      <c r="F143">
        <f>cleaned_data!O143</f>
        <v>0.12</v>
      </c>
      <c r="G143">
        <f t="shared" si="8"/>
        <v>0.11401785714285714</v>
      </c>
      <c r="H143" t="str">
        <f t="shared" si="9"/>
        <v>N/A</v>
      </c>
      <c r="I143" t="str">
        <f t="shared" si="10"/>
        <v>$0.05-$0.5</v>
      </c>
      <c r="J143">
        <f t="shared" si="11"/>
        <v>1.03</v>
      </c>
    </row>
    <row r="144" spans="1:10">
      <c r="A144" t="str">
        <f>cleaned_data!A144</f>
        <v>SuperRare</v>
      </c>
      <c r="B144" t="str">
        <f>cleaned_data!B144</f>
        <v>RARE</v>
      </c>
      <c r="C144">
        <f>cleaned_data!C144</f>
        <v>1.255E-2</v>
      </c>
      <c r="D144">
        <f>cleaned_data!D144</f>
        <v>0.71</v>
      </c>
      <c r="E144">
        <f>cleaned_data!N144</f>
        <v>3.14</v>
      </c>
      <c r="F144">
        <f>cleaned_data!O144</f>
        <v>3.26</v>
      </c>
      <c r="G144">
        <f t="shared" si="8"/>
        <v>2.9460093896713619E-3</v>
      </c>
      <c r="H144" t="str">
        <f t="shared" si="9"/>
        <v>N/A</v>
      </c>
      <c r="I144" t="str">
        <f t="shared" si="10"/>
        <v>$0-$0.05</v>
      </c>
      <c r="J144">
        <f t="shared" si="11"/>
        <v>2.3699999999999997</v>
      </c>
    </row>
    <row r="145" spans="1:10">
      <c r="A145" t="str">
        <f>cleaned_data!A145</f>
        <v>AriaAI</v>
      </c>
      <c r="B145" t="str">
        <f>cleaned_data!B145</f>
        <v>ARIA</v>
      </c>
      <c r="C145">
        <f>cleaned_data!C145</f>
        <v>2.869E-2</v>
      </c>
      <c r="D145">
        <f>cleaned_data!D145</f>
        <v>0.37</v>
      </c>
      <c r="E145">
        <f>cleaned_data!N145</f>
        <v>0.08</v>
      </c>
      <c r="F145">
        <f>cleaned_data!O145</f>
        <v>9.0399999999999991</v>
      </c>
      <c r="G145">
        <f t="shared" si="8"/>
        <v>2.8575697211155383E-3</v>
      </c>
      <c r="H145">
        <f t="shared" si="9"/>
        <v>3.1184782608695651E-2</v>
      </c>
      <c r="I145" t="str">
        <f t="shared" si="10"/>
        <v>$0-$0.05</v>
      </c>
      <c r="J145">
        <f t="shared" si="11"/>
        <v>3.1633333333333327</v>
      </c>
    </row>
    <row r="146" spans="1:10">
      <c r="A146" t="str">
        <f>cleaned_data!A146</f>
        <v>MAGIC肘NTERNET筆ONEY (Bitcoin)</v>
      </c>
      <c r="B146" t="str">
        <f>cleaned_data!B146</f>
        <v>MIM</v>
      </c>
      <c r="C146">
        <f>cleaned_data!C146</f>
        <v>4.9010000000000004E-4</v>
      </c>
      <c r="D146">
        <f>cleaned_data!D146</f>
        <v>8.0399999999999991</v>
      </c>
      <c r="E146">
        <f>cleaned_data!N146</f>
        <v>35.24</v>
      </c>
      <c r="F146">
        <f>cleaned_data!O146</f>
        <v>123.75</v>
      </c>
      <c r="G146">
        <f t="shared" si="8"/>
        <v>3.9286573146292592E-6</v>
      </c>
      <c r="H146" t="str">
        <f t="shared" si="9"/>
        <v>N/A</v>
      </c>
      <c r="I146" t="str">
        <f t="shared" si="10"/>
        <v>$0-$0.05</v>
      </c>
      <c r="J146">
        <f t="shared" si="11"/>
        <v>55.676666666666669</v>
      </c>
    </row>
    <row r="147" spans="1:10">
      <c r="A147" t="str">
        <f>cleaned_data!A147</f>
        <v>Squid</v>
      </c>
      <c r="B147" t="str">
        <f>cleaned_data!B147</f>
        <v>QUID</v>
      </c>
      <c r="C147">
        <f>cleaned_data!C147</f>
        <v>7.1730000000000002E-2</v>
      </c>
      <c r="D147">
        <f>cleaned_data!D147</f>
        <v>0.77</v>
      </c>
      <c r="E147">
        <f>cleaned_data!N147</f>
        <v>2.19</v>
      </c>
      <c r="F147">
        <f>cleaned_data!O147</f>
        <v>12.68</v>
      </c>
      <c r="G147">
        <f t="shared" si="8"/>
        <v>5.2434210526315795E-3</v>
      </c>
      <c r="H147" t="str">
        <f t="shared" si="9"/>
        <v>N/A</v>
      </c>
      <c r="I147" t="str">
        <f t="shared" si="10"/>
        <v>$0.05-$0.5</v>
      </c>
      <c r="J147">
        <f t="shared" si="11"/>
        <v>5.2133333333333338</v>
      </c>
    </row>
    <row r="148" spans="1:10">
      <c r="A148" t="str">
        <f>cleaned_data!A148</f>
        <v>TG Casino</v>
      </c>
      <c r="B148" t="str">
        <f>cleaned_data!B148</f>
        <v>TGC</v>
      </c>
      <c r="C148">
        <f>cleaned_data!C148</f>
        <v>0.13439999999999999</v>
      </c>
      <c r="D148">
        <f>cleaned_data!D148</f>
        <v>0.46</v>
      </c>
      <c r="E148">
        <f>cleaned_data!N148</f>
        <v>1.97</v>
      </c>
      <c r="F148">
        <f>cleaned_data!O148</f>
        <v>4.4800000000000004</v>
      </c>
      <c r="G148">
        <f t="shared" si="8"/>
        <v>2.452554744525547E-2</v>
      </c>
      <c r="H148" t="str">
        <f t="shared" si="9"/>
        <v>N/A</v>
      </c>
      <c r="I148" t="str">
        <f t="shared" si="10"/>
        <v>$0.05-$0.5</v>
      </c>
      <c r="J148">
        <f t="shared" si="11"/>
        <v>2.3033333333333332</v>
      </c>
    </row>
    <row r="149" spans="1:10">
      <c r="A149" t="str">
        <f>cleaned_data!A149</f>
        <v>Act I : The AI Prophecy</v>
      </c>
      <c r="B149" t="str">
        <f>cleaned_data!B149</f>
        <v>ACT</v>
      </c>
      <c r="C149">
        <f>cleaned_data!C149</f>
        <v>1.0789999999999999E-2</v>
      </c>
      <c r="D149">
        <f>cleaned_data!D149</f>
        <v>1.21</v>
      </c>
      <c r="E149">
        <f>cleaned_data!N149</f>
        <v>0.41</v>
      </c>
      <c r="F149">
        <f>cleaned_data!O149</f>
        <v>7.74</v>
      </c>
      <c r="G149">
        <f t="shared" si="8"/>
        <v>1.2345537757437069E-3</v>
      </c>
      <c r="H149">
        <f t="shared" si="9"/>
        <v>1.8288135593220334E-2</v>
      </c>
      <c r="I149" t="str">
        <f t="shared" si="10"/>
        <v>$0-$0.05</v>
      </c>
      <c r="J149">
        <f t="shared" si="11"/>
        <v>3.1199999999999997</v>
      </c>
    </row>
    <row r="150" spans="1:10">
      <c r="A150" t="str">
        <f>cleaned_data!A150</f>
        <v>Ambire Wallet</v>
      </c>
      <c r="B150" t="str">
        <f>cleaned_data!B150</f>
        <v>WALLET</v>
      </c>
      <c r="C150">
        <f>cleaned_data!C150</f>
        <v>1.4080000000000001E-2</v>
      </c>
      <c r="D150">
        <f>cleaned_data!D150</f>
        <v>3.23</v>
      </c>
      <c r="E150">
        <f>cleaned_data!N150</f>
        <v>13.52</v>
      </c>
      <c r="F150">
        <f>cleaned_data!O150</f>
        <v>12.62</v>
      </c>
      <c r="G150">
        <f t="shared" si="8"/>
        <v>1.0337738619676947E-3</v>
      </c>
      <c r="H150" t="str">
        <f t="shared" si="9"/>
        <v>N/A</v>
      </c>
      <c r="I150" t="str">
        <f t="shared" si="10"/>
        <v>$0-$0.05</v>
      </c>
      <c r="J150">
        <f t="shared" si="11"/>
        <v>9.7899999999999991</v>
      </c>
    </row>
    <row r="151" spans="1:10">
      <c r="A151" t="str">
        <f>cleaned_data!A151</f>
        <v>GUNZ</v>
      </c>
      <c r="B151" t="str">
        <f>cleaned_data!B151</f>
        <v>GUN</v>
      </c>
      <c r="C151">
        <f>cleaned_data!C151</f>
        <v>3.2539999999999999E-3</v>
      </c>
      <c r="D151">
        <f>cleaned_data!D151</f>
        <v>0.55000000000000004</v>
      </c>
      <c r="E151">
        <f>cleaned_data!N151</f>
        <v>3.89</v>
      </c>
      <c r="F151">
        <f>cleaned_data!O151</f>
        <v>9.7799999999999994</v>
      </c>
      <c r="G151">
        <f t="shared" si="8"/>
        <v>3.0185528756957331E-4</v>
      </c>
      <c r="H151" t="str">
        <f t="shared" si="9"/>
        <v>N/A</v>
      </c>
      <c r="I151" t="str">
        <f t="shared" si="10"/>
        <v>$0-$0.05</v>
      </c>
      <c r="J151">
        <f t="shared" si="11"/>
        <v>4.7399999999999993</v>
      </c>
    </row>
    <row r="152" spans="1:10">
      <c r="A152" t="str">
        <f>cleaned_data!A152</f>
        <v>ANyONe Protocol</v>
      </c>
      <c r="B152" t="str">
        <f>cleaned_data!B152</f>
        <v>ANYONE</v>
      </c>
      <c r="C152">
        <f>cleaned_data!C152</f>
        <v>8.7129999999999999E-2</v>
      </c>
      <c r="D152">
        <f>cleaned_data!D152</f>
        <v>0.28000000000000003</v>
      </c>
      <c r="E152">
        <f>cleaned_data!N152</f>
        <v>2.78</v>
      </c>
      <c r="F152">
        <f>cleaned_data!O152</f>
        <v>72.92</v>
      </c>
      <c r="G152">
        <f t="shared" si="8"/>
        <v>1.17870670995671E-3</v>
      </c>
      <c r="H152" t="str">
        <f t="shared" si="9"/>
        <v>N/A</v>
      </c>
      <c r="I152" t="str">
        <f t="shared" si="10"/>
        <v>$0.05-$0.5</v>
      </c>
      <c r="J152">
        <f t="shared" si="11"/>
        <v>25.326666666666668</v>
      </c>
    </row>
    <row r="153" spans="1:10">
      <c r="A153" t="str">
        <f>cleaned_data!A153</f>
        <v>Pythia</v>
      </c>
      <c r="B153" t="str">
        <f>cleaned_data!B153</f>
        <v>PYTHIA</v>
      </c>
      <c r="C153">
        <f>cleaned_data!C153</f>
        <v>8.5000000000000006E-3</v>
      </c>
      <c r="D153">
        <f>cleaned_data!D153</f>
        <v>2.8</v>
      </c>
      <c r="E153">
        <f>cleaned_data!N153</f>
        <v>0.08</v>
      </c>
      <c r="F153">
        <f>cleaned_data!O153</f>
        <v>2.4900000000000002</v>
      </c>
      <c r="G153">
        <f t="shared" si="8"/>
        <v>2.4355300859598855E-3</v>
      </c>
      <c r="H153">
        <f t="shared" si="9"/>
        <v>9.2391304347826091E-3</v>
      </c>
      <c r="I153" t="str">
        <f t="shared" si="10"/>
        <v>$0-$0.05</v>
      </c>
      <c r="J153">
        <f t="shared" si="11"/>
        <v>1.79</v>
      </c>
    </row>
    <row r="154" spans="1:10">
      <c r="A154" t="str">
        <f>cleaned_data!A154</f>
        <v>Balancer</v>
      </c>
      <c r="B154" t="str">
        <f>cleaned_data!B154</f>
        <v>BAL</v>
      </c>
      <c r="C154">
        <f>cleaned_data!C154</f>
        <v>0.121</v>
      </c>
      <c r="D154">
        <f>cleaned_data!D154</f>
        <v>0.06</v>
      </c>
      <c r="E154">
        <f>cleaned_data!N154</f>
        <v>0.81</v>
      </c>
      <c r="F154">
        <f>cleaned_data!O154</f>
        <v>14.93</v>
      </c>
      <c r="G154">
        <f t="shared" si="8"/>
        <v>7.5957313245448837E-3</v>
      </c>
      <c r="H154">
        <f t="shared" si="9"/>
        <v>0.6368421052631581</v>
      </c>
      <c r="I154" t="str">
        <f t="shared" si="10"/>
        <v>$0.05-$0.5</v>
      </c>
      <c r="J154">
        <f t="shared" si="11"/>
        <v>5.2666666666666666</v>
      </c>
    </row>
    <row r="155" spans="1:10">
      <c r="A155" t="str">
        <f>cleaned_data!A155</f>
        <v>Paris Saint-Germain Fan Token</v>
      </c>
      <c r="B155" t="str">
        <f>cleaned_data!B155</f>
        <v>PSG</v>
      </c>
      <c r="C155">
        <f>cleaned_data!C155</f>
        <v>0.50009999999999999</v>
      </c>
      <c r="D155">
        <f>cleaned_data!D155</f>
        <v>0.15</v>
      </c>
      <c r="E155">
        <f>cleaned_data!N155</f>
        <v>0.81</v>
      </c>
      <c r="F155">
        <f>cleaned_data!O155</f>
        <v>8.59</v>
      </c>
      <c r="G155">
        <f t="shared" si="8"/>
        <v>5.2148070907194997E-2</v>
      </c>
      <c r="H155">
        <f t="shared" si="9"/>
        <v>2.6321052631578956</v>
      </c>
      <c r="I155" t="str">
        <f t="shared" si="10"/>
        <v>$0.5-$5</v>
      </c>
      <c r="J155">
        <f t="shared" si="11"/>
        <v>3.1833333333333336</v>
      </c>
    </row>
    <row r="156" spans="1:10">
      <c r="A156" t="str">
        <f>cleaned_data!A156</f>
        <v>Meta tokenized stock (xStock)</v>
      </c>
      <c r="B156" t="str">
        <f>cleaned_data!B156</f>
        <v>METAX</v>
      </c>
      <c r="C156">
        <f>cleaned_data!C156</f>
        <v>562.74</v>
      </c>
      <c r="D156">
        <f>cleaned_data!D156</f>
        <v>0.04</v>
      </c>
      <c r="E156">
        <f>cleaned_data!N156</f>
        <v>2.02</v>
      </c>
      <c r="F156">
        <f>cleaned_data!O156</f>
        <v>0.67</v>
      </c>
      <c r="G156">
        <f t="shared" si="8"/>
        <v>336.97005988023955</v>
      </c>
      <c r="H156" t="str">
        <f t="shared" si="9"/>
        <v>N/A</v>
      </c>
      <c r="I156" t="str">
        <f t="shared" si="10"/>
        <v>&gt;$50</v>
      </c>
      <c r="J156">
        <f t="shared" si="11"/>
        <v>0.91</v>
      </c>
    </row>
    <row r="157" spans="1:10">
      <c r="A157" t="str">
        <f>cleaned_data!A157</f>
        <v>Towns</v>
      </c>
      <c r="B157" t="str">
        <f>cleaned_data!B157</f>
        <v>TOWNS</v>
      </c>
      <c r="C157">
        <f>cleaned_data!C157</f>
        <v>2.457E-3</v>
      </c>
      <c r="D157">
        <f>cleaned_data!D157</f>
        <v>0.64</v>
      </c>
      <c r="E157">
        <f>cleaned_data!N157</f>
        <v>0.82</v>
      </c>
      <c r="F157">
        <f>cleaned_data!O157</f>
        <v>9.6</v>
      </c>
      <c r="G157">
        <f t="shared" si="8"/>
        <v>2.3179245283018869E-4</v>
      </c>
      <c r="H157">
        <f t="shared" si="9"/>
        <v>1.3649999999999995E-2</v>
      </c>
      <c r="I157" t="str">
        <f t="shared" si="10"/>
        <v>$0-$0.05</v>
      </c>
      <c r="J157">
        <f t="shared" si="11"/>
        <v>3.6866666666666661</v>
      </c>
    </row>
    <row r="158" spans="1:10">
      <c r="A158" t="str">
        <f>cleaned_data!A158</f>
        <v>Groestlcoin</v>
      </c>
      <c r="B158" t="str">
        <f>cleaned_data!B158</f>
        <v>GRS</v>
      </c>
      <c r="C158">
        <f>cleaned_data!C158</f>
        <v>9.1539999999999996E-2</v>
      </c>
      <c r="D158">
        <f>cleaned_data!D158</f>
        <v>0</v>
      </c>
      <c r="E158">
        <f>cleaned_data!N158</f>
        <v>0</v>
      </c>
      <c r="F158">
        <f>cleaned_data!O158</f>
        <v>0</v>
      </c>
      <c r="G158">
        <f t="shared" si="8"/>
        <v>9.1539999999999996E-2</v>
      </c>
      <c r="H158">
        <f t="shared" si="9"/>
        <v>9.1539999999999996E-2</v>
      </c>
      <c r="I158" t="str">
        <f t="shared" si="10"/>
        <v>$0.05-$0.5</v>
      </c>
      <c r="J158">
        <f t="shared" si="11"/>
        <v>0</v>
      </c>
    </row>
    <row r="159" spans="1:10">
      <c r="A159" t="str">
        <f>cleaned_data!A159</f>
        <v>Apple Tokenized Stock (Ondo)</v>
      </c>
      <c r="B159" t="str">
        <f>cleaned_data!B159</f>
        <v>AAPLon</v>
      </c>
      <c r="C159">
        <f>cleaned_data!C159</f>
        <v>310.51</v>
      </c>
      <c r="D159">
        <f>cleaned_data!D159</f>
        <v>0.1</v>
      </c>
      <c r="E159">
        <f>cleaned_data!N159</f>
        <v>0.02</v>
      </c>
      <c r="F159">
        <f>cleaned_data!O159</f>
        <v>1.28</v>
      </c>
      <c r="G159">
        <f t="shared" si="8"/>
        <v>136.18859649122805</v>
      </c>
      <c r="H159">
        <f t="shared" si="9"/>
        <v>316.84693877551018</v>
      </c>
      <c r="I159" t="str">
        <f t="shared" si="10"/>
        <v>&gt;$50</v>
      </c>
      <c r="J159">
        <f t="shared" si="11"/>
        <v>0.46666666666666673</v>
      </c>
    </row>
    <row r="160" spans="1:10">
      <c r="A160" t="str">
        <f>cleaned_data!A160</f>
        <v>Echelon Prime</v>
      </c>
      <c r="B160" t="str">
        <f>cleaned_data!B160</f>
        <v>PRIME</v>
      </c>
      <c r="C160">
        <f>cleaned_data!C160</f>
        <v>0.2319</v>
      </c>
      <c r="D160">
        <f>cleaned_data!D160</f>
        <v>0.5</v>
      </c>
      <c r="E160">
        <f>cleaned_data!N160</f>
        <v>0.21</v>
      </c>
      <c r="F160">
        <f>cleaned_data!O160</f>
        <v>0.17</v>
      </c>
      <c r="G160">
        <f t="shared" si="8"/>
        <v>0.1982051282051282</v>
      </c>
      <c r="H160">
        <f t="shared" si="9"/>
        <v>0.29354430379746832</v>
      </c>
      <c r="I160" t="str">
        <f t="shared" si="10"/>
        <v>$0.05-$0.5</v>
      </c>
      <c r="J160">
        <f t="shared" si="11"/>
        <v>0.29333333333333333</v>
      </c>
    </row>
    <row r="161" spans="1:10">
      <c r="A161" t="str">
        <f>cleaned_data!A161</f>
        <v>Peercoin</v>
      </c>
      <c r="B161" t="str">
        <f>cleaned_data!B161</f>
        <v>PPC</v>
      </c>
      <c r="C161">
        <f>cleaned_data!C161</f>
        <v>0.2727</v>
      </c>
      <c r="D161">
        <f>cleaned_data!D161</f>
        <v>0.14000000000000001</v>
      </c>
      <c r="E161">
        <f>cleaned_data!N161</f>
        <v>0.41</v>
      </c>
      <c r="F161">
        <f>cleaned_data!O161</f>
        <v>22.09</v>
      </c>
      <c r="G161">
        <f t="shared" si="8"/>
        <v>1.1810307492420961E-2</v>
      </c>
      <c r="H161">
        <f t="shared" si="9"/>
        <v>0.4622033898305084</v>
      </c>
      <c r="I161" t="str">
        <f t="shared" si="10"/>
        <v>$0.05-$0.5</v>
      </c>
      <c r="J161">
        <f t="shared" si="11"/>
        <v>7.5466666666666669</v>
      </c>
    </row>
    <row r="162" spans="1:10">
      <c r="A162" t="str">
        <f>cleaned_data!A162</f>
        <v>ResearchCoin</v>
      </c>
      <c r="B162" t="str">
        <f>cleaned_data!B162</f>
        <v>RSC</v>
      </c>
      <c r="C162">
        <f>cleaned_data!C162</f>
        <v>6.3909999999999995E-2</v>
      </c>
      <c r="D162">
        <f>cleaned_data!D162</f>
        <v>0.03</v>
      </c>
      <c r="E162">
        <f>cleaned_data!N162</f>
        <v>0.13</v>
      </c>
      <c r="F162">
        <f>cleaned_data!O162</f>
        <v>8.32</v>
      </c>
      <c r="G162">
        <f t="shared" si="8"/>
        <v>6.8572961373390548E-3</v>
      </c>
      <c r="H162">
        <f t="shared" si="9"/>
        <v>7.3459770114942521E-2</v>
      </c>
      <c r="I162" t="str">
        <f t="shared" si="10"/>
        <v>$0.05-$0.5</v>
      </c>
      <c r="J162">
        <f t="shared" si="11"/>
        <v>2.8266666666666667</v>
      </c>
    </row>
    <row r="163" spans="1:10">
      <c r="A163" t="str">
        <f>cleaned_data!A163</f>
        <v>Nebius Tokenized bStocks</v>
      </c>
      <c r="B163" t="str">
        <f>cleaned_data!B163</f>
        <v>NBISB</v>
      </c>
      <c r="C163">
        <f>cleaned_data!C163</f>
        <v>216.99</v>
      </c>
      <c r="D163">
        <f>cleaned_data!D163</f>
        <v>0.22</v>
      </c>
      <c r="E163">
        <f>cleaned_data!N163</f>
        <v>2.96</v>
      </c>
      <c r="F163">
        <f>cleaned_data!O163</f>
        <v>18.64</v>
      </c>
      <c r="G163">
        <f t="shared" si="8"/>
        <v>11.048370672097759</v>
      </c>
      <c r="H163" t="str">
        <f t="shared" si="9"/>
        <v>N/A</v>
      </c>
      <c r="I163" t="str">
        <f t="shared" si="10"/>
        <v>&gt;$50</v>
      </c>
      <c r="J163">
        <f t="shared" si="11"/>
        <v>7.2733333333333334</v>
      </c>
    </row>
    <row r="164" spans="1:10">
      <c r="A164" t="str">
        <f>cleaned_data!A164</f>
        <v>Stader</v>
      </c>
      <c r="B164" t="str">
        <f>cleaned_data!B164</f>
        <v>SD</v>
      </c>
      <c r="C164">
        <f>cleaned_data!C164</f>
        <v>0.1162</v>
      </c>
      <c r="D164">
        <f>cleaned_data!D164</f>
        <v>0.13</v>
      </c>
      <c r="E164">
        <f>cleaned_data!N164</f>
        <v>4.1900000000000004</v>
      </c>
      <c r="F164">
        <f>cleaned_data!O164</f>
        <v>24.31</v>
      </c>
      <c r="G164">
        <f t="shared" si="8"/>
        <v>4.5910707230343737E-3</v>
      </c>
      <c r="H164" t="str">
        <f t="shared" si="9"/>
        <v>N/A</v>
      </c>
      <c r="I164" t="str">
        <f t="shared" si="10"/>
        <v>$0.05-$0.5</v>
      </c>
      <c r="J164">
        <f t="shared" si="11"/>
        <v>9.543333333333333</v>
      </c>
    </row>
    <row r="165" spans="1:10">
      <c r="A165" t="str">
        <f>cleaned_data!A165</f>
        <v>ULTILAND</v>
      </c>
      <c r="B165" t="str">
        <f>cleaned_data!B165</f>
        <v>ARTX</v>
      </c>
      <c r="C165">
        <f>cleaned_data!C165</f>
        <v>0.1085</v>
      </c>
      <c r="D165">
        <f>cleaned_data!D165</f>
        <v>0.4</v>
      </c>
      <c r="E165">
        <f>cleaned_data!N165</f>
        <v>5.03</v>
      </c>
      <c r="F165">
        <f>cleaned_data!O165</f>
        <v>37.49</v>
      </c>
      <c r="G165">
        <f t="shared" si="8"/>
        <v>2.8189140036373084E-3</v>
      </c>
      <c r="H165" t="str">
        <f t="shared" si="9"/>
        <v>N/A</v>
      </c>
      <c r="I165" t="str">
        <f t="shared" si="10"/>
        <v>$0.05-$0.5</v>
      </c>
      <c r="J165">
        <f t="shared" si="11"/>
        <v>14.306666666666667</v>
      </c>
    </row>
    <row r="166" spans="1:10">
      <c r="A166" t="str">
        <f>cleaned_data!A166</f>
        <v>inSure DeFi</v>
      </c>
      <c r="B166" t="str">
        <f>cleaned_data!B166</f>
        <v>SURE</v>
      </c>
      <c r="C166">
        <f>cleaned_data!C166</f>
        <v>3.0630000000000002E-4</v>
      </c>
      <c r="D166">
        <f>cleaned_data!D166</f>
        <v>1.79</v>
      </c>
      <c r="E166">
        <f>cleaned_data!N166</f>
        <v>1.94</v>
      </c>
      <c r="F166">
        <f>cleaned_data!O166</f>
        <v>60.78</v>
      </c>
      <c r="G166">
        <f t="shared" si="8"/>
        <v>4.9579151829070899E-6</v>
      </c>
      <c r="H166" t="str">
        <f t="shared" si="9"/>
        <v>N/A</v>
      </c>
      <c r="I166" t="str">
        <f t="shared" si="10"/>
        <v>$0-$0.05</v>
      </c>
      <c r="J166">
        <f t="shared" si="11"/>
        <v>21.503333333333334</v>
      </c>
    </row>
    <row r="167" spans="1:10">
      <c r="A167" t="str">
        <f>cleaned_data!A167</f>
        <v>Bitgert</v>
      </c>
      <c r="B167" t="str">
        <f>cleaned_data!B167</f>
        <v>BRISE</v>
      </c>
      <c r="C167">
        <f>cleaned_data!C167</f>
        <v>7.1664000000000005E-2</v>
      </c>
      <c r="D167">
        <f>cleaned_data!D167</f>
        <v>0.11</v>
      </c>
      <c r="E167">
        <f>cleaned_data!N167</f>
        <v>3.1</v>
      </c>
      <c r="F167">
        <f>cleaned_data!O167</f>
        <v>22.36</v>
      </c>
      <c r="G167">
        <f t="shared" si="8"/>
        <v>3.0678082191780824E-3</v>
      </c>
      <c r="H167" t="str">
        <f t="shared" si="9"/>
        <v>N/A</v>
      </c>
      <c r="I167" t="str">
        <f t="shared" si="10"/>
        <v>$0.05-$0.5</v>
      </c>
      <c r="J167">
        <f t="shared" si="11"/>
        <v>8.5233333333333334</v>
      </c>
    </row>
    <row r="168" spans="1:10">
      <c r="A168" t="str">
        <f>cleaned_data!A168</f>
        <v>Mansory</v>
      </c>
      <c r="B168" t="str">
        <f>cleaned_data!B168</f>
        <v>MNSRY</v>
      </c>
      <c r="C168">
        <f>cleaned_data!C168</f>
        <v>7.26E-3</v>
      </c>
      <c r="D168">
        <f>cleaned_data!D168</f>
        <v>0.33</v>
      </c>
      <c r="E168">
        <f>cleaned_data!N168</f>
        <v>2.35</v>
      </c>
      <c r="F168">
        <f>cleaned_data!O168</f>
        <v>8.6999999999999993</v>
      </c>
      <c r="G168">
        <f t="shared" si="8"/>
        <v>7.4845360824742275E-4</v>
      </c>
      <c r="H168" t="str">
        <f t="shared" si="9"/>
        <v>N/A</v>
      </c>
      <c r="I168" t="str">
        <f t="shared" si="10"/>
        <v>$0-$0.05</v>
      </c>
      <c r="J168">
        <f t="shared" si="11"/>
        <v>3.793333333333333</v>
      </c>
    </row>
    <row r="169" spans="1:10">
      <c r="A169" t="str">
        <f>cleaned_data!A169</f>
        <v>WazirX</v>
      </c>
      <c r="B169" t="str">
        <f>cleaned_data!B169</f>
        <v>WRX</v>
      </c>
      <c r="C169">
        <f>cleaned_data!C169</f>
        <v>1.7069999999999998E-2</v>
      </c>
      <c r="D169">
        <f>cleaned_data!D169</f>
        <v>0.3</v>
      </c>
      <c r="E169">
        <f>cleaned_data!N169</f>
        <v>1.52</v>
      </c>
      <c r="F169">
        <f>cleaned_data!O169</f>
        <v>23.06</v>
      </c>
      <c r="G169">
        <f t="shared" si="8"/>
        <v>7.0947630922693259E-4</v>
      </c>
      <c r="H169" t="str">
        <f t="shared" si="9"/>
        <v>N/A</v>
      </c>
      <c r="I169" t="str">
        <f t="shared" si="10"/>
        <v>$0-$0.05</v>
      </c>
      <c r="J169">
        <f t="shared" si="11"/>
        <v>8.293333333333333</v>
      </c>
    </row>
    <row r="170" spans="1:10">
      <c r="A170" t="str">
        <f>cleaned_data!A170</f>
        <v>SUPRA</v>
      </c>
      <c r="B170" t="str">
        <f>cleaned_data!B170</f>
        <v>SUPRA</v>
      </c>
      <c r="C170">
        <f>cleaned_data!C170</f>
        <v>1.9330000000000001E-4</v>
      </c>
      <c r="D170">
        <f>cleaned_data!D170</f>
        <v>0.13</v>
      </c>
      <c r="E170">
        <f>cleaned_data!N170</f>
        <v>3.45</v>
      </c>
      <c r="F170">
        <f>cleaned_data!O170</f>
        <v>6.16</v>
      </c>
      <c r="G170">
        <f t="shared" si="8"/>
        <v>2.6997206703910616E-5</v>
      </c>
      <c r="H170" t="str">
        <f t="shared" si="9"/>
        <v>N/A</v>
      </c>
      <c r="I170" t="str">
        <f t="shared" si="10"/>
        <v>$0-$0.05</v>
      </c>
      <c r="J170">
        <f t="shared" si="11"/>
        <v>3.2466666666666666</v>
      </c>
    </row>
    <row r="171" spans="1:10">
      <c r="A171" t="str">
        <f>cleaned_data!A171</f>
        <v>McDull</v>
      </c>
      <c r="B171" t="str">
        <f>cleaned_data!B171</f>
        <v>MCDULL</v>
      </c>
      <c r="C171">
        <f>cleaned_data!C171</f>
        <v>6.8585999999999994E-2</v>
      </c>
      <c r="D171">
        <f>cleaned_data!D171</f>
        <v>0</v>
      </c>
      <c r="E171">
        <f>cleaned_data!N171</f>
        <v>3.16</v>
      </c>
      <c r="F171">
        <f>cleaned_data!O171</f>
        <v>27.78</v>
      </c>
      <c r="G171">
        <f t="shared" si="8"/>
        <v>2.3831132731063237E-3</v>
      </c>
      <c r="H171" t="str">
        <f t="shared" si="9"/>
        <v>N/A</v>
      </c>
      <c r="I171" t="str">
        <f t="shared" si="10"/>
        <v>$0.05-$0.5</v>
      </c>
      <c r="J171">
        <f t="shared" si="11"/>
        <v>10.313333333333334</v>
      </c>
    </row>
    <row r="172" spans="1:10">
      <c r="A172" t="str">
        <f>cleaned_data!A172</f>
        <v>Edel</v>
      </c>
      <c r="B172" t="str">
        <f>cleaned_data!B172</f>
        <v>EDEL</v>
      </c>
      <c r="C172">
        <f>cleaned_data!C172</f>
        <v>1.0410000000000001E-2</v>
      </c>
      <c r="D172">
        <f>cleaned_data!D172</f>
        <v>0.99</v>
      </c>
      <c r="E172">
        <f>cleaned_data!N172</f>
        <v>19.920000000000002</v>
      </c>
      <c r="F172">
        <f>cleaned_data!O172</f>
        <v>35.950000000000003</v>
      </c>
      <c r="G172">
        <f t="shared" si="8"/>
        <v>2.8173207036535859E-4</v>
      </c>
      <c r="H172" t="str">
        <f t="shared" si="9"/>
        <v>N/A</v>
      </c>
      <c r="I172" t="str">
        <f t="shared" si="10"/>
        <v>$0-$0.05</v>
      </c>
      <c r="J172">
        <f t="shared" si="11"/>
        <v>18.953333333333333</v>
      </c>
    </row>
    <row r="173" spans="1:10">
      <c r="A173" t="str">
        <f>cleaned_data!A173</f>
        <v>Avici</v>
      </c>
      <c r="B173" t="str">
        <f>cleaned_data!B173</f>
        <v>AVICI</v>
      </c>
      <c r="C173">
        <f>cleaned_data!C173</f>
        <v>0.50060000000000004</v>
      </c>
      <c r="D173">
        <f>cleaned_data!D173</f>
        <v>0.89</v>
      </c>
      <c r="E173">
        <f>cleaned_data!N173</f>
        <v>0.31</v>
      </c>
      <c r="F173">
        <f>cleaned_data!O173</f>
        <v>15.52</v>
      </c>
      <c r="G173">
        <f t="shared" si="8"/>
        <v>3.0302663438256661E-2</v>
      </c>
      <c r="H173">
        <f t="shared" si="9"/>
        <v>0.72550724637681174</v>
      </c>
      <c r="I173" t="str">
        <f t="shared" si="10"/>
        <v>$0.5-$5</v>
      </c>
      <c r="J173">
        <f t="shared" si="11"/>
        <v>5.5733333333333333</v>
      </c>
    </row>
    <row r="174" spans="1:10">
      <c r="A174" t="str">
        <f>cleaned_data!A174</f>
        <v>Elastos</v>
      </c>
      <c r="B174" t="str">
        <f>cleaned_data!B174</f>
        <v>ELA</v>
      </c>
      <c r="C174">
        <f>cleaned_data!C174</f>
        <v>0.27900000000000003</v>
      </c>
      <c r="D174">
        <f>cleaned_data!D174</f>
        <v>0.03</v>
      </c>
      <c r="E174">
        <f>cleaned_data!N174</f>
        <v>1.38</v>
      </c>
      <c r="F174">
        <f>cleaned_data!O174</f>
        <v>9.3000000000000007</v>
      </c>
      <c r="G174">
        <f t="shared" si="8"/>
        <v>2.7087378640776701E-2</v>
      </c>
      <c r="H174" t="str">
        <f t="shared" si="9"/>
        <v>N/A</v>
      </c>
      <c r="I174" t="str">
        <f t="shared" si="10"/>
        <v>$0.05-$0.5</v>
      </c>
      <c r="J174">
        <f t="shared" si="11"/>
        <v>3.5700000000000003</v>
      </c>
    </row>
    <row r="175" spans="1:10">
      <c r="A175" t="str">
        <f>cleaned_data!A175</f>
        <v>Portal To Bitcoin</v>
      </c>
      <c r="B175" t="str">
        <f>cleaned_data!B175</f>
        <v>PTB</v>
      </c>
      <c r="C175">
        <f>cleaned_data!C175</f>
        <v>7.9390000000000005E-4</v>
      </c>
      <c r="D175">
        <f>cleaned_data!D175</f>
        <v>1.67</v>
      </c>
      <c r="E175">
        <f>cleaned_data!N175</f>
        <v>8.4</v>
      </c>
      <c r="F175">
        <f>cleaned_data!O175</f>
        <v>6.62</v>
      </c>
      <c r="G175">
        <f t="shared" ref="G175:G238" si="12">C175/(1+F175)</f>
        <v>1.0418635170603675E-4</v>
      </c>
      <c r="H175" t="str">
        <f t="shared" ref="H175:H238" si="13">IF(OR(E175&gt;=1,E175&lt;0),"N/A",C175/(1-E175))</f>
        <v>N/A</v>
      </c>
      <c r="I175" t="str">
        <f t="shared" si="10"/>
        <v>$0-$0.05</v>
      </c>
      <c r="J175">
        <f t="shared" si="11"/>
        <v>5.5633333333333335</v>
      </c>
    </row>
    <row r="176" spans="1:10">
      <c r="A176" t="str">
        <f>cleaned_data!A176</f>
        <v>Micron Technology Inc tokenized stock (Backpack)</v>
      </c>
      <c r="B176" t="str">
        <f>cleaned_data!B176</f>
        <v>MU</v>
      </c>
      <c r="C176">
        <f>cleaned_data!C176</f>
        <v>926.42</v>
      </c>
      <c r="D176">
        <f>cleaned_data!D176</f>
        <v>0.37</v>
      </c>
      <c r="E176">
        <f>cleaned_data!N176</f>
        <v>1</v>
      </c>
      <c r="F176">
        <f>cleaned_data!O176</f>
        <v>5.63</v>
      </c>
      <c r="G176">
        <f t="shared" si="12"/>
        <v>139.73152337858221</v>
      </c>
      <c r="H176" t="str">
        <f t="shared" si="13"/>
        <v>N/A</v>
      </c>
      <c r="I176" t="str">
        <f t="shared" si="10"/>
        <v>&gt;$50</v>
      </c>
      <c r="J176">
        <f t="shared" si="11"/>
        <v>2.3333333333333335</v>
      </c>
    </row>
    <row r="177" spans="1:10">
      <c r="A177" t="str">
        <f>cleaned_data!A177</f>
        <v>MARBLEX</v>
      </c>
      <c r="B177" t="str">
        <f>cleaned_data!B177</f>
        <v>MBX</v>
      </c>
      <c r="C177">
        <f>cleaned_data!C177</f>
        <v>2.3040000000000001E-2</v>
      </c>
      <c r="D177">
        <f>cleaned_data!D177</f>
        <v>0.09</v>
      </c>
      <c r="E177">
        <f>cleaned_data!N177</f>
        <v>0.43</v>
      </c>
      <c r="F177">
        <f>cleaned_data!O177</f>
        <v>12.37</v>
      </c>
      <c r="G177">
        <f t="shared" si="12"/>
        <v>1.723261032161556E-3</v>
      </c>
      <c r="H177">
        <f t="shared" si="13"/>
        <v>4.0421052631578948E-2</v>
      </c>
      <c r="I177" t="str">
        <f t="shared" si="10"/>
        <v>$0-$0.05</v>
      </c>
      <c r="J177">
        <f t="shared" si="11"/>
        <v>4.296666666666666</v>
      </c>
    </row>
    <row r="178" spans="1:10">
      <c r="A178" t="str">
        <f>cleaned_data!A178</f>
        <v>ELYSIA</v>
      </c>
      <c r="B178" t="str">
        <f>cleaned_data!B178</f>
        <v>EL</v>
      </c>
      <c r="C178">
        <f>cleaned_data!C178</f>
        <v>1.25E-3</v>
      </c>
      <c r="D178">
        <f>cleaned_data!D178</f>
        <v>4.9800000000000004</v>
      </c>
      <c r="E178">
        <f>cleaned_data!N178</f>
        <v>5.72</v>
      </c>
      <c r="F178">
        <f>cleaned_data!O178</f>
        <v>19.489999999999998</v>
      </c>
      <c r="G178">
        <f t="shared" si="12"/>
        <v>6.1005368472425582E-5</v>
      </c>
      <c r="H178" t="str">
        <f t="shared" si="13"/>
        <v>N/A</v>
      </c>
      <c r="I178" t="str">
        <f t="shared" si="10"/>
        <v>$0-$0.05</v>
      </c>
      <c r="J178">
        <f t="shared" si="11"/>
        <v>10.063333333333333</v>
      </c>
    </row>
    <row r="179" spans="1:10">
      <c r="A179" t="str">
        <f>cleaned_data!A179</f>
        <v>NAVI Protocol</v>
      </c>
      <c r="B179" t="str">
        <f>cleaned_data!B179</f>
        <v>NAVX</v>
      </c>
      <c r="C179">
        <f>cleaned_data!C179</f>
        <v>7.7980000000000002E-3</v>
      </c>
      <c r="D179">
        <f>cleaned_data!D179</f>
        <v>1.0900000000000001</v>
      </c>
      <c r="E179">
        <f>cleaned_data!N179</f>
        <v>1.35</v>
      </c>
      <c r="F179">
        <f>cleaned_data!O179</f>
        <v>12</v>
      </c>
      <c r="G179">
        <f t="shared" si="12"/>
        <v>5.9984615384615382E-4</v>
      </c>
      <c r="H179" t="str">
        <f t="shared" si="13"/>
        <v>N/A</v>
      </c>
      <c r="I179" t="str">
        <f t="shared" si="10"/>
        <v>$0-$0.05</v>
      </c>
      <c r="J179">
        <f t="shared" si="11"/>
        <v>4.8133333333333335</v>
      </c>
    </row>
    <row r="180" spans="1:10">
      <c r="A180" t="str">
        <f>cleaned_data!A180</f>
        <v>PayAI Network</v>
      </c>
      <c r="B180" t="str">
        <f>cleaned_data!B180</f>
        <v>PAYAI</v>
      </c>
      <c r="C180">
        <f>cleaned_data!C180</f>
        <v>6.3629999999999997E-3</v>
      </c>
      <c r="D180">
        <f>cleaned_data!D180</f>
        <v>0.61</v>
      </c>
      <c r="E180">
        <f>cleaned_data!N180</f>
        <v>11.74</v>
      </c>
      <c r="F180">
        <f>cleaned_data!O180</f>
        <v>63.34</v>
      </c>
      <c r="G180">
        <f t="shared" si="12"/>
        <v>9.8896487410631017E-5</v>
      </c>
      <c r="H180" t="str">
        <f t="shared" si="13"/>
        <v>N/A</v>
      </c>
      <c r="I180" t="str">
        <f t="shared" si="10"/>
        <v>$0-$0.05</v>
      </c>
      <c r="J180">
        <f t="shared" si="11"/>
        <v>25.23</v>
      </c>
    </row>
    <row r="181" spans="1:10">
      <c r="A181" t="str">
        <f>cleaned_data!A181</f>
        <v>district0x</v>
      </c>
      <c r="B181" t="str">
        <f>cleaned_data!B181</f>
        <v>DNT</v>
      </c>
      <c r="C181">
        <f>cleaned_data!C181</f>
        <v>6.3449999999999999E-3</v>
      </c>
      <c r="D181">
        <f>cleaned_data!D181</f>
        <v>7.0000000000000007E-2</v>
      </c>
      <c r="E181">
        <f>cleaned_data!N181</f>
        <v>13.24</v>
      </c>
      <c r="F181">
        <f>cleaned_data!O181</f>
        <v>24.42</v>
      </c>
      <c r="G181">
        <f t="shared" si="12"/>
        <v>2.4960660896931549E-4</v>
      </c>
      <c r="H181" t="str">
        <f t="shared" si="13"/>
        <v>N/A</v>
      </c>
      <c r="I181" t="str">
        <f t="shared" si="10"/>
        <v>$0-$0.05</v>
      </c>
      <c r="J181">
        <f t="shared" si="11"/>
        <v>12.576666666666668</v>
      </c>
    </row>
    <row r="182" spans="1:10">
      <c r="A182" t="str">
        <f>cleaned_data!A182</f>
        <v>Pups (Bitcoin)</v>
      </c>
      <c r="B182" t="str">
        <f>cleaned_data!B182</f>
        <v>PUPS</v>
      </c>
      <c r="C182">
        <f>cleaned_data!C182</f>
        <v>5.4739999999999997E-3</v>
      </c>
      <c r="D182">
        <f>cleaned_data!D182</f>
        <v>4.33</v>
      </c>
      <c r="E182">
        <f>cleaned_data!N182</f>
        <v>57.04</v>
      </c>
      <c r="F182">
        <f>cleaned_data!O182</f>
        <v>163.86</v>
      </c>
      <c r="G182">
        <f t="shared" si="12"/>
        <v>3.3203930607788421E-5</v>
      </c>
      <c r="H182" t="str">
        <f t="shared" si="13"/>
        <v>N/A</v>
      </c>
      <c r="I182" t="str">
        <f t="shared" si="10"/>
        <v>$0-$0.05</v>
      </c>
      <c r="J182">
        <f t="shared" si="11"/>
        <v>75.076666666666668</v>
      </c>
    </row>
    <row r="183" spans="1:10">
      <c r="A183" t="str">
        <f>cleaned_data!A183</f>
        <v>Partisia Blockchain</v>
      </c>
      <c r="B183" t="str">
        <f>cleaned_data!B183</f>
        <v>MPC</v>
      </c>
      <c r="C183">
        <f>cleaned_data!C183</f>
        <v>1.044E-2</v>
      </c>
      <c r="D183">
        <f>cleaned_data!D183</f>
        <v>0.35</v>
      </c>
      <c r="E183">
        <f>cleaned_data!N183</f>
        <v>0.3</v>
      </c>
      <c r="F183">
        <f>cleaned_data!O183</f>
        <v>4.76</v>
      </c>
      <c r="G183">
        <f t="shared" si="12"/>
        <v>1.8125000000000001E-3</v>
      </c>
      <c r="H183">
        <f t="shared" si="13"/>
        <v>1.4914285714285715E-2</v>
      </c>
      <c r="I183" t="str">
        <f t="shared" si="10"/>
        <v>$0-$0.05</v>
      </c>
      <c r="J183">
        <f t="shared" si="11"/>
        <v>1.8033333333333335</v>
      </c>
    </row>
    <row r="184" spans="1:10">
      <c r="A184" t="str">
        <f>cleaned_data!A184</f>
        <v>Juventus Fan Token</v>
      </c>
      <c r="B184" t="str">
        <f>cleaned_data!B184</f>
        <v>JUV</v>
      </c>
      <c r="C184">
        <f>cleaned_data!C184</f>
        <v>0.32829999999999998</v>
      </c>
      <c r="D184">
        <f>cleaned_data!D184</f>
        <v>0.02</v>
      </c>
      <c r="E184">
        <f>cleaned_data!N184</f>
        <v>1.6</v>
      </c>
      <c r="F184">
        <f>cleaned_data!O184</f>
        <v>12.07</v>
      </c>
      <c r="G184">
        <f t="shared" si="12"/>
        <v>2.51185921958684E-2</v>
      </c>
      <c r="H184" t="str">
        <f t="shared" si="13"/>
        <v>N/A</v>
      </c>
      <c r="I184" t="str">
        <f t="shared" si="10"/>
        <v>$0.05-$0.5</v>
      </c>
      <c r="J184">
        <f t="shared" si="11"/>
        <v>4.5633333333333335</v>
      </c>
    </row>
    <row r="185" spans="1:10">
      <c r="A185" t="str">
        <f>cleaned_data!A185</f>
        <v>AMO Coin</v>
      </c>
      <c r="B185" t="str">
        <f>cleaned_data!B185</f>
        <v>AMO</v>
      </c>
      <c r="C185">
        <f>cleaned_data!C185</f>
        <v>2.4729999999999999E-4</v>
      </c>
      <c r="D185">
        <f>cleaned_data!D185</f>
        <v>0.22</v>
      </c>
      <c r="E185">
        <f>cleaned_data!N185</f>
        <v>3.72</v>
      </c>
      <c r="F185">
        <f>cleaned_data!O185</f>
        <v>19.149999999999999</v>
      </c>
      <c r="G185">
        <f t="shared" si="12"/>
        <v>1.2272952853598015E-5</v>
      </c>
      <c r="H185" t="str">
        <f t="shared" si="13"/>
        <v>N/A</v>
      </c>
      <c r="I185" t="str">
        <f t="shared" si="10"/>
        <v>$0-$0.05</v>
      </c>
      <c r="J185">
        <f t="shared" si="11"/>
        <v>7.6966666666666663</v>
      </c>
    </row>
    <row r="186" spans="1:10">
      <c r="A186" t="str">
        <f>cleaned_data!A186</f>
        <v>S.S. Lazio Fan Token</v>
      </c>
      <c r="B186" t="str">
        <f>cleaned_data!B186</f>
        <v>LAZIO</v>
      </c>
      <c r="C186">
        <f>cleaned_data!C186</f>
        <v>0.39600000000000002</v>
      </c>
      <c r="D186">
        <f>cleaned_data!D186</f>
        <v>0.1</v>
      </c>
      <c r="E186">
        <f>cleaned_data!N186</f>
        <v>2.46</v>
      </c>
      <c r="F186">
        <f>cleaned_data!O186</f>
        <v>17.47</v>
      </c>
      <c r="G186">
        <f t="shared" si="12"/>
        <v>2.1440173253925287E-2</v>
      </c>
      <c r="H186" t="str">
        <f t="shared" si="13"/>
        <v>N/A</v>
      </c>
      <c r="I186" t="str">
        <f t="shared" si="10"/>
        <v>$0.05-$0.5</v>
      </c>
      <c r="J186">
        <f t="shared" si="11"/>
        <v>6.6766666666666659</v>
      </c>
    </row>
    <row r="187" spans="1:10">
      <c r="A187" t="str">
        <f>cleaned_data!A187</f>
        <v>FAR Labs</v>
      </c>
      <c r="B187" t="str">
        <f>cleaned_data!B187</f>
        <v>FAR</v>
      </c>
      <c r="C187">
        <f>cleaned_data!C187</f>
        <v>1.0790000000000001E-3</v>
      </c>
      <c r="D187">
        <f>cleaned_data!D187</f>
        <v>0.01</v>
      </c>
      <c r="E187">
        <f>cleaned_data!N187</f>
        <v>0.32</v>
      </c>
      <c r="F187">
        <f>cleaned_data!O187</f>
        <v>13.64</v>
      </c>
      <c r="G187">
        <f t="shared" si="12"/>
        <v>7.3702185792349733E-5</v>
      </c>
      <c r="H187">
        <f t="shared" si="13"/>
        <v>1.5867647058823533E-3</v>
      </c>
      <c r="I187" t="str">
        <f t="shared" si="10"/>
        <v>$0-$0.05</v>
      </c>
      <c r="J187">
        <f t="shared" si="11"/>
        <v>4.6566666666666672</v>
      </c>
    </row>
    <row r="188" spans="1:10">
      <c r="A188" t="str">
        <f>cleaned_data!A188</f>
        <v>Manchester City Fan Token</v>
      </c>
      <c r="B188" t="str">
        <f>cleaned_data!B188</f>
        <v>CITY</v>
      </c>
      <c r="C188">
        <f>cleaned_data!C188</f>
        <v>0.372</v>
      </c>
      <c r="D188">
        <f>cleaned_data!D188</f>
        <v>0.08</v>
      </c>
      <c r="E188">
        <f>cleaned_data!N188</f>
        <v>0.4</v>
      </c>
      <c r="F188">
        <f>cleaned_data!O188</f>
        <v>8.48</v>
      </c>
      <c r="G188">
        <f t="shared" si="12"/>
        <v>3.9240506329113925E-2</v>
      </c>
      <c r="H188">
        <f t="shared" si="13"/>
        <v>0.62</v>
      </c>
      <c r="I188" t="str">
        <f t="shared" si="10"/>
        <v>$0.05-$0.5</v>
      </c>
      <c r="J188">
        <f t="shared" si="11"/>
        <v>2.9866666666666668</v>
      </c>
    </row>
    <row r="189" spans="1:10">
      <c r="A189" t="str">
        <f>cleaned_data!A189</f>
        <v>RHEA Finance</v>
      </c>
      <c r="B189" t="str">
        <f>cleaned_data!B189</f>
        <v>RHEA</v>
      </c>
      <c r="C189">
        <f>cleaned_data!C189</f>
        <v>1.3429999999999999E-2</v>
      </c>
      <c r="D189">
        <f>cleaned_data!D189</f>
        <v>0.22</v>
      </c>
      <c r="E189">
        <f>cleaned_data!N189</f>
        <v>2.68</v>
      </c>
      <c r="F189">
        <f>cleaned_data!O189</f>
        <v>19.059999999999999</v>
      </c>
      <c r="G189">
        <f t="shared" si="12"/>
        <v>6.6949152542372886E-4</v>
      </c>
      <c r="H189" t="str">
        <f t="shared" si="13"/>
        <v>N/A</v>
      </c>
      <c r="I189" t="str">
        <f t="shared" si="10"/>
        <v>$0-$0.05</v>
      </c>
      <c r="J189">
        <f t="shared" si="11"/>
        <v>7.32</v>
      </c>
    </row>
    <row r="190" spans="1:10">
      <c r="A190" t="str">
        <f>cleaned_data!A190</f>
        <v>Bytecoin</v>
      </c>
      <c r="B190" t="str">
        <f>cleaned_data!B190</f>
        <v>BCN</v>
      </c>
      <c r="C190" t="str">
        <f>cleaned_data!C190</f>
        <v>2.798e-05</v>
      </c>
      <c r="D190">
        <f>cleaned_data!D190</f>
        <v>0.01</v>
      </c>
      <c r="E190">
        <f>cleaned_data!N190</f>
        <v>0.02</v>
      </c>
      <c r="F190">
        <f>cleaned_data!O190</f>
        <v>0.06</v>
      </c>
      <c r="G190">
        <f t="shared" si="12"/>
        <v>2.6396226415094338E-5</v>
      </c>
      <c r="H190">
        <f t="shared" si="13"/>
        <v>2.8551020408163266E-5</v>
      </c>
      <c r="I190" t="str">
        <f t="shared" si="10"/>
        <v>&gt;$50</v>
      </c>
      <c r="J190">
        <f t="shared" si="11"/>
        <v>0.03</v>
      </c>
    </row>
    <row r="191" spans="1:10">
      <c r="A191" t="str">
        <f>cleaned_data!A141</f>
        <v>CyberLeek</v>
      </c>
      <c r="B191" t="str">
        <f>cleaned_data!B141</f>
        <v>CYBERLEEK</v>
      </c>
      <c r="C191">
        <f>cleaned_data!C141</f>
        <v>1.4409999999999999E-2</v>
      </c>
      <c r="D191">
        <f>cleaned_data!D141</f>
        <v>6.1</v>
      </c>
      <c r="E191">
        <f>cleaned_data!N141</f>
        <v>31.52</v>
      </c>
      <c r="F191">
        <f>cleaned_data!O141</f>
        <v>25536.22</v>
      </c>
      <c r="G191">
        <f t="shared" si="12"/>
        <v>5.6427441984679609E-7</v>
      </c>
      <c r="H191" t="str">
        <f t="shared" si="13"/>
        <v>N/A</v>
      </c>
      <c r="I191" t="str">
        <f t="shared" si="10"/>
        <v>$0-$0.05</v>
      </c>
      <c r="J191">
        <f t="shared" si="11"/>
        <v>8524.6133333333328</v>
      </c>
    </row>
    <row r="192" spans="1:10">
      <c r="A192" t="str">
        <f>cleaned_data!A192</f>
        <v>Kryll</v>
      </c>
      <c r="B192" t="str">
        <f>cleaned_data!B192</f>
        <v>KRL</v>
      </c>
      <c r="C192">
        <f>cleaned_data!C192</f>
        <v>0.1288</v>
      </c>
      <c r="D192">
        <f>cleaned_data!D192</f>
        <v>0</v>
      </c>
      <c r="E192">
        <f>cleaned_data!N192</f>
        <v>1.63</v>
      </c>
      <c r="F192">
        <f>cleaned_data!O192</f>
        <v>5.25</v>
      </c>
      <c r="G192">
        <f t="shared" si="12"/>
        <v>2.0608000000000001E-2</v>
      </c>
      <c r="H192" t="str">
        <f t="shared" si="13"/>
        <v>N/A</v>
      </c>
      <c r="I192" t="str">
        <f t="shared" si="10"/>
        <v>$0.05-$0.5</v>
      </c>
      <c r="J192">
        <f t="shared" si="11"/>
        <v>2.2933333333333334</v>
      </c>
    </row>
    <row r="193" spans="1:10">
      <c r="A193" t="str">
        <f>cleaned_data!A193</f>
        <v>Lingo</v>
      </c>
      <c r="B193" t="str">
        <f>cleaned_data!B193</f>
        <v>LINGO</v>
      </c>
      <c r="C193">
        <f>cleaned_data!C193</f>
        <v>1.055E-2</v>
      </c>
      <c r="D193">
        <f>cleaned_data!D193</f>
        <v>0.06</v>
      </c>
      <c r="E193">
        <f>cleaned_data!N193</f>
        <v>0.98</v>
      </c>
      <c r="F193">
        <f>cleaned_data!O193</f>
        <v>24.77</v>
      </c>
      <c r="G193">
        <f t="shared" si="12"/>
        <v>4.0939076445479242E-4</v>
      </c>
      <c r="H193">
        <f t="shared" si="13"/>
        <v>0.52749999999999952</v>
      </c>
      <c r="I193" t="str">
        <f t="shared" si="10"/>
        <v>$0-$0.05</v>
      </c>
      <c r="J193">
        <f t="shared" si="11"/>
        <v>8.6033333333333335</v>
      </c>
    </row>
    <row r="194" spans="1:10">
      <c r="A194" t="str">
        <f>cleaned_data!A194</f>
        <v>PoP Planet</v>
      </c>
      <c r="B194" t="str">
        <f>cleaned_data!B194</f>
        <v>P</v>
      </c>
      <c r="C194">
        <f>cleaned_data!C194</f>
        <v>3.6450000000000003E-2</v>
      </c>
      <c r="D194">
        <f>cleaned_data!D194</f>
        <v>0.06</v>
      </c>
      <c r="E194">
        <f>cleaned_data!N194</f>
        <v>5.8</v>
      </c>
      <c r="F194">
        <f>cleaned_data!O194</f>
        <v>19.93</v>
      </c>
      <c r="G194">
        <f t="shared" si="12"/>
        <v>1.7415193502150026E-3</v>
      </c>
      <c r="H194" t="str">
        <f t="shared" si="13"/>
        <v>N/A</v>
      </c>
      <c r="I194" t="str">
        <f t="shared" si="10"/>
        <v>$0-$0.05</v>
      </c>
      <c r="J194">
        <f t="shared" si="11"/>
        <v>8.5966666666666658</v>
      </c>
    </row>
    <row r="195" spans="1:10">
      <c r="A195" t="str">
        <f>cleaned_data!A195</f>
        <v>Direxion Semiconductor Bull 3X tokenized ETF (xStock)</v>
      </c>
      <c r="B195" t="str">
        <f>cleaned_data!B195</f>
        <v>SOXLx</v>
      </c>
      <c r="C195">
        <f>cleaned_data!C195</f>
        <v>116.08</v>
      </c>
      <c r="D195">
        <f>cleaned_data!D195</f>
        <v>0.76</v>
      </c>
      <c r="E195">
        <f>cleaned_data!N195</f>
        <v>1.68</v>
      </c>
      <c r="F195">
        <f>cleaned_data!O195</f>
        <v>20.34</v>
      </c>
      <c r="G195">
        <f t="shared" si="12"/>
        <v>5.4395501405810682</v>
      </c>
      <c r="H195" t="str">
        <f t="shared" si="13"/>
        <v>N/A</v>
      </c>
      <c r="I195" t="str">
        <f t="shared" ref="I195:I258" si="14">IF(C195&lt;=0.05,"$0-$0.05",
IF(C195&lt;=0.5,"$0.05-$0.5",
IF(C195&lt;=5,"$0.5-$5",
IF(C195&lt;=50,"$5-$50","&gt;$50"))))</f>
        <v>&gt;$50</v>
      </c>
      <c r="J195">
        <f t="shared" ref="J195:J258" si="15">AVERAGE(ABS(D195),ABS(E195),ABS(F195))</f>
        <v>7.5933333333333337</v>
      </c>
    </row>
    <row r="196" spans="1:10">
      <c r="A196" t="str">
        <f>cleaned_data!A196</f>
        <v>Mitosis</v>
      </c>
      <c r="B196" t="str">
        <f>cleaned_data!B196</f>
        <v>MITO</v>
      </c>
      <c r="C196">
        <f>cleaned_data!C196</f>
        <v>2.809E-2</v>
      </c>
      <c r="D196">
        <f>cleaned_data!D196</f>
        <v>0.51</v>
      </c>
      <c r="E196">
        <f>cleaned_data!N196</f>
        <v>0.46</v>
      </c>
      <c r="F196">
        <f>cleaned_data!O196</f>
        <v>10.35</v>
      </c>
      <c r="G196">
        <f t="shared" si="12"/>
        <v>2.4748898678414099E-3</v>
      </c>
      <c r="H196">
        <f t="shared" si="13"/>
        <v>5.2018518518518513E-2</v>
      </c>
      <c r="I196" t="str">
        <f t="shared" si="14"/>
        <v>$0-$0.05</v>
      </c>
      <c r="J196">
        <f t="shared" si="15"/>
        <v>3.7733333333333334</v>
      </c>
    </row>
    <row r="197" spans="1:10">
      <c r="A197" t="str">
        <f>cleaned_data!A197</f>
        <v>Truth</v>
      </c>
      <c r="B197" t="str">
        <f>cleaned_data!B197</f>
        <v>TRUU</v>
      </c>
      <c r="C197">
        <f>cleaned_data!C197</f>
        <v>3.3399999999999999E-4</v>
      </c>
      <c r="D197">
        <f>cleaned_data!D197</f>
        <v>1.72</v>
      </c>
      <c r="E197">
        <f>cleaned_data!N197</f>
        <v>4.3600000000000003</v>
      </c>
      <c r="F197">
        <f>cleaned_data!O197</f>
        <v>17.79</v>
      </c>
      <c r="G197">
        <f t="shared" si="12"/>
        <v>1.7775412453432677E-5</v>
      </c>
      <c r="H197" t="str">
        <f t="shared" si="13"/>
        <v>N/A</v>
      </c>
      <c r="I197" t="str">
        <f t="shared" si="14"/>
        <v>$0-$0.05</v>
      </c>
      <c r="J197">
        <f t="shared" si="15"/>
        <v>7.9566666666666661</v>
      </c>
    </row>
    <row r="198" spans="1:10">
      <c r="A198" t="str">
        <f>cleaned_data!A198</f>
        <v>Arsenal Fan Token</v>
      </c>
      <c r="B198" t="str">
        <f>cleaned_data!B198</f>
        <v>AFC</v>
      </c>
      <c r="C198">
        <f>cleaned_data!C198</f>
        <v>0.17150000000000001</v>
      </c>
      <c r="D198">
        <f>cleaned_data!D198</f>
        <v>0.13</v>
      </c>
      <c r="E198">
        <f>cleaned_data!N198</f>
        <v>0.13</v>
      </c>
      <c r="F198">
        <f>cleaned_data!O198</f>
        <v>4.21</v>
      </c>
      <c r="G198">
        <f t="shared" si="12"/>
        <v>3.2917466410748566E-2</v>
      </c>
      <c r="H198">
        <f t="shared" si="13"/>
        <v>0.19712643678160921</v>
      </c>
      <c r="I198" t="str">
        <f t="shared" si="14"/>
        <v>$0.05-$0.5</v>
      </c>
      <c r="J198">
        <f t="shared" si="15"/>
        <v>1.49</v>
      </c>
    </row>
    <row r="199" spans="1:10">
      <c r="A199" t="str">
        <f>cleaned_data!A199</f>
        <v>HOPR</v>
      </c>
      <c r="B199" t="str">
        <f>cleaned_data!B199</f>
        <v>HOPR</v>
      </c>
      <c r="C199">
        <f>cleaned_data!C199</f>
        <v>1.1690000000000001E-2</v>
      </c>
      <c r="D199">
        <f>cleaned_data!D199</f>
        <v>0</v>
      </c>
      <c r="E199">
        <f>cleaned_data!N199</f>
        <v>4.29</v>
      </c>
      <c r="F199">
        <f>cleaned_data!O199</f>
        <v>7.06</v>
      </c>
      <c r="G199">
        <f t="shared" si="12"/>
        <v>1.4503722084367248E-3</v>
      </c>
      <c r="H199" t="str">
        <f t="shared" si="13"/>
        <v>N/A</v>
      </c>
      <c r="I199" t="str">
        <f t="shared" si="14"/>
        <v>$0-$0.05</v>
      </c>
      <c r="J199">
        <f t="shared" si="15"/>
        <v>3.7833333333333332</v>
      </c>
    </row>
    <row r="200" spans="1:10">
      <c r="A200" t="str">
        <f>cleaned_data!A200</f>
        <v>???</v>
      </c>
      <c r="B200" t="str">
        <f>cleaned_data!B200</f>
        <v>???</v>
      </c>
      <c r="C200">
        <f>cleaned_data!C200</f>
        <v>3.9649999999999998E-3</v>
      </c>
      <c r="D200">
        <f>cleaned_data!D200</f>
        <v>0.42</v>
      </c>
      <c r="E200">
        <f>cleaned_data!N200</f>
        <v>3.8</v>
      </c>
      <c r="F200">
        <f>cleaned_data!O200</f>
        <v>0.61</v>
      </c>
      <c r="G200">
        <f t="shared" si="12"/>
        <v>2.4627329192546585E-3</v>
      </c>
      <c r="H200" t="str">
        <f t="shared" si="13"/>
        <v>N/A</v>
      </c>
      <c r="I200" t="str">
        <f t="shared" si="14"/>
        <v>$0-$0.05</v>
      </c>
      <c r="J200">
        <f t="shared" si="15"/>
        <v>1.61</v>
      </c>
    </row>
    <row r="201" spans="1:10">
      <c r="A201" t="str">
        <f>cleaned_data!A201</f>
        <v>Hivemapper</v>
      </c>
      <c r="B201" t="str">
        <f>cleaned_data!B201</f>
        <v>HONEY</v>
      </c>
      <c r="C201">
        <f>cleaned_data!C201</f>
        <v>6.4800000000000003E-4</v>
      </c>
      <c r="D201">
        <f>cleaned_data!D201</f>
        <v>1.45</v>
      </c>
      <c r="E201">
        <f>cleaned_data!N201</f>
        <v>3.77</v>
      </c>
      <c r="F201">
        <f>cleaned_data!O201</f>
        <v>15.26</v>
      </c>
      <c r="G201">
        <f t="shared" si="12"/>
        <v>3.9852398523985246E-5</v>
      </c>
      <c r="H201" t="str">
        <f t="shared" si="13"/>
        <v>N/A</v>
      </c>
      <c r="I201" t="str">
        <f t="shared" si="14"/>
        <v>$0-$0.05</v>
      </c>
      <c r="J201">
        <f t="shared" si="15"/>
        <v>6.8266666666666671</v>
      </c>
    </row>
    <row r="202" spans="1:10">
      <c r="A202" t="str">
        <f>cleaned_data!A202</f>
        <v>AMD Tokenised Stock (xStock)</v>
      </c>
      <c r="B202" t="str">
        <f>cleaned_data!B202</f>
        <v>AMDx</v>
      </c>
      <c r="C202">
        <f>cleaned_data!C202</f>
        <v>462.24</v>
      </c>
      <c r="D202">
        <f>cleaned_data!D202</f>
        <v>0.18</v>
      </c>
      <c r="E202">
        <f>cleaned_data!N202</f>
        <v>0.33</v>
      </c>
      <c r="F202">
        <f>cleaned_data!O202</f>
        <v>7.55</v>
      </c>
      <c r="G202">
        <f t="shared" si="12"/>
        <v>54.06315789473684</v>
      </c>
      <c r="H202">
        <f t="shared" si="13"/>
        <v>689.91044776119406</v>
      </c>
      <c r="I202" t="str">
        <f t="shared" si="14"/>
        <v>&gt;$50</v>
      </c>
      <c r="J202">
        <f t="shared" si="15"/>
        <v>2.686666666666667</v>
      </c>
    </row>
    <row r="203" spans="1:10">
      <c r="A203" t="str">
        <f>cleaned_data!A203</f>
        <v>VitaDAO</v>
      </c>
      <c r="B203" t="str">
        <f>cleaned_data!B203</f>
        <v>VITA</v>
      </c>
      <c r="C203">
        <f>cleaned_data!C203</f>
        <v>0.27279999999999999</v>
      </c>
      <c r="D203">
        <f>cleaned_data!D203</f>
        <v>0.7</v>
      </c>
      <c r="E203">
        <f>cleaned_data!N203</f>
        <v>3.78</v>
      </c>
      <c r="F203">
        <f>cleaned_data!O203</f>
        <v>46.46</v>
      </c>
      <c r="G203">
        <f t="shared" si="12"/>
        <v>5.7479983143699951E-3</v>
      </c>
      <c r="H203" t="str">
        <f t="shared" si="13"/>
        <v>N/A</v>
      </c>
      <c r="I203" t="str">
        <f t="shared" si="14"/>
        <v>$0.05-$0.5</v>
      </c>
      <c r="J203">
        <f t="shared" si="15"/>
        <v>16.98</v>
      </c>
    </row>
    <row r="204" spans="1:10">
      <c r="A204" t="str">
        <f>cleaned_data!A204</f>
        <v>Yee Token</v>
      </c>
      <c r="B204" t="str">
        <f>cleaned_data!B204</f>
        <v>YEE</v>
      </c>
      <c r="C204">
        <f>cleaned_data!C204</f>
        <v>3.9370000000000004E-3</v>
      </c>
      <c r="D204">
        <f>cleaned_data!D204</f>
        <v>0.44</v>
      </c>
      <c r="E204">
        <f>cleaned_data!N204</f>
        <v>3.71</v>
      </c>
      <c r="F204">
        <f>cleaned_data!O204</f>
        <v>44.81</v>
      </c>
      <c r="G204">
        <f t="shared" si="12"/>
        <v>8.5941934075529363E-5</v>
      </c>
      <c r="H204" t="str">
        <f t="shared" si="13"/>
        <v>N/A</v>
      </c>
      <c r="I204" t="str">
        <f t="shared" si="14"/>
        <v>$0-$0.05</v>
      </c>
      <c r="J204">
        <f t="shared" si="15"/>
        <v>16.32</v>
      </c>
    </row>
    <row r="205" spans="1:10">
      <c r="A205" t="str">
        <f>cleaned_data!A205</f>
        <v>Wexo</v>
      </c>
      <c r="B205" t="str">
        <f>cleaned_data!B205</f>
        <v>WEXO</v>
      </c>
      <c r="C205">
        <f>cleaned_data!C205</f>
        <v>1.341E-2</v>
      </c>
      <c r="D205">
        <f>cleaned_data!D205</f>
        <v>2.08</v>
      </c>
      <c r="E205">
        <f>cleaned_data!N205</f>
        <v>0.01</v>
      </c>
      <c r="F205">
        <f>cleaned_data!O205</f>
        <v>3.67</v>
      </c>
      <c r="G205">
        <f t="shared" si="12"/>
        <v>2.8715203426124196E-3</v>
      </c>
      <c r="H205">
        <f t="shared" si="13"/>
        <v>1.3545454545454546E-2</v>
      </c>
      <c r="I205" t="str">
        <f t="shared" si="14"/>
        <v>$0-$0.05</v>
      </c>
      <c r="J205">
        <f t="shared" si="15"/>
        <v>1.92</v>
      </c>
    </row>
    <row r="206" spans="1:10">
      <c r="A206" t="str">
        <f>cleaned_data!A206</f>
        <v>PlatON</v>
      </c>
      <c r="B206" t="str">
        <f>cleaned_data!B206</f>
        <v>LAT</v>
      </c>
      <c r="C206">
        <f>cleaned_data!C206</f>
        <v>5.6280000000000002E-4</v>
      </c>
      <c r="D206">
        <f>cleaned_data!D206</f>
        <v>0.19</v>
      </c>
      <c r="E206">
        <f>cleaned_data!N206</f>
        <v>5.44</v>
      </c>
      <c r="F206">
        <f>cleaned_data!O206</f>
        <v>9.39</v>
      </c>
      <c r="G206">
        <f t="shared" si="12"/>
        <v>5.4167468719923001E-5</v>
      </c>
      <c r="H206" t="str">
        <f t="shared" si="13"/>
        <v>N/A</v>
      </c>
      <c r="I206" t="str">
        <f t="shared" si="14"/>
        <v>$0-$0.05</v>
      </c>
      <c r="J206">
        <f t="shared" si="15"/>
        <v>5.0066666666666668</v>
      </c>
    </row>
    <row r="207" spans="1:10">
      <c r="A207" t="str">
        <f>cleaned_data!A207</f>
        <v>TrustSwap</v>
      </c>
      <c r="B207" t="str">
        <f>cleaned_data!B207</f>
        <v>SWAP</v>
      </c>
      <c r="C207">
        <f>cleaned_data!C207</f>
        <v>3.9170000000000003E-2</v>
      </c>
      <c r="D207">
        <f>cleaned_data!D207</f>
        <v>0.21</v>
      </c>
      <c r="E207">
        <f>cleaned_data!N207</f>
        <v>0.81</v>
      </c>
      <c r="F207">
        <f>cleaned_data!O207</f>
        <v>20.39</v>
      </c>
      <c r="G207">
        <f t="shared" si="12"/>
        <v>1.8312295465170642E-3</v>
      </c>
      <c r="H207">
        <f t="shared" si="13"/>
        <v>0.20615789473684218</v>
      </c>
      <c r="I207" t="str">
        <f t="shared" si="14"/>
        <v>$0-$0.05</v>
      </c>
      <c r="J207">
        <f t="shared" si="15"/>
        <v>7.1366666666666667</v>
      </c>
    </row>
    <row r="208" spans="1:10">
      <c r="A208" t="str">
        <f>cleaned_data!A208</f>
        <v>MetFi</v>
      </c>
      <c r="B208" t="str">
        <f>cleaned_data!B208</f>
        <v>METFI</v>
      </c>
      <c r="C208">
        <f>cleaned_data!C208</f>
        <v>1.1809999999999999E-2</v>
      </c>
      <c r="D208">
        <f>cleaned_data!D208</f>
        <v>0.05</v>
      </c>
      <c r="E208">
        <f>cleaned_data!N208</f>
        <v>0.72</v>
      </c>
      <c r="F208">
        <f>cleaned_data!O208</f>
        <v>16.39</v>
      </c>
      <c r="G208">
        <f t="shared" si="12"/>
        <v>6.7912593444508331E-4</v>
      </c>
      <c r="H208">
        <f t="shared" si="13"/>
        <v>4.2178571428571419E-2</v>
      </c>
      <c r="I208" t="str">
        <f t="shared" si="14"/>
        <v>$0-$0.05</v>
      </c>
      <c r="J208">
        <f t="shared" si="15"/>
        <v>5.72</v>
      </c>
    </row>
    <row r="209" spans="1:10">
      <c r="A209" t="str">
        <f>cleaned_data!A209</f>
        <v>Vertcoin</v>
      </c>
      <c r="B209" t="str">
        <f>cleaned_data!B209</f>
        <v>VTC</v>
      </c>
      <c r="C209">
        <f>cleaned_data!C209</f>
        <v>5.237E-2</v>
      </c>
      <c r="D209">
        <f>cleaned_data!D209</f>
        <v>0.09</v>
      </c>
      <c r="E209">
        <f>cleaned_data!N209</f>
        <v>3.36</v>
      </c>
      <c r="F209">
        <f>cleaned_data!O209</f>
        <v>23.22</v>
      </c>
      <c r="G209">
        <f t="shared" si="12"/>
        <v>2.1622625928984312E-3</v>
      </c>
      <c r="H209" t="str">
        <f t="shared" si="13"/>
        <v>N/A</v>
      </c>
      <c r="I209" t="str">
        <f t="shared" si="14"/>
        <v>$0.05-$0.5</v>
      </c>
      <c r="J209">
        <f t="shared" si="15"/>
        <v>8.8899999999999988</v>
      </c>
    </row>
    <row r="210" spans="1:10">
      <c r="A210" t="str">
        <f>cleaned_data!A210</f>
        <v>Aragon</v>
      </c>
      <c r="B210" t="str">
        <f>cleaned_data!B210</f>
        <v>ANT</v>
      </c>
      <c r="C210">
        <f>cleaned_data!C210</f>
        <v>9.0090000000000003E-2</v>
      </c>
      <c r="D210">
        <f>cleaned_data!D210</f>
        <v>0</v>
      </c>
      <c r="E210">
        <f>cleaned_data!N210</f>
        <v>14.21</v>
      </c>
      <c r="F210">
        <f>cleaned_data!O210</f>
        <v>2.5</v>
      </c>
      <c r="G210">
        <f t="shared" si="12"/>
        <v>2.5740000000000002E-2</v>
      </c>
      <c r="H210" t="str">
        <f t="shared" si="13"/>
        <v>N/A</v>
      </c>
      <c r="I210" t="str">
        <f t="shared" si="14"/>
        <v>$0.05-$0.5</v>
      </c>
      <c r="J210">
        <f t="shared" si="15"/>
        <v>5.57</v>
      </c>
    </row>
    <row r="211" spans="1:10">
      <c r="A211" t="str">
        <f>cleaned_data!A211</f>
        <v>Bitrue Coin</v>
      </c>
      <c r="B211" t="str">
        <f>cleaned_data!B211</f>
        <v>BTR</v>
      </c>
      <c r="C211">
        <f>cleaned_data!C211</f>
        <v>1.091E-2</v>
      </c>
      <c r="D211">
        <f>cleaned_data!D211</f>
        <v>0.45</v>
      </c>
      <c r="E211">
        <f>cleaned_data!N211</f>
        <v>4.47</v>
      </c>
      <c r="F211">
        <f>cleaned_data!O211</f>
        <v>18.149999999999999</v>
      </c>
      <c r="G211">
        <f t="shared" si="12"/>
        <v>5.6971279373368153E-4</v>
      </c>
      <c r="H211" t="str">
        <f t="shared" si="13"/>
        <v>N/A</v>
      </c>
      <c r="I211" t="str">
        <f t="shared" si="14"/>
        <v>$0-$0.05</v>
      </c>
      <c r="J211">
        <f t="shared" si="15"/>
        <v>7.69</v>
      </c>
    </row>
    <row r="212" spans="1:10">
      <c r="A212" t="str">
        <f>cleaned_data!A212</f>
        <v>League of Traders</v>
      </c>
      <c r="B212" t="str">
        <f>cleaned_data!B212</f>
        <v>LOT</v>
      </c>
      <c r="C212">
        <f>cleaned_data!C212</f>
        <v>6.411E-3</v>
      </c>
      <c r="D212">
        <f>cleaned_data!D212</f>
        <v>0.25</v>
      </c>
      <c r="E212">
        <f>cleaned_data!N212</f>
        <v>2.37</v>
      </c>
      <c r="F212">
        <f>cleaned_data!O212</f>
        <v>14.08</v>
      </c>
      <c r="G212">
        <f t="shared" si="12"/>
        <v>4.2513262599469499E-4</v>
      </c>
      <c r="H212" t="str">
        <f t="shared" si="13"/>
        <v>N/A</v>
      </c>
      <c r="I212" t="str">
        <f t="shared" si="14"/>
        <v>$0-$0.05</v>
      </c>
      <c r="J212">
        <f t="shared" si="15"/>
        <v>5.5666666666666664</v>
      </c>
    </row>
    <row r="213" spans="1:10">
      <c r="A213" t="str">
        <f>cleaned_data!A213</f>
        <v>Advanced Micro Devices Tokenized bStocks</v>
      </c>
      <c r="B213" t="str">
        <f>cleaned_data!B213</f>
        <v>AMDB</v>
      </c>
      <c r="C213">
        <f>cleaned_data!C213</f>
        <v>462.54</v>
      </c>
      <c r="D213">
        <f>cleaned_data!D213</f>
        <v>0.21</v>
      </c>
      <c r="E213">
        <f>cleaned_data!N213</f>
        <v>0.2</v>
      </c>
      <c r="F213">
        <f>cleaned_data!O213</f>
        <v>7.4</v>
      </c>
      <c r="G213">
        <f t="shared" si="12"/>
        <v>55.064285714285717</v>
      </c>
      <c r="H213">
        <f t="shared" si="13"/>
        <v>578.17499999999995</v>
      </c>
      <c r="I213" t="str">
        <f t="shared" si="14"/>
        <v>&gt;$50</v>
      </c>
      <c r="J213">
        <f t="shared" si="15"/>
        <v>2.6033333333333335</v>
      </c>
    </row>
    <row r="214" spans="1:10">
      <c r="A214" t="str">
        <f>cleaned_data!A214</f>
        <v>Grin</v>
      </c>
      <c r="B214" t="str">
        <f>cleaned_data!B214</f>
        <v>GRIN</v>
      </c>
      <c r="C214">
        <f>cleaned_data!C214</f>
        <v>1.306E-2</v>
      </c>
      <c r="D214">
        <f>cleaned_data!D214</f>
        <v>4.4000000000000004</v>
      </c>
      <c r="E214">
        <f>cleaned_data!N214</f>
        <v>4.5199999999999996</v>
      </c>
      <c r="F214">
        <f>cleaned_data!O214</f>
        <v>0.52</v>
      </c>
      <c r="G214">
        <f t="shared" si="12"/>
        <v>8.5921052631578957E-3</v>
      </c>
      <c r="H214" t="str">
        <f t="shared" si="13"/>
        <v>N/A</v>
      </c>
      <c r="I214" t="str">
        <f t="shared" si="14"/>
        <v>$0-$0.05</v>
      </c>
      <c r="J214">
        <f t="shared" si="15"/>
        <v>3.1466666666666665</v>
      </c>
    </row>
    <row r="215" spans="1:10">
      <c r="A215" t="str">
        <f>cleaned_data!A215</f>
        <v>iShares Core S&amp;P MidCap Tokenized ETF (Ondo)</v>
      </c>
      <c r="B215" t="str">
        <f>cleaned_data!B215</f>
        <v>IJHon</v>
      </c>
      <c r="C215">
        <f>cleaned_data!C215</f>
        <v>77.069999999999993</v>
      </c>
      <c r="D215">
        <f>cleaned_data!D215</f>
        <v>0.01</v>
      </c>
      <c r="E215">
        <f>cleaned_data!N215</f>
        <v>1.22</v>
      </c>
      <c r="F215">
        <f>cleaned_data!O215</f>
        <v>2.08</v>
      </c>
      <c r="G215">
        <f t="shared" si="12"/>
        <v>25.02272727272727</v>
      </c>
      <c r="H215" t="str">
        <f t="shared" si="13"/>
        <v>N/A</v>
      </c>
      <c r="I215" t="str">
        <f t="shared" si="14"/>
        <v>&gt;$50</v>
      </c>
      <c r="J215">
        <f t="shared" si="15"/>
        <v>1.1033333333333333</v>
      </c>
    </row>
    <row r="216" spans="1:10">
      <c r="A216" t="str">
        <f>cleaned_data!A216</f>
        <v>Odos</v>
      </c>
      <c r="B216" t="str">
        <f>cleaned_data!B216</f>
        <v>ODOS</v>
      </c>
      <c r="C216">
        <f>cleaned_data!C216</f>
        <v>8.3160000000000005E-4</v>
      </c>
      <c r="D216">
        <f>cleaned_data!D216</f>
        <v>0.73</v>
      </c>
      <c r="E216">
        <f>cleaned_data!N216</f>
        <v>2.2000000000000002</v>
      </c>
      <c r="F216">
        <f>cleaned_data!O216</f>
        <v>15.43</v>
      </c>
      <c r="G216">
        <f t="shared" si="12"/>
        <v>5.0614729153986613E-5</v>
      </c>
      <c r="H216" t="str">
        <f t="shared" si="13"/>
        <v>N/A</v>
      </c>
      <c r="I216" t="str">
        <f t="shared" si="14"/>
        <v>$0-$0.05</v>
      </c>
      <c r="J216">
        <f t="shared" si="15"/>
        <v>6.12</v>
      </c>
    </row>
    <row r="217" spans="1:10">
      <c r="A217" t="str">
        <f>cleaned_data!A217</f>
        <v>Games for a Living</v>
      </c>
      <c r="B217" t="str">
        <f>cleaned_data!B217</f>
        <v>GFAL</v>
      </c>
      <c r="C217">
        <f>cleaned_data!C217</f>
        <v>7.2610000000000003E-4</v>
      </c>
      <c r="D217">
        <f>cleaned_data!D217</f>
        <v>0</v>
      </c>
      <c r="E217">
        <f>cleaned_data!N217</f>
        <v>0.26</v>
      </c>
      <c r="F217">
        <f>cleaned_data!O217</f>
        <v>5.69</v>
      </c>
      <c r="G217">
        <f t="shared" si="12"/>
        <v>1.0853512705530642E-4</v>
      </c>
      <c r="H217">
        <f t="shared" si="13"/>
        <v>9.8121621621621619E-4</v>
      </c>
      <c r="I217" t="str">
        <f t="shared" si="14"/>
        <v>$0-$0.05</v>
      </c>
      <c r="J217">
        <f t="shared" si="15"/>
        <v>1.9833333333333334</v>
      </c>
    </row>
    <row r="218" spans="1:10">
      <c r="A218" t="str">
        <f>cleaned_data!A218</f>
        <v>ZenChain</v>
      </c>
      <c r="B218" t="str">
        <f>cleaned_data!B218</f>
        <v>ZTC</v>
      </c>
      <c r="C218">
        <f>cleaned_data!C218</f>
        <v>5.5449999999999998E-4</v>
      </c>
      <c r="D218">
        <f>cleaned_data!D218</f>
        <v>0.45</v>
      </c>
      <c r="E218">
        <f>cleaned_data!N218</f>
        <v>0.09</v>
      </c>
      <c r="F218">
        <f>cleaned_data!O218</f>
        <v>1.58</v>
      </c>
      <c r="G218">
        <f t="shared" si="12"/>
        <v>2.1492248062015502E-4</v>
      </c>
      <c r="H218">
        <f t="shared" si="13"/>
        <v>6.0934065934065932E-4</v>
      </c>
      <c r="I218" t="str">
        <f t="shared" si="14"/>
        <v>$0-$0.05</v>
      </c>
      <c r="J218">
        <f t="shared" si="15"/>
        <v>0.70666666666666667</v>
      </c>
    </row>
    <row r="219" spans="1:10">
      <c r="A219" t="str">
        <f>cleaned_data!A219</f>
        <v>Vanar Chain</v>
      </c>
      <c r="B219" t="str">
        <f>cleaned_data!B219</f>
        <v>VANRY</v>
      </c>
      <c r="C219">
        <f>cleaned_data!C219</f>
        <v>8.0579999999999996E-4</v>
      </c>
      <c r="D219">
        <f>cleaned_data!D219</f>
        <v>0.09</v>
      </c>
      <c r="E219">
        <f>cleaned_data!N219</f>
        <v>2.89</v>
      </c>
      <c r="F219">
        <f>cleaned_data!O219</f>
        <v>5.23</v>
      </c>
      <c r="G219">
        <f t="shared" si="12"/>
        <v>1.2934189406099518E-4</v>
      </c>
      <c r="H219" t="str">
        <f t="shared" si="13"/>
        <v>N/A</v>
      </c>
      <c r="I219" t="str">
        <f t="shared" si="14"/>
        <v>$0-$0.05</v>
      </c>
      <c r="J219">
        <f t="shared" si="15"/>
        <v>2.7366666666666668</v>
      </c>
    </row>
    <row r="220" spans="1:10">
      <c r="A220" t="str">
        <f>cleaned_data!A220</f>
        <v>PeiPei (ETH)</v>
      </c>
      <c r="B220" t="str">
        <f>cleaned_data!B220</f>
        <v>PEIPEI</v>
      </c>
      <c r="C220">
        <f>cleaned_data!C220</f>
        <v>8.7274000000000004E-2</v>
      </c>
      <c r="D220">
        <f>cleaned_data!D220</f>
        <v>1.42</v>
      </c>
      <c r="E220">
        <f>cleaned_data!N220</f>
        <v>2.56</v>
      </c>
      <c r="F220">
        <f>cleaned_data!O220</f>
        <v>21.99</v>
      </c>
      <c r="G220">
        <f t="shared" si="12"/>
        <v>3.7961722488038282E-3</v>
      </c>
      <c r="H220" t="str">
        <f t="shared" si="13"/>
        <v>N/A</v>
      </c>
      <c r="I220" t="str">
        <f t="shared" si="14"/>
        <v>$0.05-$0.5</v>
      </c>
      <c r="J220">
        <f t="shared" si="15"/>
        <v>8.6566666666666663</v>
      </c>
    </row>
    <row r="221" spans="1:10">
      <c r="A221" t="str">
        <f>cleaned_data!A221</f>
        <v>Star Atlas DAO</v>
      </c>
      <c r="B221" t="str">
        <f>cleaned_data!B221</f>
        <v>POLIS</v>
      </c>
      <c r="C221">
        <f>cleaned_data!C221</f>
        <v>1.038E-2</v>
      </c>
      <c r="D221">
        <f>cleaned_data!D221</f>
        <v>1.56</v>
      </c>
      <c r="E221">
        <f>cleaned_data!N221</f>
        <v>1.9</v>
      </c>
      <c r="F221">
        <f>cleaned_data!O221</f>
        <v>17.12</v>
      </c>
      <c r="G221">
        <f t="shared" si="12"/>
        <v>5.7284768211920533E-4</v>
      </c>
      <c r="H221" t="str">
        <f t="shared" si="13"/>
        <v>N/A</v>
      </c>
      <c r="I221" t="str">
        <f t="shared" si="14"/>
        <v>$0-$0.05</v>
      </c>
      <c r="J221">
        <f t="shared" si="15"/>
        <v>6.86</v>
      </c>
    </row>
    <row r="222" spans="1:10">
      <c r="A222" t="str">
        <f>cleaned_data!A227</f>
        <v>Aleph Zero</v>
      </c>
      <c r="B222" t="str">
        <f>cleaned_data!B227</f>
        <v>AZERO</v>
      </c>
      <c r="C222">
        <f>cleaned_data!C227</f>
        <v>9.1970000000000003E-3</v>
      </c>
      <c r="D222">
        <f>cleaned_data!D227</f>
        <v>5.71</v>
      </c>
      <c r="E222">
        <f>cleaned_data!N227</f>
        <v>1.82</v>
      </c>
      <c r="F222">
        <f>cleaned_data!O227</f>
        <v>10.119999999999999</v>
      </c>
      <c r="G222">
        <f t="shared" si="12"/>
        <v>8.270683453237411E-4</v>
      </c>
      <c r="H222" t="str">
        <f t="shared" si="13"/>
        <v>N/A</v>
      </c>
      <c r="I222" t="str">
        <f t="shared" si="14"/>
        <v>$0-$0.05</v>
      </c>
      <c r="J222">
        <f t="shared" si="15"/>
        <v>5.8833333333333329</v>
      </c>
    </row>
    <row r="223" spans="1:10">
      <c r="A223" t="str">
        <f>cleaned_data!A223</f>
        <v>Avalon Labs (AVL)</v>
      </c>
      <c r="B223" t="str">
        <f>cleaned_data!B223</f>
        <v>AVL</v>
      </c>
      <c r="C223">
        <f>cleaned_data!C223</f>
        <v>1.866E-2</v>
      </c>
      <c r="D223">
        <f>cleaned_data!D223</f>
        <v>3.55</v>
      </c>
      <c r="E223">
        <f>cleaned_data!N223</f>
        <v>2.5099999999999998</v>
      </c>
      <c r="F223">
        <f>cleaned_data!O223</f>
        <v>14.07</v>
      </c>
      <c r="G223">
        <f t="shared" si="12"/>
        <v>1.2382216323822163E-3</v>
      </c>
      <c r="H223" t="str">
        <f t="shared" si="13"/>
        <v>N/A</v>
      </c>
      <c r="I223" t="str">
        <f t="shared" si="14"/>
        <v>$0-$0.05</v>
      </c>
      <c r="J223">
        <f t="shared" si="15"/>
        <v>6.71</v>
      </c>
    </row>
    <row r="224" spans="1:10">
      <c r="A224" t="str">
        <f>cleaned_data!A224</f>
        <v>Cratos</v>
      </c>
      <c r="B224" t="str">
        <f>cleaned_data!B224</f>
        <v>CRTS</v>
      </c>
      <c r="C224" t="str">
        <f>cleaned_data!C224</f>
        <v>4.709e-05</v>
      </c>
      <c r="D224">
        <f>cleaned_data!D224</f>
        <v>0.9</v>
      </c>
      <c r="E224">
        <f>cleaned_data!N224</f>
        <v>3.03</v>
      </c>
      <c r="F224">
        <f>cleaned_data!O224</f>
        <v>20.82</v>
      </c>
      <c r="G224">
        <f t="shared" si="12"/>
        <v>2.1581118240146654E-6</v>
      </c>
      <c r="H224" t="str">
        <f t="shared" si="13"/>
        <v>N/A</v>
      </c>
      <c r="I224" t="str">
        <f t="shared" si="14"/>
        <v>&gt;$50</v>
      </c>
      <c r="J224">
        <f t="shared" si="15"/>
        <v>8.25</v>
      </c>
    </row>
    <row r="225" spans="1:10">
      <c r="A225" t="str">
        <f>cleaned_data!A225</f>
        <v>Shido Network</v>
      </c>
      <c r="B225" t="str">
        <f>cleaned_data!B225</f>
        <v>SHIDO</v>
      </c>
      <c r="C225">
        <f>cleaned_data!C225</f>
        <v>1.2689999999999999E-4</v>
      </c>
      <c r="D225">
        <f>cleaned_data!D225</f>
        <v>0.77</v>
      </c>
      <c r="E225">
        <f>cleaned_data!N225</f>
        <v>5.95</v>
      </c>
      <c r="F225">
        <f>cleaned_data!O225</f>
        <v>15.1</v>
      </c>
      <c r="G225">
        <f t="shared" si="12"/>
        <v>7.8819875776397507E-6</v>
      </c>
      <c r="H225" t="str">
        <f t="shared" si="13"/>
        <v>N/A</v>
      </c>
      <c r="I225" t="str">
        <f t="shared" si="14"/>
        <v>$0-$0.05</v>
      </c>
      <c r="J225">
        <f t="shared" si="15"/>
        <v>7.2733333333333334</v>
      </c>
    </row>
    <row r="226" spans="1:10">
      <c r="A226" t="str">
        <f>cleaned_data!A261</f>
        <v>Shark Cat</v>
      </c>
      <c r="B226" t="str">
        <f>cleaned_data!B261</f>
        <v>SC</v>
      </c>
      <c r="C226">
        <f>cleaned_data!C261</f>
        <v>1.5690000000000001E-3</v>
      </c>
      <c r="D226">
        <f>cleaned_data!D261</f>
        <v>5.65</v>
      </c>
      <c r="E226">
        <f>cleaned_data!N261</f>
        <v>38.1</v>
      </c>
      <c r="F226">
        <f>cleaned_data!O261</f>
        <v>73.209999999999994</v>
      </c>
      <c r="G226">
        <f t="shared" si="12"/>
        <v>2.1142703139738581E-5</v>
      </c>
      <c r="H226" t="str">
        <f t="shared" si="13"/>
        <v>N/A</v>
      </c>
      <c r="I226" t="str">
        <f t="shared" si="14"/>
        <v>$0-$0.05</v>
      </c>
      <c r="J226">
        <f t="shared" si="15"/>
        <v>38.986666666666665</v>
      </c>
    </row>
    <row r="227" spans="1:10">
      <c r="A227" t="str">
        <f>cleaned_data!A47</f>
        <v>Pons</v>
      </c>
      <c r="B227" t="str">
        <f>cleaned_data!B47</f>
        <v>PONS</v>
      </c>
      <c r="C227">
        <f>cleaned_data!C47</f>
        <v>8.9980000000000004E-2</v>
      </c>
      <c r="D227">
        <f>cleaned_data!D47</f>
        <v>5.64</v>
      </c>
      <c r="E227">
        <f>cleaned_data!N47</f>
        <v>29.03</v>
      </c>
      <c r="F227">
        <f>cleaned_data!O47</f>
        <v>213.73</v>
      </c>
      <c r="G227">
        <f t="shared" si="12"/>
        <v>4.1903786150048904E-4</v>
      </c>
      <c r="H227" t="str">
        <f t="shared" si="13"/>
        <v>N/A</v>
      </c>
      <c r="I227" t="str">
        <f t="shared" si="14"/>
        <v>$0.05-$0.5</v>
      </c>
      <c r="J227">
        <f t="shared" si="15"/>
        <v>82.8</v>
      </c>
    </row>
    <row r="228" spans="1:10">
      <c r="A228" t="str">
        <f>cleaned_data!A228</f>
        <v>Novo Nordisk Tokenized Stock (Ondo)</v>
      </c>
      <c r="B228" t="str">
        <f>cleaned_data!B228</f>
        <v>NVOon</v>
      </c>
      <c r="C228">
        <f>cleaned_data!C228</f>
        <v>48.05</v>
      </c>
      <c r="D228">
        <f>cleaned_data!D228</f>
        <v>0.2</v>
      </c>
      <c r="E228">
        <f>cleaned_data!N228</f>
        <v>0.56000000000000005</v>
      </c>
      <c r="F228">
        <f>cleaned_data!O228</f>
        <v>5.01</v>
      </c>
      <c r="G228">
        <f t="shared" si="12"/>
        <v>7.9950083194675541</v>
      </c>
      <c r="H228">
        <f t="shared" si="13"/>
        <v>109.20454545454547</v>
      </c>
      <c r="I228" t="str">
        <f t="shared" si="14"/>
        <v>$5-$50</v>
      </c>
      <c r="J228">
        <f t="shared" si="15"/>
        <v>1.9233333333333331</v>
      </c>
    </row>
    <row r="229" spans="1:10">
      <c r="A229" t="str">
        <f>cleaned_data!A229</f>
        <v>Immunefi</v>
      </c>
      <c r="B229" t="str">
        <f>cleaned_data!B229</f>
        <v>IMU</v>
      </c>
      <c r="C229">
        <f>cleaned_data!C229</f>
        <v>2.3149999999999998E-3</v>
      </c>
      <c r="D229">
        <f>cleaned_data!D229</f>
        <v>1.89</v>
      </c>
      <c r="E229">
        <f>cleaned_data!N229</f>
        <v>0.57999999999999996</v>
      </c>
      <c r="F229">
        <f>cleaned_data!O229</f>
        <v>4.2300000000000004</v>
      </c>
      <c r="G229">
        <f t="shared" si="12"/>
        <v>4.4263862332695979E-4</v>
      </c>
      <c r="H229">
        <f t="shared" si="13"/>
        <v>5.5119047619047613E-3</v>
      </c>
      <c r="I229" t="str">
        <f t="shared" si="14"/>
        <v>$0-$0.05</v>
      </c>
      <c r="J229">
        <f t="shared" si="15"/>
        <v>2.2333333333333334</v>
      </c>
    </row>
    <row r="230" spans="1:10">
      <c r="A230" t="str">
        <f>cleaned_data!A230</f>
        <v>Not Pixel</v>
      </c>
      <c r="B230" t="str">
        <f>cleaned_data!B230</f>
        <v>PX</v>
      </c>
      <c r="C230">
        <f>cleaned_data!C230</f>
        <v>1.239E-2</v>
      </c>
      <c r="D230">
        <f>cleaned_data!D230</f>
        <v>2.91</v>
      </c>
      <c r="E230">
        <f>cleaned_data!N230</f>
        <v>5.4</v>
      </c>
      <c r="F230">
        <f>cleaned_data!O230</f>
        <v>12.13</v>
      </c>
      <c r="G230">
        <f t="shared" si="12"/>
        <v>9.4364051789794354E-4</v>
      </c>
      <c r="H230" t="str">
        <f t="shared" si="13"/>
        <v>N/A</v>
      </c>
      <c r="I230" t="str">
        <f t="shared" si="14"/>
        <v>$0-$0.05</v>
      </c>
      <c r="J230">
        <f t="shared" si="15"/>
        <v>6.8133333333333335</v>
      </c>
    </row>
    <row r="231" spans="1:10">
      <c r="A231" t="str">
        <f>cleaned_data!A231</f>
        <v>World of Dypians</v>
      </c>
      <c r="B231" t="str">
        <f>cleaned_data!B231</f>
        <v>WOD</v>
      </c>
      <c r="C231">
        <f>cleaned_data!C231</f>
        <v>4.1139999999999996E-3</v>
      </c>
      <c r="D231">
        <f>cleaned_data!D231</f>
        <v>3.52</v>
      </c>
      <c r="E231">
        <f>cleaned_data!N231</f>
        <v>3.22</v>
      </c>
      <c r="F231">
        <f>cleaned_data!O231</f>
        <v>0.33</v>
      </c>
      <c r="G231">
        <f t="shared" si="12"/>
        <v>3.0932330827067663E-3</v>
      </c>
      <c r="H231" t="str">
        <f t="shared" si="13"/>
        <v>N/A</v>
      </c>
      <c r="I231" t="str">
        <f t="shared" si="14"/>
        <v>$0-$0.05</v>
      </c>
      <c r="J231">
        <f t="shared" si="15"/>
        <v>2.3566666666666669</v>
      </c>
    </row>
    <row r="232" spans="1:10">
      <c r="A232" t="str">
        <f>cleaned_data!A232</f>
        <v>Global X DRAM ETF Tokenized Stock (Reality)</v>
      </c>
      <c r="B232" t="str">
        <f>cleaned_data!B232</f>
        <v>rDRAM</v>
      </c>
      <c r="C232">
        <f>cleaned_data!C232</f>
        <v>55.62</v>
      </c>
      <c r="D232">
        <f>cleaned_data!D232</f>
        <v>7.0000000000000007E-2</v>
      </c>
      <c r="E232">
        <f>cleaned_data!N232</f>
        <v>0.2</v>
      </c>
      <c r="F232">
        <f>cleaned_data!O232</f>
        <v>4.3899999999999997</v>
      </c>
      <c r="G232">
        <f t="shared" si="12"/>
        <v>10.319109461966605</v>
      </c>
      <c r="H232">
        <f t="shared" si="13"/>
        <v>69.524999999999991</v>
      </c>
      <c r="I232" t="str">
        <f t="shared" si="14"/>
        <v>&gt;$50</v>
      </c>
      <c r="J232">
        <f t="shared" si="15"/>
        <v>1.5533333333333335</v>
      </c>
    </row>
    <row r="233" spans="1:10">
      <c r="A233" t="str">
        <f>cleaned_data!A233</f>
        <v>Oracle tokenized stock (xStock)</v>
      </c>
      <c r="B233" t="str">
        <f>cleaned_data!B233</f>
        <v>ORCLX</v>
      </c>
      <c r="C233">
        <f>cleaned_data!C233</f>
        <v>143.54</v>
      </c>
      <c r="D233">
        <f>cleaned_data!D233</f>
        <v>0.01</v>
      </c>
      <c r="E233">
        <f>cleaned_data!N233</f>
        <v>1.02</v>
      </c>
      <c r="F233">
        <f>cleaned_data!O233</f>
        <v>0.06</v>
      </c>
      <c r="G233">
        <f t="shared" si="12"/>
        <v>135.41509433962264</v>
      </c>
      <c r="H233" t="str">
        <f t="shared" si="13"/>
        <v>N/A</v>
      </c>
      <c r="I233" t="str">
        <f t="shared" si="14"/>
        <v>&gt;$50</v>
      </c>
      <c r="J233">
        <f t="shared" si="15"/>
        <v>0.36333333333333334</v>
      </c>
    </row>
    <row r="234" spans="1:10">
      <c r="A234" t="str">
        <f>cleaned_data!A234</f>
        <v>Mythos</v>
      </c>
      <c r="B234" t="str">
        <f>cleaned_data!B234</f>
        <v>MYTH</v>
      </c>
      <c r="C234">
        <f>cleaned_data!C234</f>
        <v>2.7899999999999999E-3</v>
      </c>
      <c r="D234">
        <f>cleaned_data!D234</f>
        <v>0.01</v>
      </c>
      <c r="E234">
        <f>cleaned_data!N234</f>
        <v>0.4</v>
      </c>
      <c r="F234">
        <f>cleaned_data!O234</f>
        <v>16.2</v>
      </c>
      <c r="G234">
        <f t="shared" si="12"/>
        <v>1.6220930232558139E-4</v>
      </c>
      <c r="H234">
        <f t="shared" si="13"/>
        <v>4.6500000000000005E-3</v>
      </c>
      <c r="I234" t="str">
        <f t="shared" si="14"/>
        <v>$0-$0.05</v>
      </c>
      <c r="J234">
        <f t="shared" si="15"/>
        <v>5.5366666666666662</v>
      </c>
    </row>
    <row r="235" spans="1:10">
      <c r="A235" t="str">
        <f>cleaned_data!A235</f>
        <v>Validity</v>
      </c>
      <c r="B235" t="str">
        <f>cleaned_data!B235</f>
        <v>VAL</v>
      </c>
      <c r="C235">
        <f>cleaned_data!C235</f>
        <v>0.46960000000000002</v>
      </c>
      <c r="D235">
        <f>cleaned_data!D235</f>
        <v>0.21</v>
      </c>
      <c r="E235">
        <f>cleaned_data!N235</f>
        <v>4.57</v>
      </c>
      <c r="F235">
        <f>cleaned_data!O235</f>
        <v>7.07</v>
      </c>
      <c r="G235">
        <f t="shared" si="12"/>
        <v>5.8190830235439903E-2</v>
      </c>
      <c r="H235" t="str">
        <f t="shared" si="13"/>
        <v>N/A</v>
      </c>
      <c r="I235" t="str">
        <f t="shared" si="14"/>
        <v>$0.05-$0.5</v>
      </c>
      <c r="J235">
        <f t="shared" si="15"/>
        <v>3.9500000000000006</v>
      </c>
    </row>
    <row r="236" spans="1:10">
      <c r="A236" t="str">
        <f>cleaned_data!A236</f>
        <v>Aleph Cloud</v>
      </c>
      <c r="B236" t="str">
        <f>cleaned_data!B236</f>
        <v>ALEPH</v>
      </c>
      <c r="C236">
        <f>cleaned_data!C236</f>
        <v>9.6659999999999992E-3</v>
      </c>
      <c r="D236">
        <f>cleaned_data!D236</f>
        <v>0.89</v>
      </c>
      <c r="E236">
        <f>cleaned_data!N236</f>
        <v>5.45</v>
      </c>
      <c r="F236">
        <f>cleaned_data!O236</f>
        <v>3.01</v>
      </c>
      <c r="G236">
        <f t="shared" si="12"/>
        <v>2.4104738154613467E-3</v>
      </c>
      <c r="H236" t="str">
        <f t="shared" si="13"/>
        <v>N/A</v>
      </c>
      <c r="I236" t="str">
        <f t="shared" si="14"/>
        <v>$0-$0.05</v>
      </c>
      <c r="J236">
        <f t="shared" si="15"/>
        <v>3.1166666666666667</v>
      </c>
    </row>
    <row r="237" spans="1:10">
      <c r="A237" t="str">
        <f>cleaned_data!A237</f>
        <v>Russell</v>
      </c>
      <c r="B237" t="str">
        <f>cleaned_data!B237</f>
        <v>RUSSELL</v>
      </c>
      <c r="C237">
        <f>cleaned_data!C237</f>
        <v>2.4559999999999998E-3</v>
      </c>
      <c r="D237">
        <f>cleaned_data!D237</f>
        <v>5.14</v>
      </c>
      <c r="E237">
        <f>cleaned_data!N237</f>
        <v>13.93</v>
      </c>
      <c r="F237">
        <f>cleaned_data!O237</f>
        <v>33.57</v>
      </c>
      <c r="G237">
        <f t="shared" si="12"/>
        <v>7.1044258027191199E-5</v>
      </c>
      <c r="H237" t="str">
        <f t="shared" si="13"/>
        <v>N/A</v>
      </c>
      <c r="I237" t="str">
        <f t="shared" si="14"/>
        <v>$0-$0.05</v>
      </c>
      <c r="J237">
        <f t="shared" si="15"/>
        <v>17.546666666666667</v>
      </c>
    </row>
    <row r="238" spans="1:10">
      <c r="A238" t="str">
        <f>cleaned_data!A238</f>
        <v>Zeus Network</v>
      </c>
      <c r="B238" t="str">
        <f>cleaned_data!B238</f>
        <v>ZEUS</v>
      </c>
      <c r="C238">
        <f>cleaned_data!C238</f>
        <v>2.5579999999999999E-3</v>
      </c>
      <c r="D238">
        <f>cleaned_data!D238</f>
        <v>0.1</v>
      </c>
      <c r="E238">
        <f>cleaned_data!N238</f>
        <v>2.73</v>
      </c>
      <c r="F238">
        <f>cleaned_data!O238</f>
        <v>13.51</v>
      </c>
      <c r="G238">
        <f t="shared" si="12"/>
        <v>1.762922122674018E-4</v>
      </c>
      <c r="H238" t="str">
        <f t="shared" si="13"/>
        <v>N/A</v>
      </c>
      <c r="I238" t="str">
        <f t="shared" si="14"/>
        <v>$0-$0.05</v>
      </c>
      <c r="J238">
        <f t="shared" si="15"/>
        <v>5.4466666666666663</v>
      </c>
    </row>
    <row r="239" spans="1:10">
      <c r="A239" t="str">
        <f>cleaned_data!A239</f>
        <v>CEEK VR</v>
      </c>
      <c r="B239" t="str">
        <f>cleaned_data!B239</f>
        <v>CEEK</v>
      </c>
      <c r="C239">
        <f>cleaned_data!C239</f>
        <v>2.9520000000000002E-3</v>
      </c>
      <c r="D239">
        <f>cleaned_data!D239</f>
        <v>1.41</v>
      </c>
      <c r="E239">
        <f>cleaned_data!N239</f>
        <v>2.63</v>
      </c>
      <c r="F239">
        <f>cleaned_data!O239</f>
        <v>13.99</v>
      </c>
      <c r="G239">
        <f t="shared" ref="G239:G261" si="16">C239/(1+F239)</f>
        <v>1.969312875250167E-4</v>
      </c>
      <c r="H239" t="str">
        <f t="shared" ref="H239:H261" si="17">IF(OR(E239&gt;=1,E239&lt;0),"N/A",C239/(1-E239))</f>
        <v>N/A</v>
      </c>
      <c r="I239" t="str">
        <f t="shared" si="14"/>
        <v>$0-$0.05</v>
      </c>
      <c r="J239">
        <f t="shared" si="15"/>
        <v>6.0100000000000007</v>
      </c>
    </row>
    <row r="240" spans="1:10">
      <c r="A240" t="str">
        <f>cleaned_data!A240</f>
        <v>OneFootball Credits</v>
      </c>
      <c r="B240" t="str">
        <f>cleaned_data!B240</f>
        <v>OFC</v>
      </c>
      <c r="C240">
        <f>cleaned_data!C240</f>
        <v>8.9669999999999993E-3</v>
      </c>
      <c r="D240">
        <f>cleaned_data!D240</f>
        <v>0.72</v>
      </c>
      <c r="E240">
        <f>cleaned_data!N240</f>
        <v>1.73</v>
      </c>
      <c r="F240">
        <f>cleaned_data!O240</f>
        <v>3.67</v>
      </c>
      <c r="G240">
        <f t="shared" si="16"/>
        <v>1.9201284796573875E-3</v>
      </c>
      <c r="H240" t="str">
        <f t="shared" si="17"/>
        <v>N/A</v>
      </c>
      <c r="I240" t="str">
        <f t="shared" si="14"/>
        <v>$0-$0.05</v>
      </c>
      <c r="J240">
        <f t="shared" si="15"/>
        <v>2.04</v>
      </c>
    </row>
    <row r="241" spans="1:10">
      <c r="A241" t="str">
        <f>cleaned_data!A241</f>
        <v>REI Network</v>
      </c>
      <c r="B241" t="str">
        <f>cleaned_data!B241</f>
        <v>REI</v>
      </c>
      <c r="C241">
        <f>cleaned_data!C241</f>
        <v>2.49E-3</v>
      </c>
      <c r="D241">
        <f>cleaned_data!D241</f>
        <v>0.61</v>
      </c>
      <c r="E241">
        <f>cleaned_data!N241</f>
        <v>24.39</v>
      </c>
      <c r="F241">
        <f>cleaned_data!O241</f>
        <v>74.989999999999995</v>
      </c>
      <c r="G241">
        <f t="shared" si="16"/>
        <v>3.2767469403868931E-5</v>
      </c>
      <c r="H241" t="str">
        <f t="shared" si="17"/>
        <v>N/A</v>
      </c>
      <c r="I241" t="str">
        <f t="shared" si="14"/>
        <v>$0-$0.05</v>
      </c>
      <c r="J241">
        <f t="shared" si="15"/>
        <v>33.33</v>
      </c>
    </row>
    <row r="242" spans="1:10">
      <c r="A242" t="str">
        <f>cleaned_data!A242</f>
        <v>Blockchain Foundation for Innovation &amp; Collaboration</v>
      </c>
      <c r="B242" t="str">
        <f>cleaned_data!B242</f>
        <v>BFIC</v>
      </c>
      <c r="C242">
        <f>cleaned_data!C242</f>
        <v>0.18490000000000001</v>
      </c>
      <c r="D242">
        <f>cleaned_data!D242</f>
        <v>0</v>
      </c>
      <c r="E242">
        <f>cleaned_data!N242</f>
        <v>0</v>
      </c>
      <c r="F242">
        <f>cleaned_data!O242</f>
        <v>7.0000000000000007E-2</v>
      </c>
      <c r="G242">
        <f t="shared" si="16"/>
        <v>0.172803738317757</v>
      </c>
      <c r="H242">
        <f t="shared" si="17"/>
        <v>0.18490000000000001</v>
      </c>
      <c r="I242" t="str">
        <f t="shared" si="14"/>
        <v>$0.05-$0.5</v>
      </c>
      <c r="J242">
        <f t="shared" si="15"/>
        <v>2.3333333333333334E-2</v>
      </c>
    </row>
    <row r="243" spans="1:10">
      <c r="A243" t="str">
        <f>cleaned_data!A243</f>
        <v>WINR Protocol</v>
      </c>
      <c r="B243" t="str">
        <f>cleaned_data!B243</f>
        <v>WINR</v>
      </c>
      <c r="C243">
        <f>cleaned_data!C243</f>
        <v>2.7299999999999998E-3</v>
      </c>
      <c r="D243">
        <f>cleaned_data!D243</f>
        <v>1.67</v>
      </c>
      <c r="E243">
        <f>cleaned_data!N243</f>
        <v>11.92</v>
      </c>
      <c r="F243">
        <f>cleaned_data!O243</f>
        <v>21.88</v>
      </c>
      <c r="G243">
        <f t="shared" si="16"/>
        <v>1.1931818181818182E-4</v>
      </c>
      <c r="H243" t="str">
        <f t="shared" si="17"/>
        <v>N/A</v>
      </c>
      <c r="I243" t="str">
        <f t="shared" si="14"/>
        <v>$0-$0.05</v>
      </c>
      <c r="J243">
        <f t="shared" si="15"/>
        <v>11.823333333333332</v>
      </c>
    </row>
    <row r="244" spans="1:10">
      <c r="A244" t="str">
        <f>cleaned_data!A244</f>
        <v>ProShares UltraPro QQQ Tokenized bStocks</v>
      </c>
      <c r="B244" t="str">
        <f>cleaned_data!B244</f>
        <v>TQQQB</v>
      </c>
      <c r="C244">
        <f>cleaned_data!C244</f>
        <v>70.16</v>
      </c>
      <c r="D244">
        <f>cleaned_data!D244</f>
        <v>0.33</v>
      </c>
      <c r="E244">
        <f>cleaned_data!N244</f>
        <v>0.98</v>
      </c>
      <c r="F244">
        <f>cleaned_data!O244</f>
        <v>6.09</v>
      </c>
      <c r="G244">
        <f t="shared" si="16"/>
        <v>9.8956276445698155</v>
      </c>
      <c r="H244">
        <f t="shared" si="17"/>
        <v>3507.9999999999968</v>
      </c>
      <c r="I244" t="str">
        <f t="shared" si="14"/>
        <v>&gt;$50</v>
      </c>
      <c r="J244">
        <f t="shared" si="15"/>
        <v>2.4666666666666668</v>
      </c>
    </row>
    <row r="245" spans="1:10">
      <c r="A245" t="str">
        <f>cleaned_data!A245</f>
        <v>The Official 67 Coin</v>
      </c>
      <c r="B245">
        <f>cleaned_data!B245</f>
        <v>67</v>
      </c>
      <c r="C245">
        <f>cleaned_data!C245</f>
        <v>1.931E-3</v>
      </c>
      <c r="D245">
        <f>cleaned_data!D245</f>
        <v>0.78</v>
      </c>
      <c r="E245">
        <f>cleaned_data!N245</f>
        <v>13.02</v>
      </c>
      <c r="F245">
        <f>cleaned_data!O245</f>
        <v>89.07</v>
      </c>
      <c r="G245">
        <f t="shared" si="16"/>
        <v>2.1438880870434107E-5</v>
      </c>
      <c r="H245" t="str">
        <f t="shared" si="17"/>
        <v>N/A</v>
      </c>
      <c r="I245" t="str">
        <f t="shared" si="14"/>
        <v>$0-$0.05</v>
      </c>
      <c r="J245">
        <f t="shared" si="15"/>
        <v>34.29</v>
      </c>
    </row>
    <row r="246" spans="1:10">
      <c r="A246" t="str">
        <f>cleaned_data!A246</f>
        <v>Tether EURt</v>
      </c>
      <c r="B246" t="str">
        <f>cleaned_data!B246</f>
        <v>EURt</v>
      </c>
      <c r="C246">
        <f>cleaned_data!C246</f>
        <v>5.296E-2</v>
      </c>
      <c r="D246">
        <f>cleaned_data!D246</f>
        <v>0</v>
      </c>
      <c r="E246">
        <f>cleaned_data!N246</f>
        <v>0</v>
      </c>
      <c r="F246">
        <f>cleaned_data!O246</f>
        <v>4.71</v>
      </c>
      <c r="G246">
        <f t="shared" si="16"/>
        <v>9.2749562171628719E-3</v>
      </c>
      <c r="H246">
        <f t="shared" si="17"/>
        <v>5.296E-2</v>
      </c>
      <c r="I246" t="str">
        <f t="shared" si="14"/>
        <v>$0.05-$0.5</v>
      </c>
      <c r="J246">
        <f t="shared" si="15"/>
        <v>1.57</v>
      </c>
    </row>
    <row r="247" spans="1:10">
      <c r="A247" t="str">
        <f>cleaned_data!A247</f>
        <v>ﾆternity</v>
      </c>
      <c r="B247" t="str">
        <f>cleaned_data!B247</f>
        <v>AE</v>
      </c>
      <c r="C247">
        <f>cleaned_data!C247</f>
        <v>4.9899999999999996E-3</v>
      </c>
      <c r="D247">
        <f>cleaned_data!D247</f>
        <v>0.03</v>
      </c>
      <c r="E247">
        <f>cleaned_data!N247</f>
        <v>7.0000000000000007E-2</v>
      </c>
      <c r="F247">
        <f>cleaned_data!O247</f>
        <v>3.55</v>
      </c>
      <c r="G247">
        <f t="shared" si="16"/>
        <v>1.0967032967032966E-3</v>
      </c>
      <c r="H247">
        <f t="shared" si="17"/>
        <v>5.365591397849462E-3</v>
      </c>
      <c r="I247" t="str">
        <f t="shared" si="14"/>
        <v>$0-$0.05</v>
      </c>
      <c r="J247">
        <f t="shared" si="15"/>
        <v>1.2166666666666666</v>
      </c>
    </row>
    <row r="248" spans="1:10">
      <c r="A248" t="str">
        <f>cleaned_data!A248</f>
        <v>Nya</v>
      </c>
      <c r="B248" t="str">
        <f>cleaned_data!B248</f>
        <v>NYA</v>
      </c>
      <c r="C248">
        <f>cleaned_data!C248</f>
        <v>7.5439999999999993E-2</v>
      </c>
      <c r="D248">
        <f>cleaned_data!D248</f>
        <v>0.8</v>
      </c>
      <c r="E248">
        <f>cleaned_data!N248</f>
        <v>3.7</v>
      </c>
      <c r="F248">
        <f>cleaned_data!O248</f>
        <v>31.12</v>
      </c>
      <c r="G248">
        <f t="shared" si="16"/>
        <v>2.3486924034869234E-3</v>
      </c>
      <c r="H248" t="str">
        <f t="shared" si="17"/>
        <v>N/A</v>
      </c>
      <c r="I248" t="str">
        <f t="shared" si="14"/>
        <v>$0.05-$0.5</v>
      </c>
      <c r="J248">
        <f t="shared" si="15"/>
        <v>11.873333333333335</v>
      </c>
    </row>
    <row r="249" spans="1:10">
      <c r="A249" t="str">
        <f>cleaned_data!A249</f>
        <v>BioPassport Token</v>
      </c>
      <c r="B249" t="str">
        <f>cleaned_data!B249</f>
        <v>BIOT</v>
      </c>
      <c r="C249">
        <f>cleaned_data!C249</f>
        <v>2.174E-4</v>
      </c>
      <c r="D249">
        <f>cleaned_data!D249</f>
        <v>0.01</v>
      </c>
      <c r="E249">
        <f>cleaned_data!N249</f>
        <v>1.34</v>
      </c>
      <c r="F249">
        <f>cleaned_data!O249</f>
        <v>17.600000000000001</v>
      </c>
      <c r="G249">
        <f t="shared" si="16"/>
        <v>1.1688172043010752E-5</v>
      </c>
      <c r="H249" t="str">
        <f t="shared" si="17"/>
        <v>N/A</v>
      </c>
      <c r="I249" t="str">
        <f t="shared" si="14"/>
        <v>$0-$0.05</v>
      </c>
      <c r="J249">
        <f t="shared" si="15"/>
        <v>6.3166666666666673</v>
      </c>
    </row>
    <row r="250" spans="1:10">
      <c r="A250" t="str">
        <f>cleaned_data!A250</f>
        <v>DAR Open Network</v>
      </c>
      <c r="B250" t="str">
        <f>cleaned_data!B250</f>
        <v>D</v>
      </c>
      <c r="C250">
        <f>cleaned_data!C250</f>
        <v>2.5660000000000001E-3</v>
      </c>
      <c r="D250">
        <f>cleaned_data!D250</f>
        <v>1.38</v>
      </c>
      <c r="E250">
        <f>cleaned_data!N250</f>
        <v>10.33</v>
      </c>
      <c r="F250">
        <f>cleaned_data!O250</f>
        <v>32.619999999999997</v>
      </c>
      <c r="G250">
        <f t="shared" si="16"/>
        <v>7.6323616894705546E-5</v>
      </c>
      <c r="H250" t="str">
        <f t="shared" si="17"/>
        <v>N/A</v>
      </c>
      <c r="I250" t="str">
        <f t="shared" si="14"/>
        <v>$0-$0.05</v>
      </c>
      <c r="J250">
        <f t="shared" si="15"/>
        <v>14.776666666666666</v>
      </c>
    </row>
    <row r="251" spans="1:10">
      <c r="A251" t="str">
        <f>cleaned_data!A251</f>
        <v>Verasity</v>
      </c>
      <c r="B251" t="str">
        <f>cleaned_data!B251</f>
        <v>VRA</v>
      </c>
      <c r="C251" t="str">
        <f>cleaned_data!C251</f>
        <v>2.036e-05</v>
      </c>
      <c r="D251">
        <f>cleaned_data!D251</f>
        <v>0.11</v>
      </c>
      <c r="E251">
        <f>cleaned_data!N251</f>
        <v>11.14</v>
      </c>
      <c r="F251">
        <f>cleaned_data!O251</f>
        <v>78.89</v>
      </c>
      <c r="G251">
        <f t="shared" si="16"/>
        <v>2.5485041932657405E-7</v>
      </c>
      <c r="H251" t="str">
        <f t="shared" si="17"/>
        <v>N/A</v>
      </c>
      <c r="I251" t="str">
        <f t="shared" si="14"/>
        <v>&gt;$50</v>
      </c>
      <c r="J251">
        <f t="shared" si="15"/>
        <v>30.046666666666667</v>
      </c>
    </row>
    <row r="252" spans="1:10">
      <c r="A252" t="str">
        <f>cleaned_data!A252</f>
        <v>Scamcoin</v>
      </c>
      <c r="B252" t="str">
        <f>cleaned_data!B252</f>
        <v>SCAM</v>
      </c>
      <c r="C252">
        <f>cleaned_data!C252</f>
        <v>1.89E-3</v>
      </c>
      <c r="D252">
        <f>cleaned_data!D252</f>
        <v>1.86</v>
      </c>
      <c r="E252">
        <f>cleaned_data!N252</f>
        <v>47.93</v>
      </c>
      <c r="F252">
        <f>cleaned_data!O252</f>
        <v>76.25</v>
      </c>
      <c r="G252">
        <f t="shared" si="16"/>
        <v>2.4466019417475727E-5</v>
      </c>
      <c r="H252" t="str">
        <f t="shared" si="17"/>
        <v>N/A</v>
      </c>
      <c r="I252" t="str">
        <f t="shared" si="14"/>
        <v>$0-$0.05</v>
      </c>
      <c r="J252">
        <f t="shared" si="15"/>
        <v>42.013333333333328</v>
      </c>
    </row>
    <row r="253" spans="1:10">
      <c r="A253" t="str">
        <f>cleaned_data!A253</f>
        <v>IREN Limited Tokenized bStocks</v>
      </c>
      <c r="B253" t="str">
        <f>cleaned_data!B253</f>
        <v>IRENB</v>
      </c>
      <c r="C253">
        <f>cleaned_data!C253</f>
        <v>40.44</v>
      </c>
      <c r="D253">
        <f>cleaned_data!D253</f>
        <v>0.21</v>
      </c>
      <c r="E253">
        <f>cleaned_data!N253</f>
        <v>0.81</v>
      </c>
      <c r="F253">
        <f>cleaned_data!O253</f>
        <v>8.52</v>
      </c>
      <c r="G253">
        <f t="shared" si="16"/>
        <v>4.2478991596638656</v>
      </c>
      <c r="H253">
        <f t="shared" si="17"/>
        <v>212.84210526315795</v>
      </c>
      <c r="I253" t="str">
        <f t="shared" si="14"/>
        <v>$5-$50</v>
      </c>
      <c r="J253">
        <f t="shared" si="15"/>
        <v>3.1799999999999997</v>
      </c>
    </row>
    <row r="254" spans="1:10">
      <c r="A254" t="str">
        <f>cleaned_data!A254</f>
        <v>BitMine Immersion Technologies Tokenized Stock (Ondo)</v>
      </c>
      <c r="B254" t="str">
        <f>cleaned_data!B254</f>
        <v>BMNRon</v>
      </c>
      <c r="C254">
        <f>cleaned_data!C254</f>
        <v>24.92</v>
      </c>
      <c r="D254">
        <f>cleaned_data!D254</f>
        <v>0.2</v>
      </c>
      <c r="E254">
        <f>cleaned_data!N254</f>
        <v>9.11</v>
      </c>
      <c r="F254">
        <f>cleaned_data!O254</f>
        <v>34.31</v>
      </c>
      <c r="G254">
        <f t="shared" si="16"/>
        <v>0.70574907958085531</v>
      </c>
      <c r="H254" t="str">
        <f t="shared" si="17"/>
        <v>N/A</v>
      </c>
      <c r="I254" t="str">
        <f t="shared" si="14"/>
        <v>$5-$50</v>
      </c>
      <c r="J254">
        <f t="shared" si="15"/>
        <v>14.540000000000001</v>
      </c>
    </row>
    <row r="255" spans="1:10">
      <c r="A255" t="str">
        <f>cleaned_data!A255</f>
        <v>XSwap</v>
      </c>
      <c r="B255" t="str">
        <f>cleaned_data!B255</f>
        <v>XSWAP</v>
      </c>
      <c r="C255">
        <f>cleaned_data!C255</f>
        <v>6.2940000000000001E-3</v>
      </c>
      <c r="D255">
        <f>cleaned_data!D255</f>
        <v>0</v>
      </c>
      <c r="E255">
        <f>cleaned_data!N255</f>
        <v>0.72</v>
      </c>
      <c r="F255">
        <f>cleaned_data!O255</f>
        <v>3.82</v>
      </c>
      <c r="G255">
        <f t="shared" si="16"/>
        <v>1.3058091286307053E-3</v>
      </c>
      <c r="H255">
        <f t="shared" si="17"/>
        <v>2.2478571428571428E-2</v>
      </c>
      <c r="I255" t="str">
        <f t="shared" si="14"/>
        <v>$0-$0.05</v>
      </c>
      <c r="J255">
        <f t="shared" si="15"/>
        <v>1.5133333333333334</v>
      </c>
    </row>
    <row r="256" spans="1:10">
      <c r="A256" t="str">
        <f>cleaned_data!A256</f>
        <v>Nokia Tokenized bStocks</v>
      </c>
      <c r="B256" t="str">
        <f>cleaned_data!B256</f>
        <v>NOKB</v>
      </c>
      <c r="C256">
        <f>cleaned_data!C256</f>
        <v>10.050000000000001</v>
      </c>
      <c r="D256">
        <f>cleaned_data!D256</f>
        <v>0.12</v>
      </c>
      <c r="E256">
        <f>cleaned_data!N256</f>
        <v>0.35</v>
      </c>
      <c r="F256">
        <f>cleaned_data!O256</f>
        <v>5.25</v>
      </c>
      <c r="G256">
        <f t="shared" si="16"/>
        <v>1.6080000000000001</v>
      </c>
      <c r="H256">
        <f t="shared" si="17"/>
        <v>15.461538461538462</v>
      </c>
      <c r="I256" t="str">
        <f t="shared" si="14"/>
        <v>$5-$50</v>
      </c>
      <c r="J256">
        <f t="shared" si="15"/>
        <v>1.9066666666666665</v>
      </c>
    </row>
    <row r="257" spans="1:10">
      <c r="A257" t="str">
        <f>cleaned_data!A257</f>
        <v>Ribbon Finance</v>
      </c>
      <c r="B257" t="str">
        <f>cleaned_data!B257</f>
        <v>RBN</v>
      </c>
      <c r="C257">
        <f>cleaned_data!C257</f>
        <v>2.3480000000000001E-2</v>
      </c>
      <c r="D257">
        <f>cleaned_data!D257</f>
        <v>0</v>
      </c>
      <c r="E257">
        <f>cleaned_data!N257</f>
        <v>1.26</v>
      </c>
      <c r="F257">
        <f>cleaned_data!O257</f>
        <v>18.54</v>
      </c>
      <c r="G257">
        <f t="shared" si="16"/>
        <v>1.2016376663254863E-3</v>
      </c>
      <c r="H257" t="str">
        <f t="shared" si="17"/>
        <v>N/A</v>
      </c>
      <c r="I257" t="str">
        <f t="shared" si="14"/>
        <v>$0-$0.05</v>
      </c>
      <c r="J257">
        <f t="shared" si="15"/>
        <v>6.6000000000000005</v>
      </c>
    </row>
    <row r="258" spans="1:10">
      <c r="A258" t="str">
        <f>cleaned_data!A258</f>
        <v>Bitcoin Silver AI</v>
      </c>
      <c r="B258" t="str">
        <f>cleaned_data!B258</f>
        <v>BSAI</v>
      </c>
      <c r="C258">
        <f>cleaned_data!C258</f>
        <v>1111.68</v>
      </c>
      <c r="D258">
        <f>cleaned_data!D258</f>
        <v>0.02</v>
      </c>
      <c r="E258">
        <f>cleaned_data!N258</f>
        <v>0.03</v>
      </c>
      <c r="F258">
        <f>cleaned_data!O258</f>
        <v>5.41</v>
      </c>
      <c r="G258">
        <f t="shared" si="16"/>
        <v>173.42901716068644</v>
      </c>
      <c r="H258">
        <f t="shared" si="17"/>
        <v>1146.0618556701031</v>
      </c>
      <c r="I258" t="str">
        <f t="shared" si="14"/>
        <v>&gt;$50</v>
      </c>
      <c r="J258">
        <f t="shared" si="15"/>
        <v>1.82</v>
      </c>
    </row>
    <row r="259" spans="1:10">
      <c r="A259" t="str">
        <f>cleaned_data!A259</f>
        <v>Ctomorrow Platform</v>
      </c>
      <c r="B259" t="str">
        <f>cleaned_data!B259</f>
        <v>CTP</v>
      </c>
      <c r="C259">
        <f>cleaned_data!C259</f>
        <v>9.5359999999999998E-4</v>
      </c>
      <c r="D259">
        <f>cleaned_data!D259</f>
        <v>0.08</v>
      </c>
      <c r="E259">
        <f>cleaned_data!N259</f>
        <v>1.38</v>
      </c>
      <c r="F259">
        <f>cleaned_data!O259</f>
        <v>6.7</v>
      </c>
      <c r="G259">
        <f t="shared" si="16"/>
        <v>1.2384415584415585E-4</v>
      </c>
      <c r="H259" t="str">
        <f t="shared" si="17"/>
        <v>N/A</v>
      </c>
      <c r="I259" t="str">
        <f t="shared" ref="I259:I301" si="18">IF(C259&lt;=0.05,"$0-$0.05",
IF(C259&lt;=0.5,"$0.05-$0.5",
IF(C259&lt;=5,"$0.5-$5",
IF(C259&lt;=50,"$5-$50","&gt;$50"))))</f>
        <v>$0-$0.05</v>
      </c>
      <c r="J259">
        <f t="shared" ref="J259:J301" si="19">AVERAGE(ABS(D259),ABS(E259),ABS(F259))</f>
        <v>2.72</v>
      </c>
    </row>
    <row r="260" spans="1:10">
      <c r="A260" t="str">
        <f>cleaned_data!A260</f>
        <v>Nodle</v>
      </c>
      <c r="B260" t="str">
        <f>cleaned_data!B260</f>
        <v>NODL</v>
      </c>
      <c r="C260">
        <f>cleaned_data!C260</f>
        <v>2.6289999999999999E-4</v>
      </c>
      <c r="D260">
        <f>cleaned_data!D260</f>
        <v>0.27</v>
      </c>
      <c r="E260">
        <f>cleaned_data!N260</f>
        <v>1.69</v>
      </c>
      <c r="F260">
        <f>cleaned_data!O260</f>
        <v>8.4600000000000009</v>
      </c>
      <c r="G260">
        <f t="shared" si="16"/>
        <v>2.77906976744186E-5</v>
      </c>
      <c r="H260" t="str">
        <f t="shared" si="17"/>
        <v>N/A</v>
      </c>
      <c r="I260" t="str">
        <f t="shared" si="18"/>
        <v>$0-$0.05</v>
      </c>
      <c r="J260">
        <f t="shared" si="19"/>
        <v>3.473333333333334</v>
      </c>
    </row>
    <row r="261" spans="1:10">
      <c r="A261" t="str">
        <f>cleaned_data!A56</f>
        <v>Capricorn</v>
      </c>
      <c r="B261" t="str">
        <f>cleaned_data!B56</f>
        <v>APR</v>
      </c>
      <c r="C261">
        <f>cleaned_data!C56</f>
        <v>0.2203</v>
      </c>
      <c r="D261">
        <f>cleaned_data!D56</f>
        <v>5.35</v>
      </c>
      <c r="E261">
        <f>cleaned_data!N56</f>
        <v>8.18</v>
      </c>
      <c r="F261">
        <f>cleaned_data!O56</f>
        <v>15.15</v>
      </c>
      <c r="G261">
        <f t="shared" si="16"/>
        <v>1.3640866873065016E-2</v>
      </c>
      <c r="H261" t="str">
        <f t="shared" si="17"/>
        <v>N/A</v>
      </c>
      <c r="I261" t="str">
        <f t="shared" si="18"/>
        <v>$0.05-$0.5</v>
      </c>
      <c r="J261">
        <f t="shared" si="19"/>
        <v>9.56</v>
      </c>
    </row>
    <row r="262" spans="1:10">
      <c r="A262" t="str">
        <f>cleaned_data!A262</f>
        <v>NetMind Token</v>
      </c>
      <c r="B262" t="str">
        <f>cleaned_data!B262</f>
        <v>NMT</v>
      </c>
      <c r="C262">
        <f>cleaned_data!C262</f>
        <v>4.6309999999999997E-2</v>
      </c>
      <c r="D262">
        <f>cleaned_data!D262</f>
        <v>0.14000000000000001</v>
      </c>
      <c r="E262">
        <f>cleaned_data!N262</f>
        <v>4.37</v>
      </c>
      <c r="F262">
        <f>cleaned_data!O262</f>
        <v>15.49</v>
      </c>
      <c r="G262">
        <f t="shared" ref="G262:G301" si="20">C262/(1+F262)</f>
        <v>2.8083687083080649E-3</v>
      </c>
      <c r="H262" t="str">
        <f t="shared" ref="H262:H301" si="21">IF(OR(E262&gt;=1,E262&lt;0),"N/A",C262/(1-E262))</f>
        <v>N/A</v>
      </c>
      <c r="I262" t="str">
        <f t="shared" si="18"/>
        <v>$0-$0.05</v>
      </c>
      <c r="J262">
        <f t="shared" si="19"/>
        <v>6.666666666666667</v>
      </c>
    </row>
    <row r="263" spans="1:10">
      <c r="A263" t="str">
        <f>cleaned_data!A263</f>
        <v>Apple Tokenized Stock (Robinhood)</v>
      </c>
      <c r="B263" t="str">
        <f>cleaned_data!B263</f>
        <v>AAPL</v>
      </c>
      <c r="C263">
        <f>cleaned_data!C263</f>
        <v>309.61</v>
      </c>
      <c r="D263">
        <f>cleaned_data!D263</f>
        <v>0.24</v>
      </c>
      <c r="E263">
        <f>cleaned_data!N263</f>
        <v>0.1</v>
      </c>
      <c r="F263">
        <f>cleaned_data!O263</f>
        <v>1.3</v>
      </c>
      <c r="G263">
        <f t="shared" si="20"/>
        <v>134.61304347826089</v>
      </c>
      <c r="H263">
        <f t="shared" si="21"/>
        <v>344.01111111111112</v>
      </c>
      <c r="I263" t="str">
        <f t="shared" si="18"/>
        <v>&gt;$50</v>
      </c>
      <c r="J263">
        <f t="shared" si="19"/>
        <v>0.54666666666666675</v>
      </c>
    </row>
    <row r="264" spans="1:10">
      <c r="A264" t="str">
        <f>cleaned_data!A264</f>
        <v>Hoppy (hoppy.vip)</v>
      </c>
      <c r="B264" t="str">
        <f>cleaned_data!B264</f>
        <v>HOPPY</v>
      </c>
      <c r="C264">
        <f>cleaned_data!C264</f>
        <v>5.3672999999999998E-2</v>
      </c>
      <c r="D264">
        <f>cleaned_data!D264</f>
        <v>0.15</v>
      </c>
      <c r="E264">
        <f>cleaned_data!N264</f>
        <v>1.18</v>
      </c>
      <c r="F264">
        <f>cleaned_data!O264</f>
        <v>33.450000000000003</v>
      </c>
      <c r="G264">
        <f t="shared" si="20"/>
        <v>1.5579970972423801E-3</v>
      </c>
      <c r="H264" t="str">
        <f t="shared" si="21"/>
        <v>N/A</v>
      </c>
      <c r="I264" t="str">
        <f t="shared" si="18"/>
        <v>$0.05-$0.5</v>
      </c>
      <c r="J264">
        <f t="shared" si="19"/>
        <v>11.593333333333334</v>
      </c>
    </row>
    <row r="265" spans="1:10">
      <c r="A265" t="str">
        <f>cleaned_data!A265</f>
        <v>Torch of Liberty</v>
      </c>
      <c r="B265" t="str">
        <f>cleaned_data!B265</f>
        <v>LIBERTY</v>
      </c>
      <c r="C265">
        <f>cleaned_data!C265</f>
        <v>1.5410000000000001E-3</v>
      </c>
      <c r="D265">
        <f>cleaned_data!D265</f>
        <v>0.24</v>
      </c>
      <c r="E265">
        <f>cleaned_data!N265</f>
        <v>0.26</v>
      </c>
      <c r="F265">
        <f>cleaned_data!O265</f>
        <v>17.78</v>
      </c>
      <c r="G265">
        <f t="shared" si="20"/>
        <v>8.2055378061767832E-5</v>
      </c>
      <c r="H265">
        <f t="shared" si="21"/>
        <v>2.0824324324324327E-3</v>
      </c>
      <c r="I265" t="str">
        <f t="shared" si="18"/>
        <v>$0-$0.05</v>
      </c>
      <c r="J265">
        <f t="shared" si="19"/>
        <v>6.0933333333333337</v>
      </c>
    </row>
    <row r="266" spans="1:10">
      <c r="A266" t="str">
        <f>cleaned_data!A266</f>
        <v>Vader</v>
      </c>
      <c r="B266" t="str">
        <f>cleaned_data!B266</f>
        <v>VADER</v>
      </c>
      <c r="C266">
        <f>cleaned_data!C266</f>
        <v>1.539E-3</v>
      </c>
      <c r="D266">
        <f>cleaned_data!D266</f>
        <v>3.46</v>
      </c>
      <c r="E266">
        <f>cleaned_data!N266</f>
        <v>24.55</v>
      </c>
      <c r="F266">
        <f>cleaned_data!O266</f>
        <v>57.39</v>
      </c>
      <c r="G266">
        <f t="shared" si="20"/>
        <v>2.6357252954272991E-5</v>
      </c>
      <c r="H266" t="str">
        <f t="shared" si="21"/>
        <v>N/A</v>
      </c>
      <c r="I266" t="str">
        <f t="shared" si="18"/>
        <v>$0-$0.05</v>
      </c>
      <c r="J266">
        <f t="shared" si="19"/>
        <v>28.466666666666669</v>
      </c>
    </row>
    <row r="267" spans="1:10">
      <c r="A267" t="str">
        <f>cleaned_data!A267</f>
        <v>GameFi.org</v>
      </c>
      <c r="B267" t="str">
        <f>cleaned_data!B267</f>
        <v>GAFI</v>
      </c>
      <c r="C267">
        <f>cleaned_data!C267</f>
        <v>0.10249999999999999</v>
      </c>
      <c r="D267">
        <f>cleaned_data!D267</f>
        <v>0.12</v>
      </c>
      <c r="E267">
        <f>cleaned_data!N267</f>
        <v>1.32</v>
      </c>
      <c r="F267">
        <f>cleaned_data!O267</f>
        <v>17.04</v>
      </c>
      <c r="G267">
        <f t="shared" si="20"/>
        <v>5.681818181818182E-3</v>
      </c>
      <c r="H267" t="str">
        <f t="shared" si="21"/>
        <v>N/A</v>
      </c>
      <c r="I267" t="str">
        <f t="shared" si="18"/>
        <v>$0.05-$0.5</v>
      </c>
      <c r="J267">
        <f t="shared" si="19"/>
        <v>6.16</v>
      </c>
    </row>
    <row r="268" spans="1:10">
      <c r="A268" t="str">
        <f>cleaned_data!A268</f>
        <v>iMe Lab</v>
      </c>
      <c r="B268" t="str">
        <f>cleaned_data!B268</f>
        <v>LIME</v>
      </c>
      <c r="C268">
        <f>cleaned_data!C268</f>
        <v>2.0300000000000001E-3</v>
      </c>
      <c r="D268">
        <f>cleaned_data!D268</f>
        <v>0.02</v>
      </c>
      <c r="E268">
        <f>cleaned_data!N268</f>
        <v>0.75</v>
      </c>
      <c r="F268">
        <f>cleaned_data!O268</f>
        <v>0.6</v>
      </c>
      <c r="G268">
        <f t="shared" si="20"/>
        <v>1.2687499999999999E-3</v>
      </c>
      <c r="H268">
        <f t="shared" si="21"/>
        <v>8.1200000000000005E-3</v>
      </c>
      <c r="I268" t="str">
        <f t="shared" si="18"/>
        <v>$0-$0.05</v>
      </c>
      <c r="J268">
        <f t="shared" si="19"/>
        <v>0.45666666666666672</v>
      </c>
    </row>
    <row r="269" spans="1:10">
      <c r="A269" t="str">
        <f>cleaned_data!A269</f>
        <v>OciCat</v>
      </c>
      <c r="B269" t="str">
        <f>cleaned_data!B269</f>
        <v>OCICAT</v>
      </c>
      <c r="C269">
        <f>cleaned_data!C269</f>
        <v>8.4791000000000005E-2</v>
      </c>
      <c r="D269">
        <f>cleaned_data!D269</f>
        <v>2.68</v>
      </c>
      <c r="E269">
        <f>cleaned_data!N269</f>
        <v>2.2599999999999998</v>
      </c>
      <c r="F269">
        <f>cleaned_data!O269</f>
        <v>3.2</v>
      </c>
      <c r="G269">
        <f t="shared" si="20"/>
        <v>2.0188333333333332E-2</v>
      </c>
      <c r="H269" t="str">
        <f t="shared" si="21"/>
        <v>N/A</v>
      </c>
      <c r="I269" t="str">
        <f t="shared" si="18"/>
        <v>$0.05-$0.5</v>
      </c>
      <c r="J269">
        <f t="shared" si="19"/>
        <v>2.7133333333333334</v>
      </c>
    </row>
    <row r="270" spans="1:10">
      <c r="A270" t="str">
        <f>cleaned_data!A270</f>
        <v>ArchLoot</v>
      </c>
      <c r="B270" t="str">
        <f>cleaned_data!B270</f>
        <v>AL</v>
      </c>
      <c r="C270">
        <f>cleaned_data!C270</f>
        <v>1.624E-3</v>
      </c>
      <c r="D270">
        <f>cleaned_data!D270</f>
        <v>0.26</v>
      </c>
      <c r="E270">
        <f>cleaned_data!N270</f>
        <v>3.22</v>
      </c>
      <c r="F270">
        <f>cleaned_data!O270</f>
        <v>10.039999999999999</v>
      </c>
      <c r="G270">
        <f t="shared" si="20"/>
        <v>1.4710144927536234E-4</v>
      </c>
      <c r="H270" t="str">
        <f t="shared" si="21"/>
        <v>N/A</v>
      </c>
      <c r="I270" t="str">
        <f t="shared" si="18"/>
        <v>$0-$0.05</v>
      </c>
      <c r="J270">
        <f t="shared" si="19"/>
        <v>4.5066666666666668</v>
      </c>
    </row>
    <row r="271" spans="1:10">
      <c r="A271" t="str">
        <f>cleaned_data!A271</f>
        <v>SK Hynix Tokenized Stock (Ondo)</v>
      </c>
      <c r="B271" t="str">
        <f>cleaned_data!B271</f>
        <v>SKHYon</v>
      </c>
      <c r="C271">
        <f>cleaned_data!C271</f>
        <v>158.87</v>
      </c>
      <c r="D271">
        <f>cleaned_data!D271</f>
        <v>0.32</v>
      </c>
      <c r="E271">
        <f>cleaned_data!N271</f>
        <v>0.08</v>
      </c>
      <c r="F271">
        <f>cleaned_data!O271</f>
        <v>4.7</v>
      </c>
      <c r="G271">
        <f t="shared" si="20"/>
        <v>27.871929824561402</v>
      </c>
      <c r="H271">
        <f t="shared" si="21"/>
        <v>172.68478260869566</v>
      </c>
      <c r="I271" t="str">
        <f t="shared" si="18"/>
        <v>&gt;$50</v>
      </c>
      <c r="J271">
        <f t="shared" si="19"/>
        <v>1.7000000000000002</v>
      </c>
    </row>
    <row r="272" spans="1:10">
      <c r="A272" t="str">
        <f>cleaned_data!A272</f>
        <v>WELF</v>
      </c>
      <c r="B272" t="str">
        <f>cleaned_data!B272</f>
        <v>WELF</v>
      </c>
      <c r="C272">
        <f>cleaned_data!C272</f>
        <v>9.8760000000000001E-2</v>
      </c>
      <c r="D272">
        <f>cleaned_data!D272</f>
        <v>0.01</v>
      </c>
      <c r="E272">
        <f>cleaned_data!N272</f>
        <v>7.49</v>
      </c>
      <c r="F272">
        <f>cleaned_data!O272</f>
        <v>15.36</v>
      </c>
      <c r="G272">
        <f t="shared" si="20"/>
        <v>6.0366748166259167E-3</v>
      </c>
      <c r="H272" t="str">
        <f t="shared" si="21"/>
        <v>N/A</v>
      </c>
      <c r="I272" t="str">
        <f t="shared" si="18"/>
        <v>$0.05-$0.5</v>
      </c>
      <c r="J272">
        <f t="shared" si="19"/>
        <v>7.62</v>
      </c>
    </row>
    <row r="273" spans="1:10">
      <c r="A273" t="str">
        <f>cleaned_data!A273</f>
        <v>SLIMEX</v>
      </c>
      <c r="B273" t="str">
        <f>cleaned_data!B273</f>
        <v>SLX</v>
      </c>
      <c r="C273">
        <f>cleaned_data!C273</f>
        <v>7.1909999999999997E-4</v>
      </c>
      <c r="D273">
        <f>cleaned_data!D273</f>
        <v>0.01</v>
      </c>
      <c r="E273">
        <f>cleaned_data!N273</f>
        <v>1.29</v>
      </c>
      <c r="F273">
        <f>cleaned_data!O273</f>
        <v>2.31</v>
      </c>
      <c r="G273">
        <f t="shared" si="20"/>
        <v>2.1725075528700904E-4</v>
      </c>
      <c r="H273" t="str">
        <f t="shared" si="21"/>
        <v>N/A</v>
      </c>
      <c r="I273" t="str">
        <f t="shared" si="18"/>
        <v>$0-$0.05</v>
      </c>
      <c r="J273">
        <f t="shared" si="19"/>
        <v>1.2033333333333334</v>
      </c>
    </row>
    <row r="274" spans="1:10">
      <c r="A274" t="str">
        <f>cleaned_data!A274</f>
        <v>Zyfai</v>
      </c>
      <c r="B274" t="str">
        <f>cleaned_data!B274</f>
        <v>ZFI</v>
      </c>
      <c r="C274">
        <f>cleaned_data!C274</f>
        <v>6.6930000000000002E-3</v>
      </c>
      <c r="D274">
        <f>cleaned_data!D274</f>
        <v>0</v>
      </c>
      <c r="E274">
        <f>cleaned_data!N274</f>
        <v>4.5</v>
      </c>
      <c r="F274">
        <f>cleaned_data!O274</f>
        <v>28.68</v>
      </c>
      <c r="G274">
        <f t="shared" si="20"/>
        <v>2.2550539083557953E-4</v>
      </c>
      <c r="H274" t="str">
        <f t="shared" si="21"/>
        <v>N/A</v>
      </c>
      <c r="I274" t="str">
        <f t="shared" si="18"/>
        <v>$0-$0.05</v>
      </c>
      <c r="J274">
        <f t="shared" si="19"/>
        <v>11.06</v>
      </c>
    </row>
    <row r="275" spans="1:10">
      <c r="A275" t="str">
        <f>cleaned_data!A275</f>
        <v>AllUnity EUR</v>
      </c>
      <c r="B275" t="str">
        <f>cleaned_data!B275</f>
        <v>EURAU</v>
      </c>
      <c r="C275">
        <f>cleaned_data!C275</f>
        <v>1.1599999999999999</v>
      </c>
      <c r="D275">
        <f>cleaned_data!D275</f>
        <v>0.02</v>
      </c>
      <c r="E275">
        <f>cleaned_data!N275</f>
        <v>0.18</v>
      </c>
      <c r="F275">
        <f>cleaned_data!O275</f>
        <v>0.66</v>
      </c>
      <c r="G275">
        <f t="shared" si="20"/>
        <v>0.69879518072289148</v>
      </c>
      <c r="H275">
        <f t="shared" si="21"/>
        <v>1.4146341463414631</v>
      </c>
      <c r="I275" t="str">
        <f t="shared" si="18"/>
        <v>$0.5-$5</v>
      </c>
      <c r="J275">
        <f t="shared" si="19"/>
        <v>0.28666666666666668</v>
      </c>
    </row>
    <row r="276" spans="1:10">
      <c r="A276" t="str">
        <f>cleaned_data!A276</f>
        <v>Invesco QQQ Tokenized ETF (Robinhood)</v>
      </c>
      <c r="B276" t="str">
        <f>cleaned_data!B276</f>
        <v>QQQ</v>
      </c>
      <c r="C276">
        <f>cleaned_data!C276</f>
        <v>710.69</v>
      </c>
      <c r="D276">
        <f>cleaned_data!D276</f>
        <v>0.16</v>
      </c>
      <c r="E276">
        <f>cleaned_data!N276</f>
        <v>0.28999999999999998</v>
      </c>
      <c r="F276">
        <f>cleaned_data!O276</f>
        <v>1.9</v>
      </c>
      <c r="G276">
        <f t="shared" si="20"/>
        <v>245.06551724137933</v>
      </c>
      <c r="H276">
        <f t="shared" si="21"/>
        <v>1000.9718309859156</v>
      </c>
      <c r="I276" t="str">
        <f t="shared" si="18"/>
        <v>&gt;$50</v>
      </c>
      <c r="J276">
        <f t="shared" si="19"/>
        <v>0.78333333333333321</v>
      </c>
    </row>
    <row r="277" spans="1:10">
      <c r="A277" t="str">
        <f>cleaned_data!A277</f>
        <v>Costco Tokenized Stock (Ondo)</v>
      </c>
      <c r="B277" t="str">
        <f>cleaned_data!B277</f>
        <v>COSTon</v>
      </c>
      <c r="C277">
        <f>cleaned_data!C277</f>
        <v>973.38</v>
      </c>
      <c r="D277">
        <f>cleaned_data!D277</f>
        <v>0.01</v>
      </c>
      <c r="E277">
        <f>cleaned_data!N277</f>
        <v>1.87</v>
      </c>
      <c r="F277">
        <f>cleaned_data!O277</f>
        <v>1.04</v>
      </c>
      <c r="G277">
        <f t="shared" si="20"/>
        <v>477.14705882352939</v>
      </c>
      <c r="H277" t="str">
        <f t="shared" si="21"/>
        <v>N/A</v>
      </c>
      <c r="I277" t="str">
        <f t="shared" si="18"/>
        <v>&gt;$50</v>
      </c>
      <c r="J277">
        <f t="shared" si="19"/>
        <v>0.97333333333333327</v>
      </c>
    </row>
    <row r="278" spans="1:10">
      <c r="A278" t="str">
        <f>cleaned_data!A278</f>
        <v>Free Joby</v>
      </c>
      <c r="B278" t="str">
        <f>cleaned_data!B278</f>
        <v>JOBY</v>
      </c>
      <c r="C278">
        <f>cleaned_data!C278</f>
        <v>1.2329999999999999E-3</v>
      </c>
      <c r="D278">
        <f>cleaned_data!D278</f>
        <v>1.34</v>
      </c>
      <c r="E278">
        <f>cleaned_data!N278</f>
        <v>8.06</v>
      </c>
      <c r="F278">
        <f>cleaned_data!O278</f>
        <v>38.26</v>
      </c>
      <c r="G278">
        <f t="shared" si="20"/>
        <v>3.1406011207335709E-5</v>
      </c>
      <c r="H278" t="str">
        <f t="shared" si="21"/>
        <v>N/A</v>
      </c>
      <c r="I278" t="str">
        <f t="shared" si="18"/>
        <v>$0-$0.05</v>
      </c>
      <c r="J278">
        <f t="shared" si="19"/>
        <v>15.886666666666665</v>
      </c>
    </row>
    <row r="279" spans="1:10">
      <c r="A279" t="str">
        <f>cleaned_data!A279</f>
        <v>Dell Technologies Inc. tokenized stock (xStock)</v>
      </c>
      <c r="B279" t="str">
        <f>cleaned_data!B279</f>
        <v>DELLx</v>
      </c>
      <c r="C279">
        <f>cleaned_data!C279</f>
        <v>439.47</v>
      </c>
      <c r="D279">
        <f>cleaned_data!D279</f>
        <v>0.43</v>
      </c>
      <c r="E279">
        <f>cleaned_data!N279</f>
        <v>1.25</v>
      </c>
      <c r="F279">
        <f>cleaned_data!O279</f>
        <v>6.74</v>
      </c>
      <c r="G279">
        <f t="shared" si="20"/>
        <v>56.779069767441861</v>
      </c>
      <c r="H279" t="str">
        <f t="shared" si="21"/>
        <v>N/A</v>
      </c>
      <c r="I279" t="str">
        <f t="shared" si="18"/>
        <v>&gt;$50</v>
      </c>
      <c r="J279">
        <f t="shared" si="19"/>
        <v>2.8066666666666666</v>
      </c>
    </row>
    <row r="280" spans="1:10">
      <c r="A280" t="str">
        <f>cleaned_data!A280</f>
        <v>Dejitaru Tsuka</v>
      </c>
      <c r="B280" t="str">
        <f>cleaned_data!B280</f>
        <v>TSUKA</v>
      </c>
      <c r="C280">
        <f>cleaned_data!C280</f>
        <v>1.2290000000000001E-3</v>
      </c>
      <c r="D280">
        <f>cleaned_data!D280</f>
        <v>0</v>
      </c>
      <c r="E280">
        <f>cleaned_data!N280</f>
        <v>0.85</v>
      </c>
      <c r="F280">
        <f>cleaned_data!O280</f>
        <v>32.39</v>
      </c>
      <c r="G280">
        <f t="shared" si="20"/>
        <v>3.680742737346511E-5</v>
      </c>
      <c r="H280">
        <f t="shared" si="21"/>
        <v>8.193333333333332E-3</v>
      </c>
      <c r="I280" t="str">
        <f t="shared" si="18"/>
        <v>$0-$0.05</v>
      </c>
      <c r="J280">
        <f t="shared" si="19"/>
        <v>11.08</v>
      </c>
    </row>
    <row r="281" spans="1:10">
      <c r="A281" t="str">
        <f>cleaned_data!A281</f>
        <v>TOKPIE</v>
      </c>
      <c r="B281" t="str">
        <f>cleaned_data!B281</f>
        <v>TKP</v>
      </c>
      <c r="C281">
        <f>cleaned_data!C281</f>
        <v>4.2610000000000002E-2</v>
      </c>
      <c r="D281">
        <f>cleaned_data!D281</f>
        <v>0</v>
      </c>
      <c r="E281">
        <f>cleaned_data!N281</f>
        <v>0.35</v>
      </c>
      <c r="F281">
        <f>cleaned_data!O281</f>
        <v>13.77</v>
      </c>
      <c r="G281">
        <f t="shared" si="20"/>
        <v>2.8849018280297902E-3</v>
      </c>
      <c r="H281">
        <f t="shared" si="21"/>
        <v>6.5553846153846157E-2</v>
      </c>
      <c r="I281" t="str">
        <f t="shared" si="18"/>
        <v>$0-$0.05</v>
      </c>
      <c r="J281">
        <f t="shared" si="19"/>
        <v>4.7066666666666661</v>
      </c>
    </row>
    <row r="282" spans="1:10">
      <c r="A282" t="str">
        <f>cleaned_data!A282</f>
        <v>SHPING</v>
      </c>
      <c r="B282" t="str">
        <f>cleaned_data!B282</f>
        <v>SHPING</v>
      </c>
      <c r="C282">
        <f>cleaned_data!C282</f>
        <v>5.3339999999999995E-4</v>
      </c>
      <c r="D282">
        <f>cleaned_data!D282</f>
        <v>0.01</v>
      </c>
      <c r="E282">
        <f>cleaned_data!N282</f>
        <v>2.21</v>
      </c>
      <c r="F282">
        <f>cleaned_data!O282</f>
        <v>13.37</v>
      </c>
      <c r="G282">
        <f t="shared" si="20"/>
        <v>3.7118997912317327E-5</v>
      </c>
      <c r="H282" t="str">
        <f t="shared" si="21"/>
        <v>N/A</v>
      </c>
      <c r="I282" t="str">
        <f t="shared" si="18"/>
        <v>$0-$0.05</v>
      </c>
      <c r="J282">
        <f t="shared" si="19"/>
        <v>5.1966666666666663</v>
      </c>
    </row>
    <row r="283" spans="1:10">
      <c r="A283" t="str">
        <f>cleaned_data!A283</f>
        <v>RENEC</v>
      </c>
      <c r="B283" t="str">
        <f>cleaned_data!B283</f>
        <v>RENEC</v>
      </c>
      <c r="C283">
        <f>cleaned_data!C283</f>
        <v>3.3980000000000003E-2</v>
      </c>
      <c r="D283">
        <f>cleaned_data!D283</f>
        <v>0.01</v>
      </c>
      <c r="E283">
        <f>cleaned_data!N283</f>
        <v>2.38</v>
      </c>
      <c r="F283">
        <f>cleaned_data!O283</f>
        <v>4.95</v>
      </c>
      <c r="G283">
        <f t="shared" si="20"/>
        <v>5.7109243697478999E-3</v>
      </c>
      <c r="H283" t="str">
        <f t="shared" si="21"/>
        <v>N/A</v>
      </c>
      <c r="I283" t="str">
        <f t="shared" si="18"/>
        <v>$0-$0.05</v>
      </c>
      <c r="J283">
        <f t="shared" si="19"/>
        <v>2.4466666666666668</v>
      </c>
    </row>
    <row r="284" spans="1:10">
      <c r="A284" t="str">
        <f>cleaned_data!A284</f>
        <v>ScPrime</v>
      </c>
      <c r="B284" t="str">
        <f>cleaned_data!B284</f>
        <v>SCP</v>
      </c>
      <c r="C284">
        <f>cleaned_data!C284</f>
        <v>2.5229999999999999E-2</v>
      </c>
      <c r="D284">
        <f>cleaned_data!D284</f>
        <v>0.01</v>
      </c>
      <c r="E284">
        <f>cleaned_data!N284</f>
        <v>1.26</v>
      </c>
      <c r="F284">
        <f>cleaned_data!O284</f>
        <v>14.21</v>
      </c>
      <c r="G284">
        <f t="shared" si="20"/>
        <v>1.6587771203155817E-3</v>
      </c>
      <c r="H284" t="str">
        <f t="shared" si="21"/>
        <v>N/A</v>
      </c>
      <c r="I284" t="str">
        <f t="shared" si="18"/>
        <v>$0-$0.05</v>
      </c>
      <c r="J284">
        <f t="shared" si="19"/>
        <v>5.16</v>
      </c>
    </row>
    <row r="285" spans="1:10">
      <c r="A285" t="str">
        <f>cleaned_data!A285</f>
        <v>Chickencoin</v>
      </c>
      <c r="B285" t="str">
        <f>cleaned_data!B285</f>
        <v>CHKN</v>
      </c>
      <c r="C285">
        <f>cleaned_data!C285</f>
        <v>7.1887000000000006E-2</v>
      </c>
      <c r="D285">
        <f>cleaned_data!D285</f>
        <v>0</v>
      </c>
      <c r="E285">
        <f>cleaned_data!N285</f>
        <v>2.76</v>
      </c>
      <c r="F285">
        <f>cleaned_data!O285</f>
        <v>31.02</v>
      </c>
      <c r="G285">
        <f t="shared" si="20"/>
        <v>2.2450655840099941E-3</v>
      </c>
      <c r="H285" t="str">
        <f t="shared" si="21"/>
        <v>N/A</v>
      </c>
      <c r="I285" t="str">
        <f t="shared" si="18"/>
        <v>$0.05-$0.5</v>
      </c>
      <c r="J285">
        <f t="shared" si="19"/>
        <v>11.26</v>
      </c>
    </row>
    <row r="286" spans="1:10">
      <c r="A286" t="str">
        <f>cleaned_data!A286</f>
        <v>RICE AI</v>
      </c>
      <c r="B286" t="str">
        <f>cleaned_data!B286</f>
        <v>RICE</v>
      </c>
      <c r="C286">
        <f>cleaned_data!C286</f>
        <v>5.7289999999999997E-3</v>
      </c>
      <c r="D286">
        <f>cleaned_data!D286</f>
        <v>0.49</v>
      </c>
      <c r="E286">
        <f>cleaned_data!N286</f>
        <v>1.54</v>
      </c>
      <c r="F286">
        <f>cleaned_data!O286</f>
        <v>72.790000000000006</v>
      </c>
      <c r="G286">
        <f t="shared" si="20"/>
        <v>7.7639246510367247E-5</v>
      </c>
      <c r="H286" t="str">
        <f t="shared" si="21"/>
        <v>N/A</v>
      </c>
      <c r="I286" t="str">
        <f t="shared" si="18"/>
        <v>$0-$0.05</v>
      </c>
      <c r="J286">
        <f t="shared" si="19"/>
        <v>24.94</v>
      </c>
    </row>
    <row r="287" spans="1:10">
      <c r="A287" t="str">
        <f>cleaned_data!A287</f>
        <v>RigoBlock</v>
      </c>
      <c r="B287" t="str">
        <f>cleaned_data!B287</f>
        <v>GRG</v>
      </c>
      <c r="C287">
        <f>cleaned_data!C287</f>
        <v>0.38800000000000001</v>
      </c>
      <c r="D287">
        <f>cleaned_data!D287</f>
        <v>0.23</v>
      </c>
      <c r="E287">
        <f>cleaned_data!N287</f>
        <v>1.1200000000000001</v>
      </c>
      <c r="F287">
        <f>cleaned_data!O287</f>
        <v>43.32</v>
      </c>
      <c r="G287">
        <f t="shared" si="20"/>
        <v>8.7545126353790609E-3</v>
      </c>
      <c r="H287" t="str">
        <f t="shared" si="21"/>
        <v>N/A</v>
      </c>
      <c r="I287" t="str">
        <f t="shared" si="18"/>
        <v>$0.05-$0.5</v>
      </c>
      <c r="J287">
        <f t="shared" si="19"/>
        <v>14.89</v>
      </c>
    </row>
    <row r="288" spans="1:10">
      <c r="A288" t="str">
        <f>cleaned_data!A288</f>
        <v>Skey Network</v>
      </c>
      <c r="B288" t="str">
        <f>cleaned_data!B288</f>
        <v>SKEY</v>
      </c>
      <c r="C288">
        <f>cleaned_data!C288</f>
        <v>1.8929999999999999E-3</v>
      </c>
      <c r="D288">
        <f>cleaned_data!D288</f>
        <v>0.26</v>
      </c>
      <c r="E288">
        <f>cleaned_data!N288</f>
        <v>3.81</v>
      </c>
      <c r="F288">
        <f>cleaned_data!O288</f>
        <v>4</v>
      </c>
      <c r="G288">
        <f t="shared" si="20"/>
        <v>3.7859999999999999E-4</v>
      </c>
      <c r="H288" t="str">
        <f t="shared" si="21"/>
        <v>N/A</v>
      </c>
      <c r="I288" t="str">
        <f t="shared" si="18"/>
        <v>$0-$0.05</v>
      </c>
      <c r="J288">
        <f t="shared" si="19"/>
        <v>2.69</v>
      </c>
    </row>
    <row r="289" spans="1:10">
      <c r="A289" t="str">
        <f>cleaned_data!A289</f>
        <v>Cashaa</v>
      </c>
      <c r="B289" t="str">
        <f>cleaned_data!B289</f>
        <v>CAS</v>
      </c>
      <c r="C289">
        <f>cleaned_data!C289</f>
        <v>1.044E-3</v>
      </c>
      <c r="D289">
        <f>cleaned_data!D289</f>
        <v>0.03</v>
      </c>
      <c r="E289">
        <f>cleaned_data!N289</f>
        <v>0.33</v>
      </c>
      <c r="F289">
        <f>cleaned_data!O289</f>
        <v>0.33</v>
      </c>
      <c r="G289">
        <f t="shared" si="20"/>
        <v>7.8496240601503751E-4</v>
      </c>
      <c r="H289">
        <f t="shared" si="21"/>
        <v>1.5582089552238808E-3</v>
      </c>
      <c r="I289" t="str">
        <f t="shared" si="18"/>
        <v>$0-$0.05</v>
      </c>
      <c r="J289">
        <f t="shared" si="19"/>
        <v>0.22999999999999998</v>
      </c>
    </row>
    <row r="290" spans="1:10">
      <c r="A290" t="str">
        <f>cleaned_data!A290</f>
        <v>Nokia Tokenized Stock (Ondo)</v>
      </c>
      <c r="B290" t="str">
        <f>cleaned_data!B290</f>
        <v>NOKon</v>
      </c>
      <c r="C290">
        <f>cleaned_data!C290</f>
        <v>10.06</v>
      </c>
      <c r="D290">
        <f>cleaned_data!D290</f>
        <v>0.19</v>
      </c>
      <c r="E290">
        <f>cleaned_data!N290</f>
        <v>0.12</v>
      </c>
      <c r="F290">
        <f>cleaned_data!O290</f>
        <v>5.85</v>
      </c>
      <c r="G290">
        <f t="shared" si="20"/>
        <v>1.4686131386861316</v>
      </c>
      <c r="H290">
        <f t="shared" si="21"/>
        <v>11.431818181818182</v>
      </c>
      <c r="I290" t="str">
        <f t="shared" si="18"/>
        <v>$5-$50</v>
      </c>
      <c r="J290">
        <f t="shared" si="19"/>
        <v>2.0533333333333332</v>
      </c>
    </row>
    <row r="291" spans="1:10">
      <c r="A291" t="str">
        <f>cleaned_data!A291</f>
        <v>AST SpaceMobile Tokenized bStocks</v>
      </c>
      <c r="B291" t="str">
        <f>cleaned_data!B291</f>
        <v>ASTSB</v>
      </c>
      <c r="C291">
        <f>cleaned_data!C291</f>
        <v>63.35</v>
      </c>
      <c r="D291">
        <f>cleaned_data!D291</f>
        <v>0.22</v>
      </c>
      <c r="E291">
        <f>cleaned_data!N291</f>
        <v>5.56</v>
      </c>
      <c r="F291">
        <f>cleaned_data!O291</f>
        <v>9.69</v>
      </c>
      <c r="G291">
        <f t="shared" si="20"/>
        <v>5.9260991580916746</v>
      </c>
      <c r="H291" t="str">
        <f t="shared" si="21"/>
        <v>N/A</v>
      </c>
      <c r="I291" t="str">
        <f t="shared" si="18"/>
        <v>&gt;$50</v>
      </c>
      <c r="J291">
        <f t="shared" si="19"/>
        <v>5.1566666666666663</v>
      </c>
    </row>
    <row r="292" spans="1:10">
      <c r="A292" t="str">
        <f>cleaned_data!A292</f>
        <v>Morpheus.Network</v>
      </c>
      <c r="B292" t="str">
        <f>cleaned_data!B292</f>
        <v>MNW</v>
      </c>
      <c r="C292">
        <f>cleaned_data!C292</f>
        <v>2.1530000000000001E-2</v>
      </c>
      <c r="D292">
        <f>cleaned_data!D292</f>
        <v>0.9</v>
      </c>
      <c r="E292">
        <f>cleaned_data!N292</f>
        <v>17.86</v>
      </c>
      <c r="F292">
        <f>cleaned_data!O292</f>
        <v>47.17</v>
      </c>
      <c r="G292">
        <f t="shared" si="20"/>
        <v>4.469586879800706E-4</v>
      </c>
      <c r="H292" t="str">
        <f t="shared" si="21"/>
        <v>N/A</v>
      </c>
      <c r="I292" t="str">
        <f t="shared" si="18"/>
        <v>$0-$0.05</v>
      </c>
      <c r="J292">
        <f t="shared" si="19"/>
        <v>21.97666666666667</v>
      </c>
    </row>
    <row r="293" spans="1:10">
      <c r="A293" t="str">
        <f>cleaned_data!A293</f>
        <v>Franklin US Large Cap Multifactor Index Tokenized ETF (Ondo)</v>
      </c>
      <c r="B293" t="str">
        <f>cleaned_data!B293</f>
        <v>FLQLon</v>
      </c>
      <c r="C293">
        <f>cleaned_data!C293</f>
        <v>78.67</v>
      </c>
      <c r="D293">
        <f>cleaned_data!D293</f>
        <v>0.04</v>
      </c>
      <c r="E293">
        <f>cleaned_data!N293</f>
        <v>0.28000000000000003</v>
      </c>
      <c r="F293">
        <f>cleaned_data!O293</f>
        <v>1.6</v>
      </c>
      <c r="G293">
        <f t="shared" si="20"/>
        <v>30.257692307692306</v>
      </c>
      <c r="H293">
        <f t="shared" si="21"/>
        <v>109.2638888888889</v>
      </c>
      <c r="I293" t="str">
        <f t="shared" si="18"/>
        <v>&gt;$50</v>
      </c>
      <c r="J293">
        <f t="shared" si="19"/>
        <v>0.64</v>
      </c>
    </row>
    <row r="294" spans="1:10">
      <c r="A294" t="str">
        <f>cleaned_data!A294</f>
        <v>Disney Tokenized Stock (Ondo)</v>
      </c>
      <c r="B294" t="str">
        <f>cleaned_data!B294</f>
        <v>DISon</v>
      </c>
      <c r="C294">
        <f>cleaned_data!C294</f>
        <v>111.75</v>
      </c>
      <c r="D294">
        <f>cleaned_data!D294</f>
        <v>0.02</v>
      </c>
      <c r="E294">
        <f>cleaned_data!N294</f>
        <v>2.63</v>
      </c>
      <c r="F294">
        <f>cleaned_data!O294</f>
        <v>6.26</v>
      </c>
      <c r="G294">
        <f t="shared" si="20"/>
        <v>15.392561983471074</v>
      </c>
      <c r="H294" t="str">
        <f t="shared" si="21"/>
        <v>N/A</v>
      </c>
      <c r="I294" t="str">
        <f t="shared" si="18"/>
        <v>&gt;$50</v>
      </c>
      <c r="J294">
        <f t="shared" si="19"/>
        <v>2.97</v>
      </c>
    </row>
    <row r="295" spans="1:10">
      <c r="A295" t="str">
        <f>cleaned_data!A295</f>
        <v>Pandora</v>
      </c>
      <c r="B295" t="str">
        <f>cleaned_data!B295</f>
        <v>PANDORA</v>
      </c>
      <c r="C295">
        <f>cleaned_data!C295</f>
        <v>102.68</v>
      </c>
      <c r="D295">
        <f>cleaned_data!D295</f>
        <v>0</v>
      </c>
      <c r="E295">
        <f>cleaned_data!N295</f>
        <v>1.1200000000000001</v>
      </c>
      <c r="F295">
        <f>cleaned_data!O295</f>
        <v>2.86</v>
      </c>
      <c r="G295">
        <f t="shared" si="20"/>
        <v>26.601036269430054</v>
      </c>
      <c r="H295" t="str">
        <f t="shared" si="21"/>
        <v>N/A</v>
      </c>
      <c r="I295" t="str">
        <f t="shared" si="18"/>
        <v>&gt;$50</v>
      </c>
      <c r="J295">
        <f t="shared" si="19"/>
        <v>1.3266666666666667</v>
      </c>
    </row>
    <row r="296" spans="1:10">
      <c r="A296" t="str">
        <f>cleaned_data!A296</f>
        <v>Shrapnel</v>
      </c>
      <c r="B296" t="str">
        <f>cleaned_data!B296</f>
        <v>SHRAP</v>
      </c>
      <c r="C296">
        <f>cleaned_data!C296</f>
        <v>3.5349999999999997E-4</v>
      </c>
      <c r="D296">
        <f>cleaned_data!D296</f>
        <v>0</v>
      </c>
      <c r="E296">
        <f>cleaned_data!N296</f>
        <v>1.36</v>
      </c>
      <c r="F296">
        <f>cleaned_data!O296</f>
        <v>29.87</v>
      </c>
      <c r="G296">
        <f t="shared" si="20"/>
        <v>1.1451247165532879E-5</v>
      </c>
      <c r="H296" t="str">
        <f t="shared" si="21"/>
        <v>N/A</v>
      </c>
      <c r="I296" t="str">
        <f t="shared" si="18"/>
        <v>$0-$0.05</v>
      </c>
      <c r="J296">
        <f t="shared" si="19"/>
        <v>10.41</v>
      </c>
    </row>
    <row r="297" spans="1:10">
      <c r="A297" t="str">
        <f>cleaned_data!A297</f>
        <v>Nexera</v>
      </c>
      <c r="B297" t="str">
        <f>cleaned_data!B297</f>
        <v>NXRA</v>
      </c>
      <c r="C297">
        <f>cleaned_data!C297</f>
        <v>8.2010000000000004E-4</v>
      </c>
      <c r="D297">
        <f>cleaned_data!D297</f>
        <v>0.01</v>
      </c>
      <c r="E297">
        <f>cleaned_data!N297</f>
        <v>2.04</v>
      </c>
      <c r="F297">
        <f>cleaned_data!O297</f>
        <v>42.26</v>
      </c>
      <c r="G297">
        <f t="shared" si="20"/>
        <v>1.895746648173833E-5</v>
      </c>
      <c r="H297" t="str">
        <f t="shared" si="21"/>
        <v>N/A</v>
      </c>
      <c r="I297" t="str">
        <f t="shared" si="18"/>
        <v>$0-$0.05</v>
      </c>
      <c r="J297">
        <f t="shared" si="19"/>
        <v>14.769999999999998</v>
      </c>
    </row>
    <row r="298" spans="1:10">
      <c r="A298" t="str">
        <f>cleaned_data!A298</f>
        <v>BitCore</v>
      </c>
      <c r="B298" t="str">
        <f>cleaned_data!B298</f>
        <v>BTX</v>
      </c>
      <c r="C298">
        <f>cleaned_data!C298</f>
        <v>5.0970000000000001E-2</v>
      </c>
      <c r="D298">
        <f>cleaned_data!D298</f>
        <v>0</v>
      </c>
      <c r="E298">
        <f>cleaned_data!N298</f>
        <v>4.46</v>
      </c>
      <c r="F298">
        <f>cleaned_data!O298</f>
        <v>45.49</v>
      </c>
      <c r="G298">
        <f t="shared" si="20"/>
        <v>1.096364809636481E-3</v>
      </c>
      <c r="H298" t="str">
        <f t="shared" si="21"/>
        <v>N/A</v>
      </c>
      <c r="I298" t="str">
        <f t="shared" si="18"/>
        <v>$0.05-$0.5</v>
      </c>
      <c r="J298">
        <f t="shared" si="19"/>
        <v>16.650000000000002</v>
      </c>
    </row>
    <row r="299" spans="1:10">
      <c r="A299" t="str">
        <f>cleaned_data!A299</f>
        <v>W Coin</v>
      </c>
      <c r="B299" t="str">
        <f>cleaned_data!B299</f>
        <v>WCO</v>
      </c>
      <c r="C299">
        <f>cleaned_data!C299</f>
        <v>1.56E-4</v>
      </c>
      <c r="D299">
        <f>cleaned_data!D299</f>
        <v>0.02</v>
      </c>
      <c r="E299">
        <f>cleaned_data!N299</f>
        <v>12.88</v>
      </c>
      <c r="F299">
        <f>cleaned_data!O299</f>
        <v>10.49</v>
      </c>
      <c r="G299">
        <f t="shared" si="20"/>
        <v>1.3577023498694517E-5</v>
      </c>
      <c r="H299" t="str">
        <f t="shared" si="21"/>
        <v>N/A</v>
      </c>
      <c r="I299" t="str">
        <f t="shared" si="18"/>
        <v>$0-$0.05</v>
      </c>
      <c r="J299">
        <f t="shared" si="19"/>
        <v>7.7966666666666669</v>
      </c>
    </row>
    <row r="300" spans="1:10">
      <c r="A300" t="str">
        <f>cleaned_data!A300</f>
        <v>Trias Token (New)</v>
      </c>
      <c r="B300" t="str">
        <f>cleaned_data!B300</f>
        <v>TRIAS</v>
      </c>
      <c r="C300">
        <f>cleaned_data!C300</f>
        <v>0.2024</v>
      </c>
      <c r="D300">
        <f>cleaned_data!D300</f>
        <v>0.02</v>
      </c>
      <c r="E300">
        <f>cleaned_data!N300</f>
        <v>0.03</v>
      </c>
      <c r="F300">
        <f>cleaned_data!O300</f>
        <v>0.06</v>
      </c>
      <c r="G300">
        <f t="shared" si="20"/>
        <v>0.19094339622641507</v>
      </c>
      <c r="H300">
        <f t="shared" si="21"/>
        <v>0.208659793814433</v>
      </c>
      <c r="I300" t="str">
        <f t="shared" si="18"/>
        <v>$0.05-$0.5</v>
      </c>
      <c r="J300">
        <f t="shared" si="19"/>
        <v>3.6666666666666667E-2</v>
      </c>
    </row>
    <row r="301" spans="1:10">
      <c r="A301" t="str">
        <f>cleaned_data!A301</f>
        <v>Pwease</v>
      </c>
      <c r="B301" t="str">
        <f>cleaned_data!B301</f>
        <v>PWEASE</v>
      </c>
      <c r="C301">
        <f>cleaned_data!C301</f>
        <v>1.0089999999999999E-3</v>
      </c>
      <c r="D301">
        <f>cleaned_data!D301</f>
        <v>0.55000000000000004</v>
      </c>
      <c r="E301">
        <f>cleaned_data!N301</f>
        <v>4.22</v>
      </c>
      <c r="F301">
        <f>cleaned_data!O301</f>
        <v>35.78</v>
      </c>
      <c r="G301">
        <f t="shared" si="20"/>
        <v>2.7433387710712341E-5</v>
      </c>
      <c r="H301" t="str">
        <f t="shared" si="21"/>
        <v>N/A</v>
      </c>
      <c r="I301" t="str">
        <f t="shared" si="18"/>
        <v>$0-$0.05</v>
      </c>
      <c r="J301">
        <f t="shared" si="19"/>
        <v>13.516666666666666</v>
      </c>
    </row>
  </sheetData>
  <autoFilter ref="A1:H301" xr:uid="{00000000-0001-0000-0D00-000000000000}">
    <sortState xmlns:xlrd2="http://schemas.microsoft.com/office/spreadsheetml/2017/richdata2" ref="A47:H261">
      <sortCondition descending="1" ref="D1:D301"/>
    </sortState>
  </autoFilter>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J301"/>
  <sheetViews>
    <sheetView zoomScale="56" zoomScaleNormal="56" workbookViewId="0">
      <pane ySplit="1" topLeftCell="A2" activePane="bottomLeft" state="frozen"/>
      <selection pane="bottomLeft" activeCell="G1" sqref="G1"/>
    </sheetView>
  </sheetViews>
  <sheetFormatPr defaultColWidth="9" defaultRowHeight="14.4"/>
  <cols>
    <col min="1" max="1" width="45.33203125" customWidth="1"/>
    <col min="2" max="2" width="12.5546875" customWidth="1"/>
    <col min="3" max="3" width="12.33203125" customWidth="1"/>
    <col min="4" max="4" width="15" customWidth="1"/>
    <col min="5" max="5" width="12.6640625" customWidth="1"/>
    <col min="6" max="6" width="14.33203125" customWidth="1"/>
    <col min="7" max="7" width="18" customWidth="1"/>
    <col min="8" max="8" width="12" customWidth="1"/>
    <col min="9" max="9" width="10.109375" customWidth="1"/>
  </cols>
  <sheetData>
    <row r="1" spans="1:10" s="1" customFormat="1">
      <c r="A1" s="1" t="s">
        <v>307</v>
      </c>
      <c r="B1" s="1" t="s">
        <v>308</v>
      </c>
      <c r="C1" s="1" t="s">
        <v>309</v>
      </c>
      <c r="D1" s="1" t="s">
        <v>310</v>
      </c>
      <c r="E1" s="1" t="s">
        <v>311</v>
      </c>
      <c r="F1" s="1" t="s">
        <v>312</v>
      </c>
      <c r="G1" s="1" t="s">
        <v>313</v>
      </c>
      <c r="H1" s="1" t="s">
        <v>314</v>
      </c>
      <c r="I1" s="1" t="s">
        <v>315</v>
      </c>
      <c r="J1" s="1" t="s">
        <v>316</v>
      </c>
    </row>
    <row r="2" spans="1:10">
      <c r="A2" t="s">
        <v>209</v>
      </c>
      <c r="B2" t="s">
        <v>915</v>
      </c>
      <c r="C2">
        <v>2.7020000000000001E-4</v>
      </c>
      <c r="D2">
        <v>0.63</v>
      </c>
      <c r="E2">
        <v>1260000</v>
      </c>
      <c r="F2">
        <v>23570</v>
      </c>
      <c r="G2">
        <v>4680000000</v>
      </c>
      <c r="H2">
        <f>IFERROR(Sheet1[[#This Row],[Volume (24h)]]/Sheet1[[#This Row],[Circulating Supply]],0)</f>
        <v>73.803730738037302</v>
      </c>
      <c r="I2">
        <f>RANK(Table2[[#This Row],[Market Cap]],Table2[Market Cap],0)</f>
        <v>269</v>
      </c>
      <c r="J2" t="str">
        <f t="shared" ref="J2:J65" si="0">IF(C2&lt;=0.5,"0-0.5",IF(C2&lt;=1,"0.5-1",IF(C2&lt;=2,"1-2",IF(C2&lt;=10,"2-10",IF(C2&lt;=100,"10-100",IF(C2&lt;=10000,"100-10000","10000+"))))))</f>
        <v>0-0.5</v>
      </c>
    </row>
    <row r="3" spans="1:10">
      <c r="A3" t="s">
        <v>192</v>
      </c>
      <c r="B3" t="s">
        <v>916</v>
      </c>
      <c r="C3">
        <v>0.40110000000000001</v>
      </c>
      <c r="D3">
        <v>0.2</v>
      </c>
      <c r="E3">
        <v>15540000</v>
      </c>
      <c r="F3">
        <v>84600</v>
      </c>
      <c r="G3">
        <v>38740000</v>
      </c>
      <c r="H3">
        <f>IFERROR(Sheet1[[#This Row],[Volume (24h)]]/Sheet1[[#This Row],[Circulating Supply]],0)</f>
        <v>3038.3657199800696</v>
      </c>
      <c r="I3">
        <f>RANK(Table2[[#This Row],[Market Cap]],Table2[Market Cap],0)</f>
        <v>117</v>
      </c>
      <c r="J3" t="str">
        <f t="shared" si="0"/>
        <v>0-0.5</v>
      </c>
    </row>
    <row r="4" spans="1:10">
      <c r="A4" t="s">
        <v>58</v>
      </c>
      <c r="B4" t="s">
        <v>705</v>
      </c>
      <c r="C4">
        <v>479.08</v>
      </c>
      <c r="D4">
        <v>0.3</v>
      </c>
      <c r="E4">
        <v>3280000</v>
      </c>
      <c r="F4">
        <v>4740000</v>
      </c>
      <c r="G4">
        <v>6840</v>
      </c>
      <c r="H4">
        <f>IFERROR(Sheet1[[#This Row],[Volume (24h)]]/Sheet1[[#This Row],[Circulating Supply]],0)</f>
        <v>194.8127278753729</v>
      </c>
      <c r="I4">
        <f>RANK(Table2[[#This Row],[Market Cap]],Table2[Market Cap],0)</f>
        <v>204</v>
      </c>
      <c r="J4" t="str">
        <f t="shared" si="0"/>
        <v>100-10000</v>
      </c>
    </row>
    <row r="5" spans="1:10">
      <c r="A5" t="s">
        <v>48</v>
      </c>
      <c r="B5" t="s">
        <v>362</v>
      </c>
      <c r="C5">
        <v>6.2690999999999997E-2</v>
      </c>
      <c r="D5">
        <v>0.82</v>
      </c>
      <c r="E5">
        <v>266440000</v>
      </c>
      <c r="F5">
        <v>6580000</v>
      </c>
      <c r="G5">
        <v>990100000000000</v>
      </c>
      <c r="H5">
        <f>IFERROR(Sheet1[[#This Row],[Volume (24h)]]/Sheet1[[#This Row],[Circulating Supply]],0)</f>
        <v>0.62484309337990507</v>
      </c>
      <c r="I5">
        <f>RANK(Table2[[#This Row],[Market Cap]],Table2[Market Cap],0)</f>
        <v>30</v>
      </c>
      <c r="J5" t="str">
        <f t="shared" si="0"/>
        <v>0-0.5</v>
      </c>
    </row>
    <row r="6" spans="1:10">
      <c r="A6" t="s">
        <v>112</v>
      </c>
      <c r="B6" t="s">
        <v>917</v>
      </c>
      <c r="C6">
        <v>5.2350000000000001E-3</v>
      </c>
      <c r="D6">
        <v>0.02</v>
      </c>
      <c r="E6">
        <v>9340000</v>
      </c>
      <c r="F6">
        <v>1330000</v>
      </c>
      <c r="G6">
        <v>1780000000</v>
      </c>
      <c r="H6">
        <f>IFERROR(Sheet1[[#This Row],[Volume (24h)]]/Sheet1[[#This Row],[Circulating Supply]],0)</f>
        <v>15.395013517572769</v>
      </c>
      <c r="I6">
        <f>RANK(Table2[[#This Row],[Market Cap]],Table2[Market Cap],0)</f>
        <v>138</v>
      </c>
      <c r="J6" t="str">
        <f t="shared" si="0"/>
        <v>0-0.5</v>
      </c>
    </row>
    <row r="7" spans="1:10">
      <c r="A7" t="s">
        <v>245</v>
      </c>
      <c r="B7" t="s">
        <v>918</v>
      </c>
      <c r="C7">
        <v>1.5399999999999999E-3</v>
      </c>
      <c r="D7">
        <v>0.01</v>
      </c>
      <c r="E7">
        <v>4270000</v>
      </c>
      <c r="F7">
        <v>44.18</v>
      </c>
      <c r="G7">
        <v>2770000000</v>
      </c>
      <c r="H7">
        <f>IFERROR(Sheet1[[#This Row],[Volume (24h)]]/Sheet1[[#This Row],[Circulating Supply]],0)</f>
        <v>0.10535543512910424</v>
      </c>
      <c r="I7">
        <f>RANK(Table2[[#This Row],[Market Cap]],Table2[Market Cap],0)</f>
        <v>189</v>
      </c>
      <c r="J7" t="str">
        <f t="shared" si="0"/>
        <v>0-0.5</v>
      </c>
    </row>
    <row r="8" spans="1:10">
      <c r="A8" t="s">
        <v>177</v>
      </c>
      <c r="B8" t="s">
        <v>732</v>
      </c>
      <c r="C8">
        <v>9.5829999999999995E-3</v>
      </c>
      <c r="D8">
        <v>2.42</v>
      </c>
      <c r="E8">
        <v>2550000</v>
      </c>
      <c r="F8">
        <v>156510</v>
      </c>
      <c r="G8">
        <v>266770000</v>
      </c>
      <c r="H8">
        <f>IFERROR(Sheet1[[#This Row],[Volume (24h)]]/Sheet1[[#This Row],[Circulating Supply]],0)</f>
        <v>0.30577053632043449</v>
      </c>
      <c r="I8">
        <f>RANK(Table2[[#This Row],[Market Cap]],Table2[Market Cap],0)</f>
        <v>221</v>
      </c>
      <c r="J8" t="str">
        <f t="shared" si="0"/>
        <v>0-0.5</v>
      </c>
    </row>
    <row r="9" spans="1:10">
      <c r="A9" t="s">
        <v>115</v>
      </c>
      <c r="B9" t="s">
        <v>919</v>
      </c>
      <c r="C9">
        <v>121.88</v>
      </c>
      <c r="D9">
        <v>0.18</v>
      </c>
      <c r="E9">
        <v>2020000</v>
      </c>
      <c r="F9">
        <v>1290000</v>
      </c>
      <c r="G9">
        <v>16590</v>
      </c>
      <c r="H9">
        <f>IFERROR(Sheet1[[#This Row],[Volume (24h)]]/Sheet1[[#This Row],[Circulating Supply]],0)</f>
        <v>13.01061076160927</v>
      </c>
      <c r="I9">
        <f>RANK(Table2[[#This Row],[Market Cap]],Table2[Market Cap],0)</f>
        <v>232</v>
      </c>
      <c r="J9" t="str">
        <f t="shared" si="0"/>
        <v>100-10000</v>
      </c>
    </row>
    <row r="10" spans="1:10">
      <c r="A10" t="s">
        <v>97</v>
      </c>
      <c r="B10" t="s">
        <v>920</v>
      </c>
      <c r="C10">
        <v>123.11</v>
      </c>
      <c r="D10">
        <v>0.16</v>
      </c>
      <c r="E10">
        <v>3280000</v>
      </c>
      <c r="F10">
        <v>1810000</v>
      </c>
      <c r="G10">
        <v>26710</v>
      </c>
      <c r="H10">
        <f>IFERROR(Sheet1[[#This Row],[Volume (24h)]]/Sheet1[[#This Row],[Circulating Supply]],0)</f>
        <v>5.4520071646823303E-3</v>
      </c>
      <c r="I10">
        <f>RANK(Table2[[#This Row],[Market Cap]],Table2[Market Cap],0)</f>
        <v>204</v>
      </c>
      <c r="J10" t="str">
        <f t="shared" si="0"/>
        <v>100-10000</v>
      </c>
    </row>
    <row r="11" spans="1:10">
      <c r="A11" t="s">
        <v>22</v>
      </c>
      <c r="B11" t="s">
        <v>921</v>
      </c>
      <c r="C11">
        <v>0.27189999999999998</v>
      </c>
      <c r="D11">
        <v>0.76</v>
      </c>
      <c r="E11">
        <v>54510000</v>
      </c>
      <c r="F11">
        <v>24540000</v>
      </c>
      <c r="G11">
        <v>200500000</v>
      </c>
      <c r="H11">
        <f>IFERROR(Sheet1[[#This Row],[Volume (24h)]]/Sheet1[[#This Row],[Circulating Supply]],0)</f>
        <v>3.8344247331031474</v>
      </c>
      <c r="I11">
        <f>RANK(Table2[[#This Row],[Market Cap]],Table2[Market Cap],0)</f>
        <v>54</v>
      </c>
      <c r="J11" t="str">
        <f t="shared" si="0"/>
        <v>0-0.5</v>
      </c>
    </row>
    <row r="12" spans="1:10">
      <c r="A12" t="s">
        <v>128</v>
      </c>
      <c r="B12" t="s">
        <v>922</v>
      </c>
      <c r="C12">
        <v>7.6429999999999998E-2</v>
      </c>
      <c r="D12">
        <v>0.19</v>
      </c>
      <c r="E12">
        <v>5630000</v>
      </c>
      <c r="F12">
        <v>806990</v>
      </c>
      <c r="G12">
        <v>73730000</v>
      </c>
      <c r="H12">
        <f>IFERROR(Sheet1[[#This Row],[Volume (24h)]]/Sheet1[[#This Row],[Circulating Supply]],0)</f>
        <v>8.9956949174323717E-3</v>
      </c>
      <c r="I12">
        <f>RANK(Table2[[#This Row],[Market Cap]],Table2[Market Cap],0)</f>
        <v>176</v>
      </c>
      <c r="J12" t="str">
        <f t="shared" si="0"/>
        <v>0-0.5</v>
      </c>
    </row>
    <row r="13" spans="1:10">
      <c r="A13" t="s">
        <v>117</v>
      </c>
      <c r="B13" t="s">
        <v>923</v>
      </c>
      <c r="C13">
        <v>270.94</v>
      </c>
      <c r="D13">
        <v>0.05</v>
      </c>
      <c r="E13">
        <v>873320</v>
      </c>
      <c r="F13">
        <v>1270000</v>
      </c>
      <c r="G13">
        <v>3220</v>
      </c>
      <c r="H13">
        <f>IFERROR(Sheet1[[#This Row],[Volume (24h)]]/Sheet1[[#This Row],[Circulating Supply]],0)</f>
        <v>86.155674390968514</v>
      </c>
      <c r="I13">
        <f>RANK(Table2[[#This Row],[Market Cap]],Table2[Market Cap],0)</f>
        <v>293</v>
      </c>
      <c r="J13" t="str">
        <f t="shared" si="0"/>
        <v>100-10000</v>
      </c>
    </row>
    <row r="14" spans="1:10">
      <c r="A14" t="s">
        <v>249</v>
      </c>
      <c r="B14" t="s">
        <v>894</v>
      </c>
      <c r="C14">
        <v>0.22889999999999999</v>
      </c>
      <c r="D14">
        <v>5.57</v>
      </c>
      <c r="E14">
        <v>3280000</v>
      </c>
      <c r="F14">
        <v>3170000</v>
      </c>
      <c r="G14">
        <v>14340000</v>
      </c>
      <c r="H14">
        <f>IFERROR(Sheet1[[#This Row],[Volume (24h)]]/Sheet1[[#This Row],[Circulating Supply]],0)</f>
        <v>0.72555441190231118</v>
      </c>
      <c r="I14">
        <f>RANK(Table2[[#This Row],[Market Cap]],Table2[Market Cap],0)</f>
        <v>204</v>
      </c>
      <c r="J14" t="str">
        <f t="shared" si="0"/>
        <v>0-0.5</v>
      </c>
    </row>
    <row r="15" spans="1:10">
      <c r="A15" t="s">
        <v>104</v>
      </c>
      <c r="B15" t="s">
        <v>470</v>
      </c>
      <c r="C15">
        <v>1.112E-2</v>
      </c>
      <c r="D15">
        <v>0.13</v>
      </c>
      <c r="E15">
        <v>27810000</v>
      </c>
      <c r="F15">
        <v>1650000</v>
      </c>
      <c r="G15">
        <v>2500000000</v>
      </c>
      <c r="H15">
        <f>IFERROR(Sheet1[[#This Row],[Volume (24h)]]/Sheet1[[#This Row],[Circulating Supply]],0)</f>
        <v>2.663332970975106E-4</v>
      </c>
      <c r="I15">
        <f>RANK(Table2[[#This Row],[Market Cap]],Table2[Market Cap],0)</f>
        <v>89</v>
      </c>
      <c r="J15" t="str">
        <f t="shared" si="0"/>
        <v>0-0.5</v>
      </c>
    </row>
    <row r="16" spans="1:10">
      <c r="A16" t="s">
        <v>94</v>
      </c>
      <c r="B16" t="s">
        <v>924</v>
      </c>
      <c r="C16">
        <v>93.78</v>
      </c>
      <c r="D16">
        <v>1.01</v>
      </c>
      <c r="E16">
        <v>7370000</v>
      </c>
      <c r="F16">
        <v>1870000</v>
      </c>
      <c r="G16">
        <v>78610</v>
      </c>
      <c r="H16">
        <f>IFERROR(Sheet1[[#This Row],[Volume (24h)]]/Sheet1[[#This Row],[Circulating Supply]],0)</f>
        <v>7.0484300159659394</v>
      </c>
      <c r="I16">
        <f>RANK(Table2[[#This Row],[Market Cap]],Table2[Market Cap],0)</f>
        <v>153</v>
      </c>
      <c r="J16" t="str">
        <f t="shared" si="0"/>
        <v>10-100</v>
      </c>
    </row>
    <row r="17" spans="1:10">
      <c r="A17" t="s">
        <v>81</v>
      </c>
      <c r="B17" t="s">
        <v>407</v>
      </c>
      <c r="C17">
        <v>0.19450000000000001</v>
      </c>
      <c r="D17">
        <v>0.39</v>
      </c>
      <c r="E17">
        <v>54060000</v>
      </c>
      <c r="F17">
        <v>2500000</v>
      </c>
      <c r="G17">
        <v>277810000</v>
      </c>
      <c r="H17">
        <f>IFERROR(Sheet1[[#This Row],[Volume (24h)]]/Sheet1[[#This Row],[Circulating Supply]],0)</f>
        <v>0.5513307984790875</v>
      </c>
      <c r="I17">
        <f>RANK(Table2[[#This Row],[Market Cap]],Table2[Market Cap],0)</f>
        <v>55</v>
      </c>
      <c r="J17" t="str">
        <f t="shared" si="0"/>
        <v>0-0.5</v>
      </c>
    </row>
    <row r="18" spans="1:10">
      <c r="A18" t="s">
        <v>121</v>
      </c>
      <c r="B18" t="s">
        <v>925</v>
      </c>
      <c r="C18">
        <v>2.8570000000000002E-2</v>
      </c>
      <c r="D18">
        <v>0.2</v>
      </c>
      <c r="E18">
        <v>4210000</v>
      </c>
      <c r="F18">
        <v>1130000</v>
      </c>
      <c r="G18">
        <v>147340000</v>
      </c>
      <c r="H18">
        <f>IFERROR(Sheet1[[#This Row],[Volume (24h)]]/Sheet1[[#This Row],[Circulating Supply]],0)</f>
        <v>6.1533678508651303E-2</v>
      </c>
      <c r="I18">
        <f>RANK(Table2[[#This Row],[Market Cap]],Table2[Market Cap],0)</f>
        <v>193</v>
      </c>
      <c r="J18" t="str">
        <f t="shared" si="0"/>
        <v>0-0.5</v>
      </c>
    </row>
    <row r="19" spans="1:10">
      <c r="A19" t="s">
        <v>215</v>
      </c>
      <c r="B19" t="s">
        <v>926</v>
      </c>
      <c r="C19">
        <v>4.371E-4</v>
      </c>
      <c r="D19">
        <v>0.05</v>
      </c>
      <c r="E19">
        <v>15840000</v>
      </c>
      <c r="F19">
        <v>15290</v>
      </c>
      <c r="G19">
        <v>36250000000</v>
      </c>
      <c r="H19">
        <f>IFERROR(Sheet1[[#This Row],[Volume (24h)]]/Sheet1[[#This Row],[Circulating Supply]],0)</f>
        <v>0.35034843205574911</v>
      </c>
      <c r="I19">
        <f>RANK(Table2[[#This Row],[Market Cap]],Table2[Market Cap],0)</f>
        <v>109</v>
      </c>
      <c r="J19" t="str">
        <f t="shared" si="0"/>
        <v>0-0.5</v>
      </c>
    </row>
    <row r="20" spans="1:10">
      <c r="A20" t="s">
        <v>250</v>
      </c>
      <c r="B20" t="s">
        <v>927</v>
      </c>
      <c r="C20">
        <v>8.4830000000000003E-2</v>
      </c>
      <c r="D20">
        <v>0.53</v>
      </c>
      <c r="E20">
        <v>1580000</v>
      </c>
      <c r="F20">
        <v>324580</v>
      </c>
      <c r="G20">
        <v>18710000</v>
      </c>
      <c r="H20">
        <f>IFERROR(Sheet1[[#This Row],[Volume (24h)]]/Sheet1[[#This Row],[Circulating Supply]],0)</f>
        <v>3.4827586206896552E-6</v>
      </c>
      <c r="I20">
        <f>RANK(Table2[[#This Row],[Market Cap]],Table2[Market Cap],0)</f>
        <v>249</v>
      </c>
      <c r="J20" t="str">
        <f t="shared" si="0"/>
        <v>0-0.5</v>
      </c>
    </row>
    <row r="21" spans="1:10">
      <c r="A21" t="s">
        <v>251</v>
      </c>
      <c r="B21" t="s">
        <v>928</v>
      </c>
      <c r="C21">
        <v>0.84689999999999999</v>
      </c>
      <c r="D21">
        <v>0.28000000000000003</v>
      </c>
      <c r="E21">
        <v>7390000</v>
      </c>
      <c r="F21">
        <v>3250000</v>
      </c>
      <c r="G21">
        <v>8730000</v>
      </c>
      <c r="H21">
        <f>IFERROR(Sheet1[[#This Row],[Volume (24h)]]/Sheet1[[#This Row],[Circulating Supply]],0)</f>
        <v>0.10342689857069054</v>
      </c>
      <c r="I21">
        <f>RANK(Table2[[#This Row],[Market Cap]],Table2[Market Cap],0)</f>
        <v>151</v>
      </c>
      <c r="J21" t="str">
        <f t="shared" si="0"/>
        <v>0.5-1</v>
      </c>
    </row>
    <row r="22" spans="1:10">
      <c r="A22" t="s">
        <v>171</v>
      </c>
      <c r="B22" t="s">
        <v>929</v>
      </c>
      <c r="C22">
        <v>58.92</v>
      </c>
      <c r="D22">
        <v>0.05</v>
      </c>
      <c r="E22">
        <v>3300000</v>
      </c>
      <c r="F22">
        <v>202940</v>
      </c>
      <c r="G22">
        <v>56090</v>
      </c>
      <c r="H22">
        <f>IFERROR(Sheet1[[#This Row],[Volume (24h)]]/Sheet1[[#This Row],[Circulating Supply]],0)</f>
        <v>0.11767567672757702</v>
      </c>
      <c r="I22">
        <f>RANK(Table2[[#This Row],[Market Cap]],Table2[Market Cap],0)</f>
        <v>198</v>
      </c>
      <c r="J22" t="str">
        <f t="shared" si="0"/>
        <v>10-100</v>
      </c>
    </row>
    <row r="23" spans="1:10">
      <c r="A23" t="s">
        <v>33</v>
      </c>
      <c r="B23" t="s">
        <v>893</v>
      </c>
      <c r="C23">
        <v>6.758E-5</v>
      </c>
      <c r="D23">
        <v>4.53</v>
      </c>
      <c r="E23">
        <v>28430000</v>
      </c>
      <c r="F23">
        <v>9280000</v>
      </c>
      <c r="G23">
        <v>420690000000</v>
      </c>
      <c r="H23">
        <f>IFERROR(Sheet1[[#This Row],[Volume (24h)]]/Sheet1[[#This Row],[Circulating Supply]],0)</f>
        <v>6.423310335045541E-9</v>
      </c>
      <c r="I23">
        <f>RANK(Table2[[#This Row],[Market Cap]],Table2[Market Cap],0)</f>
        <v>79</v>
      </c>
      <c r="J23" t="str">
        <f t="shared" si="0"/>
        <v>0-0.5</v>
      </c>
    </row>
    <row r="24" spans="1:10">
      <c r="A24" t="s">
        <v>144</v>
      </c>
      <c r="B24" t="s">
        <v>930</v>
      </c>
      <c r="C24">
        <v>1.678E-2</v>
      </c>
      <c r="D24">
        <v>0.78</v>
      </c>
      <c r="E24">
        <v>12160000</v>
      </c>
      <c r="F24">
        <v>474110</v>
      </c>
      <c r="G24">
        <v>724750000</v>
      </c>
      <c r="H24">
        <f>IFERROR(Sheet1[[#This Row],[Volume (24h)]]/Sheet1[[#This Row],[Circulating Supply]],0)</f>
        <v>9.4522104784634619E-7</v>
      </c>
      <c r="I24">
        <f>RANK(Table2[[#This Row],[Market Cap]],Table2[Market Cap],0)</f>
        <v>120</v>
      </c>
      <c r="J24" t="str">
        <f t="shared" si="0"/>
        <v>0-0.5</v>
      </c>
    </row>
    <row r="25" spans="1:10">
      <c r="A25" t="s">
        <v>252</v>
      </c>
      <c r="B25" t="s">
        <v>252</v>
      </c>
      <c r="C25">
        <v>7.3530000000000002E-3</v>
      </c>
      <c r="D25">
        <v>0.99</v>
      </c>
      <c r="E25">
        <v>7340000</v>
      </c>
      <c r="F25">
        <v>539290</v>
      </c>
      <c r="G25">
        <v>999190000</v>
      </c>
      <c r="H25">
        <f>IFERROR(Sheet1[[#This Row],[Volume (24h)]]/Sheet1[[#This Row],[Circulating Supply]],0)</f>
        <v>6.8725490196078435E-3</v>
      </c>
      <c r="I25">
        <f>RANK(Table2[[#This Row],[Market Cap]],Table2[Market Cap],0)</f>
        <v>155</v>
      </c>
      <c r="J25" t="str">
        <f t="shared" si="0"/>
        <v>0-0.5</v>
      </c>
    </row>
    <row r="26" spans="1:10">
      <c r="A26" t="s">
        <v>47</v>
      </c>
      <c r="B26" t="s">
        <v>931</v>
      </c>
      <c r="C26">
        <v>59.16</v>
      </c>
      <c r="D26">
        <v>2.37</v>
      </c>
      <c r="E26">
        <v>2030000</v>
      </c>
      <c r="F26">
        <v>6720000</v>
      </c>
      <c r="G26">
        <v>34460</v>
      </c>
      <c r="H26">
        <f>IFERROR(Sheet1[[#This Row],[Volume (24h)]]/Sheet1[[#This Row],[Circulating Supply]],0)</f>
        <v>5.8983941016058984E-9</v>
      </c>
      <c r="I26">
        <f>RANK(Table2[[#This Row],[Market Cap]],Table2[Market Cap],0)</f>
        <v>229</v>
      </c>
      <c r="J26" t="str">
        <f t="shared" si="0"/>
        <v>10-100</v>
      </c>
    </row>
    <row r="27" spans="1:10">
      <c r="A27" t="s">
        <v>63</v>
      </c>
      <c r="B27" t="s">
        <v>932</v>
      </c>
      <c r="C27">
        <v>9.3123999999999998E-2</v>
      </c>
      <c r="D27">
        <v>1.03</v>
      </c>
      <c r="E27">
        <v>55980000</v>
      </c>
      <c r="F27">
        <v>4240000</v>
      </c>
      <c r="G27">
        <v>0</v>
      </c>
      <c r="H27">
        <f>IFERROR(Sheet1[[#This Row],[Volume (24h)]]/Sheet1[[#This Row],[Circulating Supply]],0)</f>
        <v>4.1620938628158848E-2</v>
      </c>
      <c r="I27">
        <f>RANK(Table2[[#This Row],[Market Cap]],Table2[Market Cap],0)</f>
        <v>50</v>
      </c>
      <c r="J27" t="str">
        <f t="shared" si="0"/>
        <v>0-0.5</v>
      </c>
    </row>
    <row r="28" spans="1:10">
      <c r="A28" t="s">
        <v>152</v>
      </c>
      <c r="B28" t="s">
        <v>587</v>
      </c>
      <c r="C28">
        <v>0.10150000000000001</v>
      </c>
      <c r="D28">
        <v>1.23</v>
      </c>
      <c r="E28">
        <v>7080000</v>
      </c>
      <c r="F28">
        <v>384890</v>
      </c>
      <c r="G28">
        <v>69780000</v>
      </c>
      <c r="H28">
        <f>IFERROR(Sheet1[[#This Row],[Volume (24h)]]/Sheet1[[#This Row],[Circulating Supply]],0)</f>
        <v>5.8149999999999999E-3</v>
      </c>
      <c r="I28">
        <f>RANK(Table2[[#This Row],[Market Cap]],Table2[Market Cap],0)</f>
        <v>162</v>
      </c>
      <c r="J28" t="str">
        <f t="shared" si="0"/>
        <v>0-0.5</v>
      </c>
    </row>
    <row r="29" spans="1:10">
      <c r="A29" t="s">
        <v>79</v>
      </c>
      <c r="B29" t="s">
        <v>933</v>
      </c>
      <c r="C29">
        <v>0.26240000000000002</v>
      </c>
      <c r="D29">
        <v>0.37</v>
      </c>
      <c r="E29">
        <v>27830000</v>
      </c>
      <c r="F29">
        <v>2800000</v>
      </c>
      <c r="G29">
        <v>106040000</v>
      </c>
      <c r="H29">
        <f>IFERROR(Sheet1[[#This Row],[Volume (24h)]]/Sheet1[[#This Row],[Circulating Supply]],0)</f>
        <v>2.3766730401529636E-3</v>
      </c>
      <c r="I29">
        <f>RANK(Table2[[#This Row],[Market Cap]],Table2[Market Cap],0)</f>
        <v>88</v>
      </c>
      <c r="J29" t="str">
        <f t="shared" si="0"/>
        <v>0-0.5</v>
      </c>
    </row>
    <row r="30" spans="1:10">
      <c r="A30" t="s">
        <v>31</v>
      </c>
      <c r="B30" t="s">
        <v>382</v>
      </c>
      <c r="C30">
        <v>8.2500000000000004E-2</v>
      </c>
      <c r="D30">
        <v>0.08</v>
      </c>
      <c r="E30">
        <v>649330000</v>
      </c>
      <c r="F30">
        <v>11920000</v>
      </c>
      <c r="G30">
        <v>7860000000</v>
      </c>
      <c r="H30">
        <f>IFERROR(Sheet1[[#This Row],[Volume (24h)]]/Sheet1[[#This Row],[Circulating Supply]],0)</f>
        <v>4.5357142857142856E-6</v>
      </c>
      <c r="I30">
        <f>RANK(Table2[[#This Row],[Market Cap]],Table2[Market Cap],0)</f>
        <v>23</v>
      </c>
      <c r="J30" t="str">
        <f t="shared" si="0"/>
        <v>0-0.5</v>
      </c>
    </row>
    <row r="31" spans="1:10">
      <c r="A31" t="s">
        <v>222</v>
      </c>
      <c r="B31" t="s">
        <v>934</v>
      </c>
      <c r="C31">
        <v>4.1340000000000002E-2</v>
      </c>
      <c r="D31">
        <v>0</v>
      </c>
      <c r="E31">
        <v>2540000</v>
      </c>
      <c r="F31">
        <v>8440</v>
      </c>
      <c r="G31">
        <v>61480000</v>
      </c>
      <c r="H31">
        <f>IFERROR(Sheet1[[#This Row],[Volume (24h)]]/Sheet1[[#This Row],[Circulating Supply]],0)</f>
        <v>6.2935779816513764E-3</v>
      </c>
      <c r="I31">
        <f>RANK(Table2[[#This Row],[Market Cap]],Table2[Market Cap],0)</f>
        <v>222</v>
      </c>
      <c r="J31" t="str">
        <f t="shared" si="0"/>
        <v>0-0.5</v>
      </c>
    </row>
    <row r="32" spans="1:10">
      <c r="A32" t="s">
        <v>42</v>
      </c>
      <c r="B32" t="s">
        <v>935</v>
      </c>
      <c r="C32">
        <v>2.3769999999999999E-2</v>
      </c>
      <c r="D32">
        <v>0.43</v>
      </c>
      <c r="E32">
        <v>57720000</v>
      </c>
      <c r="F32">
        <v>7340000</v>
      </c>
      <c r="G32">
        <v>2420000000</v>
      </c>
      <c r="H32">
        <f>IFERROR(Sheet1[[#This Row],[Volume (24h)]]/Sheet1[[#This Row],[Circulating Supply]],0)</f>
        <v>7.4812654376979864E-5</v>
      </c>
      <c r="I32">
        <f>RANK(Table2[[#This Row],[Market Cap]],Table2[Market Cap],0)</f>
        <v>48</v>
      </c>
      <c r="J32" t="str">
        <f t="shared" si="0"/>
        <v>0-0.5</v>
      </c>
    </row>
    <row r="33" spans="1:10">
      <c r="A33" t="s">
        <v>210</v>
      </c>
      <c r="B33" t="s">
        <v>774</v>
      </c>
      <c r="C33">
        <v>1.817E-4</v>
      </c>
      <c r="D33">
        <v>0</v>
      </c>
      <c r="E33">
        <v>1590000</v>
      </c>
      <c r="F33">
        <v>23440</v>
      </c>
      <c r="G33">
        <v>8790000000</v>
      </c>
      <c r="H33">
        <f>IFERROR(Sheet1[[#This Row],[Volume (24h)]]/Sheet1[[#This Row],[Circulating Supply]],0)</f>
        <v>2.4219424460431653E-5</v>
      </c>
      <c r="I33">
        <f>RANK(Table2[[#This Row],[Market Cap]],Table2[Market Cap],0)</f>
        <v>246</v>
      </c>
      <c r="J33" t="str">
        <f t="shared" si="0"/>
        <v>0-0.5</v>
      </c>
    </row>
    <row r="34" spans="1:10">
      <c r="A34" t="s">
        <v>253</v>
      </c>
      <c r="B34" t="s">
        <v>936</v>
      </c>
      <c r="C34">
        <v>2.087E-4</v>
      </c>
      <c r="D34">
        <v>0</v>
      </c>
      <c r="E34">
        <v>1600000</v>
      </c>
      <c r="F34">
        <v>0</v>
      </c>
      <c r="G34">
        <v>7700000000</v>
      </c>
      <c r="H34">
        <f>IFERROR(Sheet1[[#This Row],[Volume (24h)]]/Sheet1[[#This Row],[Circulating Supply]],0)</f>
        <v>4.7220212765957444E-4</v>
      </c>
      <c r="I34">
        <f>RANK(Table2[[#This Row],[Market Cap]],Table2[Market Cap],0)</f>
        <v>243</v>
      </c>
      <c r="J34" t="str">
        <f t="shared" si="0"/>
        <v>0-0.5</v>
      </c>
    </row>
    <row r="35" spans="1:10">
      <c r="A35" t="s">
        <v>5</v>
      </c>
      <c r="B35" t="s">
        <v>322</v>
      </c>
      <c r="C35">
        <v>62905.02</v>
      </c>
      <c r="D35">
        <v>0.01</v>
      </c>
      <c r="E35">
        <v>1260000000000</v>
      </c>
      <c r="F35">
        <v>30990000000</v>
      </c>
      <c r="G35">
        <v>20060000</v>
      </c>
      <c r="H35">
        <f>IFERROR(Sheet1[[#This Row],[Volume (24h)]]/Sheet1[[#This Row],[Circulating Supply]],0)</f>
        <v>6.7722075637642919E-8</v>
      </c>
      <c r="I35">
        <f>RANK(Table2[[#This Row],[Market Cap]],Table2[Market Cap],0)</f>
        <v>1</v>
      </c>
      <c r="J35" t="str">
        <f t="shared" si="0"/>
        <v>10000+</v>
      </c>
    </row>
    <row r="36" spans="1:10">
      <c r="A36" t="s">
        <v>254</v>
      </c>
      <c r="B36" t="s">
        <v>937</v>
      </c>
      <c r="C36">
        <v>6.3210000000000002E-2</v>
      </c>
      <c r="D36">
        <v>0</v>
      </c>
      <c r="E36">
        <v>11780000</v>
      </c>
      <c r="F36">
        <v>0</v>
      </c>
      <c r="G36">
        <v>186490000</v>
      </c>
      <c r="H36">
        <f>IFERROR(Sheet1[[#This Row],[Volume (24h)]]/Sheet1[[#This Row],[Circulating Supply]],0)</f>
        <v>8.288888888888889E-3</v>
      </c>
      <c r="I36">
        <f>RANK(Table2[[#This Row],[Market Cap]],Table2[Market Cap],0)</f>
        <v>132</v>
      </c>
      <c r="J36" t="str">
        <f t="shared" si="0"/>
        <v>0-0.5</v>
      </c>
    </row>
    <row r="37" spans="1:10">
      <c r="A37" t="s">
        <v>37</v>
      </c>
      <c r="B37" t="s">
        <v>938</v>
      </c>
      <c r="C37">
        <v>12.58</v>
      </c>
      <c r="D37">
        <v>0.47</v>
      </c>
      <c r="E37">
        <v>252500000</v>
      </c>
      <c r="F37">
        <v>8450000</v>
      </c>
      <c r="G37">
        <v>20060000</v>
      </c>
      <c r="H37">
        <f>IFERROR(Sheet1[[#This Row],[Volume (24h)]]/Sheet1[[#This Row],[Circulating Supply]],0)</f>
        <v>1.3403361344537816E-2</v>
      </c>
      <c r="I37">
        <f>RANK(Table2[[#This Row],[Market Cap]],Table2[Market Cap],0)</f>
        <v>35</v>
      </c>
      <c r="J37" t="str">
        <f t="shared" si="0"/>
        <v>10-100</v>
      </c>
    </row>
    <row r="38" spans="1:10">
      <c r="A38" t="s">
        <v>182</v>
      </c>
      <c r="B38" t="s">
        <v>939</v>
      </c>
      <c r="C38">
        <v>0.47439999999999999</v>
      </c>
      <c r="D38">
        <v>0.66</v>
      </c>
      <c r="E38">
        <v>38890000</v>
      </c>
      <c r="F38">
        <v>138940</v>
      </c>
      <c r="G38">
        <v>81970000</v>
      </c>
      <c r="H38">
        <f>IFERROR(Sheet1[[#This Row],[Volume (24h)]]/Sheet1[[#This Row],[Circulating Supply]],0)</f>
        <v>8.2250427350427353E-4</v>
      </c>
      <c r="I38">
        <f>RANK(Table2[[#This Row],[Market Cap]],Table2[Market Cap],0)</f>
        <v>63</v>
      </c>
      <c r="J38" t="str">
        <f t="shared" si="0"/>
        <v>0-0.5</v>
      </c>
    </row>
    <row r="39" spans="1:10">
      <c r="A39" t="s">
        <v>70</v>
      </c>
      <c r="B39" t="s">
        <v>940</v>
      </c>
      <c r="C39">
        <v>0.13020000000000001</v>
      </c>
      <c r="D39">
        <v>0.31</v>
      </c>
      <c r="E39">
        <v>5600000</v>
      </c>
      <c r="F39">
        <v>3260000</v>
      </c>
      <c r="G39">
        <v>43050000</v>
      </c>
      <c r="H39">
        <f>IFERROR(Sheet1[[#This Row],[Volume (24h)]]/Sheet1[[#This Row],[Circulating Supply]],0)</f>
        <v>3.9011235955056182E-3</v>
      </c>
      <c r="I39">
        <f>RANK(Table2[[#This Row],[Market Cap]],Table2[Market Cap],0)</f>
        <v>178</v>
      </c>
      <c r="J39" t="str">
        <f t="shared" si="0"/>
        <v>0-0.5</v>
      </c>
    </row>
    <row r="40" spans="1:10">
      <c r="A40" t="s">
        <v>60</v>
      </c>
      <c r="B40" t="s">
        <v>356</v>
      </c>
      <c r="C40">
        <v>6.2614000000000003E-2</v>
      </c>
      <c r="D40">
        <v>0.18</v>
      </c>
      <c r="E40">
        <v>258040000</v>
      </c>
      <c r="F40">
        <v>4450000</v>
      </c>
      <c r="G40">
        <v>987030000000000</v>
      </c>
      <c r="H40">
        <f>IFERROR(Sheet1[[#This Row],[Volume (24h)]]/Sheet1[[#This Row],[Circulating Supply]],0)</f>
        <v>7.2638733894694121E-2</v>
      </c>
      <c r="I40">
        <f>RANK(Table2[[#This Row],[Market Cap]],Table2[Market Cap],0)</f>
        <v>32</v>
      </c>
      <c r="J40" t="str">
        <f t="shared" si="0"/>
        <v>0-0.5</v>
      </c>
    </row>
    <row r="41" spans="1:10">
      <c r="A41" t="s">
        <v>77</v>
      </c>
      <c r="B41" t="s">
        <v>941</v>
      </c>
      <c r="C41">
        <v>2.3809999999999999E-4</v>
      </c>
      <c r="D41">
        <v>0.06</v>
      </c>
      <c r="E41">
        <v>15820000</v>
      </c>
      <c r="F41">
        <v>3020000</v>
      </c>
      <c r="G41">
        <v>66430000000</v>
      </c>
      <c r="H41">
        <f>IFERROR(Sheet1[[#This Row],[Volume (24h)]]/Sheet1[[#This Row],[Circulating Supply]],0)</f>
        <v>7.5115879828326179E-4</v>
      </c>
      <c r="I41">
        <f>RANK(Table2[[#This Row],[Market Cap]],Table2[Market Cap],0)</f>
        <v>110</v>
      </c>
      <c r="J41" t="str">
        <f t="shared" si="0"/>
        <v>0-0.5</v>
      </c>
    </row>
    <row r="42" spans="1:10">
      <c r="A42" t="s">
        <v>102</v>
      </c>
      <c r="B42" t="s">
        <v>942</v>
      </c>
      <c r="C42">
        <v>8.1779999999999995E-3</v>
      </c>
      <c r="D42">
        <v>0.83</v>
      </c>
      <c r="E42">
        <v>15880000</v>
      </c>
      <c r="F42">
        <v>1700000</v>
      </c>
      <c r="G42">
        <v>1940000000</v>
      </c>
      <c r="H42">
        <f>IFERROR(Sheet1[[#This Row],[Volume (24h)]]/Sheet1[[#This Row],[Circulating Supply]],0)</f>
        <v>1.2592121982210928E-3</v>
      </c>
      <c r="I42">
        <f>RANK(Table2[[#This Row],[Market Cap]],Table2[Market Cap],0)</f>
        <v>107</v>
      </c>
      <c r="J42" t="str">
        <f t="shared" si="0"/>
        <v>0-0.5</v>
      </c>
    </row>
    <row r="43" spans="1:10">
      <c r="A43" t="s">
        <v>8</v>
      </c>
      <c r="B43" t="s">
        <v>479</v>
      </c>
      <c r="C43">
        <v>0.11799999999999999</v>
      </c>
      <c r="D43">
        <v>0.51</v>
      </c>
      <c r="E43">
        <v>27890000</v>
      </c>
      <c r="F43">
        <v>663280000</v>
      </c>
      <c r="G43">
        <v>236300000</v>
      </c>
      <c r="H43">
        <f>IFERROR(Sheet1[[#This Row],[Volume (24h)]]/Sheet1[[#This Row],[Circulating Supply]],0)</f>
        <v>2.1617718731385043E-4</v>
      </c>
      <c r="I43">
        <f>RANK(Table2[[#This Row],[Market Cap]],Table2[Market Cap],0)</f>
        <v>87</v>
      </c>
      <c r="J43" t="str">
        <f t="shared" si="0"/>
        <v>0-0.5</v>
      </c>
    </row>
    <row r="44" spans="1:10">
      <c r="A44" t="s">
        <v>202</v>
      </c>
      <c r="B44" t="s">
        <v>943</v>
      </c>
      <c r="C44">
        <v>1.406E-2</v>
      </c>
      <c r="D44">
        <v>0.12</v>
      </c>
      <c r="E44">
        <v>864710</v>
      </c>
      <c r="F44">
        <v>39030</v>
      </c>
      <c r="G44">
        <v>61470000</v>
      </c>
      <c r="H44">
        <f>IFERROR(Sheet1[[#This Row],[Volume (24h)]]/Sheet1[[#This Row],[Circulating Supply]],0)</f>
        <v>6.462551111997606E-3</v>
      </c>
      <c r="I44">
        <f>RANK(Table2[[#This Row],[Market Cap]],Table2[Market Cap],0)</f>
        <v>297</v>
      </c>
      <c r="J44" t="str">
        <f t="shared" si="0"/>
        <v>0-0.5</v>
      </c>
    </row>
    <row r="45" spans="1:10">
      <c r="A45" t="s">
        <v>93</v>
      </c>
      <c r="B45" t="s">
        <v>944</v>
      </c>
      <c r="C45">
        <v>206.65</v>
      </c>
      <c r="D45">
        <v>0.74</v>
      </c>
      <c r="E45">
        <v>1040000</v>
      </c>
      <c r="F45">
        <v>1950000</v>
      </c>
      <c r="G45">
        <v>5060</v>
      </c>
      <c r="H45">
        <f>IFERROR(Sheet1[[#This Row],[Volume (24h)]]/Sheet1[[#This Row],[Circulating Supply]],0)</f>
        <v>4.6459134317251641E-2</v>
      </c>
      <c r="I45">
        <f>RANK(Table2[[#This Row],[Market Cap]],Table2[Market Cap],0)</f>
        <v>278</v>
      </c>
      <c r="J45" t="str">
        <f t="shared" si="0"/>
        <v>100-10000</v>
      </c>
    </row>
    <row r="46" spans="1:10">
      <c r="A46" t="s">
        <v>6</v>
      </c>
      <c r="B46" t="s">
        <v>6</v>
      </c>
      <c r="C46">
        <v>586.66999999999996</v>
      </c>
      <c r="D46">
        <v>0.21</v>
      </c>
      <c r="E46">
        <v>78080000000</v>
      </c>
      <c r="F46">
        <v>1230000000</v>
      </c>
      <c r="G46">
        <v>133160000</v>
      </c>
      <c r="H46">
        <f>IFERROR(Sheet1[[#This Row],[Volume (24h)]]/Sheet1[[#This Row],[Circulating Supply]],0)</f>
        <v>2.6080000000000001E-3</v>
      </c>
      <c r="I46">
        <f>RANK(Table2[[#This Row],[Market Cap]],Table2[Market Cap],0)</f>
        <v>4</v>
      </c>
      <c r="J46" t="str">
        <f t="shared" si="0"/>
        <v>100-10000</v>
      </c>
    </row>
    <row r="47" spans="1:10">
      <c r="A47" t="s">
        <v>126</v>
      </c>
      <c r="B47" t="s">
        <v>945</v>
      </c>
      <c r="C47">
        <v>1.883E-2</v>
      </c>
      <c r="D47">
        <v>0.05</v>
      </c>
      <c r="E47">
        <v>9290000</v>
      </c>
      <c r="F47">
        <v>1000000</v>
      </c>
      <c r="G47">
        <v>493580000</v>
      </c>
      <c r="H47">
        <f>IFERROR(Sheet1[[#This Row],[Volume (24h)]]/Sheet1[[#This Row],[Circulating Supply]],0)</f>
        <v>3.1039646220804119E-2</v>
      </c>
      <c r="I47">
        <f>RANK(Table2[[#This Row],[Market Cap]],Table2[Market Cap],0)</f>
        <v>139</v>
      </c>
      <c r="J47" t="str">
        <f t="shared" si="0"/>
        <v>0-0.5</v>
      </c>
    </row>
    <row r="48" spans="1:10">
      <c r="A48" t="s">
        <v>18</v>
      </c>
      <c r="B48" t="s">
        <v>358</v>
      </c>
      <c r="C48">
        <v>5.2774000000000001E-2</v>
      </c>
      <c r="D48">
        <v>0.42</v>
      </c>
      <c r="E48">
        <v>244180000</v>
      </c>
      <c r="F48">
        <v>33610000</v>
      </c>
      <c r="G48">
        <v>87990000000000</v>
      </c>
      <c r="H48">
        <f>IFERROR(Sheet1[[#This Row],[Volume (24h)]]/Sheet1[[#This Row],[Circulating Supply]],0)</f>
        <v>24.392606092163501</v>
      </c>
      <c r="I48">
        <f>RANK(Table2[[#This Row],[Market Cap]],Table2[Market Cap],0)</f>
        <v>39</v>
      </c>
      <c r="J48" t="str">
        <f t="shared" si="0"/>
        <v>0-0.5</v>
      </c>
    </row>
    <row r="49" spans="1:10">
      <c r="A49" t="s">
        <v>255</v>
      </c>
      <c r="B49" t="s">
        <v>946</v>
      </c>
      <c r="C49">
        <v>2.7140000000000001E-2</v>
      </c>
      <c r="D49">
        <v>0.48</v>
      </c>
      <c r="E49">
        <v>2610000</v>
      </c>
      <c r="F49">
        <v>14640</v>
      </c>
      <c r="G49">
        <v>96190000</v>
      </c>
      <c r="H49">
        <f>IFERROR(Sheet1[[#This Row],[Volume (24h)]]/Sheet1[[#This Row],[Circulating Supply]],0)</f>
        <v>2.9726075877689694E-6</v>
      </c>
      <c r="I49">
        <f>RANK(Table2[[#This Row],[Market Cap]],Table2[Market Cap],0)</f>
        <v>214</v>
      </c>
      <c r="J49" t="str">
        <f t="shared" si="0"/>
        <v>0-0.5</v>
      </c>
    </row>
    <row r="50" spans="1:10">
      <c r="A50" t="s">
        <v>237</v>
      </c>
      <c r="B50" t="s">
        <v>237</v>
      </c>
      <c r="C50">
        <v>2.5559999999999999E-5</v>
      </c>
      <c r="D50">
        <v>0.36</v>
      </c>
      <c r="E50">
        <v>1980000</v>
      </c>
      <c r="F50">
        <v>826.89</v>
      </c>
      <c r="G50">
        <v>77570000000</v>
      </c>
      <c r="H50">
        <f>IFERROR(Sheet1[[#This Row],[Volume (24h)]]/Sheet1[[#This Row],[Circulating Supply]],0)</f>
        <v>2.3517571884984028</v>
      </c>
      <c r="I50">
        <f>RANK(Table2[[#This Row],[Market Cap]],Table2[Market Cap],0)</f>
        <v>239</v>
      </c>
      <c r="J50" t="str">
        <f t="shared" si="0"/>
        <v>0-0.5</v>
      </c>
    </row>
    <row r="51" spans="1:10">
      <c r="A51" t="s">
        <v>62</v>
      </c>
      <c r="B51" t="s">
        <v>947</v>
      </c>
      <c r="C51">
        <v>3.8549999999999999E-3</v>
      </c>
      <c r="D51">
        <v>0.28999999999999998</v>
      </c>
      <c r="E51">
        <v>38550000</v>
      </c>
      <c r="F51">
        <v>4290000</v>
      </c>
      <c r="G51">
        <v>9990000000</v>
      </c>
      <c r="H51">
        <f>IFERROR(Sheet1[[#This Row],[Volume (24h)]]/Sheet1[[#This Row],[Circulating Supply]],0)</f>
        <v>1.5646781789638933E-2</v>
      </c>
      <c r="I51">
        <f>RANK(Table2[[#This Row],[Market Cap]],Table2[Market Cap],0)</f>
        <v>68</v>
      </c>
      <c r="J51" t="str">
        <f t="shared" si="0"/>
        <v>0-0.5</v>
      </c>
    </row>
    <row r="52" spans="1:10">
      <c r="A52" t="s">
        <v>75</v>
      </c>
      <c r="B52" t="s">
        <v>948</v>
      </c>
      <c r="C52">
        <v>389.13</v>
      </c>
      <c r="D52">
        <v>0.47</v>
      </c>
      <c r="E52">
        <v>5660000</v>
      </c>
      <c r="F52">
        <v>3050000</v>
      </c>
      <c r="G52">
        <v>14550</v>
      </c>
      <c r="H52">
        <f>IFERROR(Sheet1[[#This Row],[Volume (24h)]]/Sheet1[[#This Row],[Circulating Supply]],0)</f>
        <v>2.4593982960596381E-2</v>
      </c>
      <c r="I52">
        <f>RANK(Table2[[#This Row],[Market Cap]],Table2[Market Cap],0)</f>
        <v>174</v>
      </c>
      <c r="J52" t="str">
        <f t="shared" si="0"/>
        <v>100-10000</v>
      </c>
    </row>
    <row r="53" spans="1:10">
      <c r="A53" t="s">
        <v>256</v>
      </c>
      <c r="B53" t="s">
        <v>664</v>
      </c>
      <c r="C53">
        <v>2.3269999999999999E-5</v>
      </c>
      <c r="D53">
        <v>0</v>
      </c>
      <c r="E53">
        <v>4280000</v>
      </c>
      <c r="F53">
        <v>0</v>
      </c>
      <c r="G53">
        <v>184060000000</v>
      </c>
      <c r="H53">
        <f>IFERROR(Sheet1[[#This Row],[Volume (24h)]]/Sheet1[[#This Row],[Circulating Supply]],0)</f>
        <v>7.8799999999999996E-4</v>
      </c>
      <c r="I53">
        <f>RANK(Table2[[#This Row],[Market Cap]],Table2[Market Cap],0)</f>
        <v>188</v>
      </c>
      <c r="J53" t="str">
        <f t="shared" si="0"/>
        <v>0-0.5</v>
      </c>
    </row>
    <row r="54" spans="1:10">
      <c r="A54" t="s">
        <v>27</v>
      </c>
      <c r="B54" t="s">
        <v>380</v>
      </c>
      <c r="C54">
        <v>0.1946</v>
      </c>
      <c r="D54">
        <v>1.1399999999999999</v>
      </c>
      <c r="E54">
        <v>867730000</v>
      </c>
      <c r="F54">
        <v>14480000</v>
      </c>
      <c r="G54">
        <v>4450000000</v>
      </c>
      <c r="H54">
        <f>IFERROR(Sheet1[[#This Row],[Volume (24h)]]/Sheet1[[#This Row],[Circulating Supply]],0)</f>
        <v>1.3031543069402917E-2</v>
      </c>
      <c r="I54">
        <f>RANK(Table2[[#This Row],[Market Cap]],Table2[Market Cap],0)</f>
        <v>21</v>
      </c>
      <c r="J54" t="str">
        <f t="shared" si="0"/>
        <v>0-0.5</v>
      </c>
    </row>
    <row r="55" spans="1:10">
      <c r="A55" t="s">
        <v>11</v>
      </c>
      <c r="B55" t="s">
        <v>949</v>
      </c>
      <c r="C55">
        <v>0.16869999999999999</v>
      </c>
      <c r="D55">
        <v>0.85</v>
      </c>
      <c r="E55">
        <v>6160000000</v>
      </c>
      <c r="F55">
        <v>318820000</v>
      </c>
      <c r="G55">
        <v>36500000000</v>
      </c>
      <c r="H55">
        <f>IFERROR(Sheet1[[#This Row],[Volume (24h)]]/Sheet1[[#This Row],[Circulating Supply]],0)</f>
        <v>5.7121416779228579E-5</v>
      </c>
      <c r="I55">
        <f>RANK(Table2[[#This Row],[Market Cap]],Table2[Market Cap],0)</f>
        <v>16</v>
      </c>
      <c r="J55" t="str">
        <f t="shared" si="0"/>
        <v>0-0.5</v>
      </c>
    </row>
    <row r="56" spans="1:10">
      <c r="A56" t="s">
        <v>236</v>
      </c>
      <c r="B56" t="s">
        <v>950</v>
      </c>
      <c r="C56">
        <v>7.7348E-2</v>
      </c>
      <c r="D56">
        <v>0.13</v>
      </c>
      <c r="E56">
        <v>4200000</v>
      </c>
      <c r="F56">
        <v>838.91</v>
      </c>
      <c r="G56">
        <v>57270000000000</v>
      </c>
      <c r="H56">
        <f>IFERROR(Sheet1[[#This Row],[Volume (24h)]]/Sheet1[[#This Row],[Circulating Supply]],0)</f>
        <v>1.8609841258414025E-2</v>
      </c>
      <c r="I56">
        <f>RANK(Table2[[#This Row],[Market Cap]],Table2[Market Cap],0)</f>
        <v>194</v>
      </c>
      <c r="J56" t="str">
        <f t="shared" si="0"/>
        <v>0-0.5</v>
      </c>
    </row>
    <row r="57" spans="1:10">
      <c r="A57" t="s">
        <v>257</v>
      </c>
      <c r="B57" t="s">
        <v>951</v>
      </c>
      <c r="C57">
        <v>2.0139999999999999E-4</v>
      </c>
      <c r="D57">
        <v>0</v>
      </c>
      <c r="E57">
        <v>880500</v>
      </c>
      <c r="F57">
        <v>0</v>
      </c>
      <c r="G57">
        <v>4370000000</v>
      </c>
      <c r="H57">
        <f>IFERROR(Sheet1[[#This Row],[Volume (24h)]]/Sheet1[[#This Row],[Circulating Supply]],0)</f>
        <v>0.20063945578231293</v>
      </c>
      <c r="I57">
        <f>RANK(Table2[[#This Row],[Market Cap]],Table2[Market Cap],0)</f>
        <v>288</v>
      </c>
      <c r="J57" t="str">
        <f t="shared" si="0"/>
        <v>0-0.5</v>
      </c>
    </row>
    <row r="58" spans="1:10">
      <c r="A58" t="s">
        <v>92</v>
      </c>
      <c r="B58" t="s">
        <v>952</v>
      </c>
      <c r="C58">
        <v>6.2759999999999996E-2</v>
      </c>
      <c r="D58">
        <v>0.03</v>
      </c>
      <c r="E58">
        <v>37890000</v>
      </c>
      <c r="F58">
        <v>2010000</v>
      </c>
      <c r="G58">
        <v>603760000</v>
      </c>
      <c r="H58">
        <f>IFERROR(Sheet1[[#This Row],[Volume (24h)]]/Sheet1[[#This Row],[Circulating Supply]],0)</f>
        <v>1.4527826596367897E-2</v>
      </c>
      <c r="I58">
        <f>RANK(Table2[[#This Row],[Market Cap]],Table2[Market Cap],0)</f>
        <v>72</v>
      </c>
      <c r="J58" t="str">
        <f t="shared" si="0"/>
        <v>0-0.5</v>
      </c>
    </row>
    <row r="59" spans="1:10">
      <c r="A59" t="s">
        <v>175</v>
      </c>
      <c r="B59" t="s">
        <v>953</v>
      </c>
      <c r="C59">
        <v>1.2409999999999999E-3</v>
      </c>
      <c r="D59">
        <v>0.23</v>
      </c>
      <c r="E59">
        <v>3280000</v>
      </c>
      <c r="F59">
        <v>169600</v>
      </c>
      <c r="G59">
        <v>2650000000</v>
      </c>
      <c r="H59">
        <f>IFERROR(Sheet1[[#This Row],[Volume (24h)]]/Sheet1[[#This Row],[Circulating Supply]],0)</f>
        <v>1.1325681255161023E-2</v>
      </c>
      <c r="I59">
        <f>RANK(Table2[[#This Row],[Market Cap]],Table2[Market Cap],0)</f>
        <v>204</v>
      </c>
      <c r="J59" t="str">
        <f t="shared" si="0"/>
        <v>0-0.5</v>
      </c>
    </row>
    <row r="60" spans="1:10">
      <c r="A60" t="s">
        <v>258</v>
      </c>
      <c r="B60" t="s">
        <v>954</v>
      </c>
      <c r="C60">
        <v>2.3650000000000001E-2</v>
      </c>
      <c r="D60">
        <v>0.02</v>
      </c>
      <c r="E60">
        <v>1280000</v>
      </c>
      <c r="F60">
        <v>0</v>
      </c>
      <c r="G60">
        <v>54380000</v>
      </c>
      <c r="H60">
        <f>IFERROR(Sheet1[[#This Row],[Volume (24h)]]/Sheet1[[#This Row],[Circulating Supply]],0)</f>
        <v>0</v>
      </c>
      <c r="I60">
        <f>RANK(Table2[[#This Row],[Market Cap]],Table2[Market Cap],0)</f>
        <v>260</v>
      </c>
      <c r="J60" t="str">
        <f t="shared" si="0"/>
        <v>0-0.5</v>
      </c>
    </row>
    <row r="61" spans="1:10">
      <c r="A61" t="s">
        <v>130</v>
      </c>
      <c r="B61" t="s">
        <v>955</v>
      </c>
      <c r="C61">
        <v>1.42</v>
      </c>
      <c r="D61">
        <v>0.46</v>
      </c>
      <c r="E61">
        <v>20520000</v>
      </c>
      <c r="F61">
        <v>786200</v>
      </c>
      <c r="G61">
        <v>14410000</v>
      </c>
      <c r="H61">
        <f>IFERROR(Sheet1[[#This Row],[Volume (24h)]]/Sheet1[[#This Row],[Circulating Supply]],0)</f>
        <v>7.0537619215824798E-9</v>
      </c>
      <c r="I61">
        <f>RANK(Table2[[#This Row],[Market Cap]],Table2[Market Cap],0)</f>
        <v>94</v>
      </c>
      <c r="J61" t="str">
        <f t="shared" si="0"/>
        <v>1-2</v>
      </c>
    </row>
    <row r="62" spans="1:10">
      <c r="A62" t="s">
        <v>259</v>
      </c>
      <c r="B62" t="s">
        <v>956</v>
      </c>
      <c r="C62">
        <v>0.1129</v>
      </c>
      <c r="D62">
        <v>0.12</v>
      </c>
      <c r="E62">
        <v>9260000</v>
      </c>
      <c r="F62">
        <v>0</v>
      </c>
      <c r="G62">
        <v>82070000</v>
      </c>
      <c r="H62">
        <f>IFERROR(Sheet1[[#This Row],[Volume (24h)]]/Sheet1[[#This Row],[Circulating Supply]],0)</f>
        <v>5.3999999999999999E-2</v>
      </c>
      <c r="I62">
        <f>RANK(Table2[[#This Row],[Market Cap]],Table2[Market Cap],0)</f>
        <v>140</v>
      </c>
      <c r="J62" t="str">
        <f t="shared" si="0"/>
        <v>0-0.5</v>
      </c>
    </row>
    <row r="63" spans="1:10">
      <c r="A63" t="s">
        <v>145</v>
      </c>
      <c r="B63" t="s">
        <v>957</v>
      </c>
      <c r="C63">
        <v>145.94</v>
      </c>
      <c r="D63">
        <v>0.63</v>
      </c>
      <c r="E63">
        <v>1600000</v>
      </c>
      <c r="F63">
        <v>468100</v>
      </c>
      <c r="G63">
        <v>10970</v>
      </c>
      <c r="H63">
        <f>IFERROR(Sheet1[[#This Row],[Volume (24h)]]/Sheet1[[#This Row],[Circulating Supply]],0)</f>
        <v>4.0925589836660617E-4</v>
      </c>
      <c r="I63">
        <f>RANK(Table2[[#This Row],[Market Cap]],Table2[Market Cap],0)</f>
        <v>243</v>
      </c>
      <c r="J63" t="str">
        <f t="shared" si="0"/>
        <v>100-10000</v>
      </c>
    </row>
    <row r="64" spans="1:10">
      <c r="A64" t="s">
        <v>260</v>
      </c>
      <c r="B64" t="s">
        <v>321</v>
      </c>
      <c r="C64">
        <v>127.69</v>
      </c>
      <c r="D64">
        <v>0.16</v>
      </c>
      <c r="E64">
        <v>6050000</v>
      </c>
      <c r="F64">
        <v>1570000</v>
      </c>
      <c r="G64">
        <v>47430</v>
      </c>
      <c r="H64">
        <f>IFERROR(Sheet1[[#This Row],[Volume (24h)]]/Sheet1[[#This Row],[Circulating Supply]],0)</f>
        <v>0.20204081632653062</v>
      </c>
      <c r="I64">
        <f>RANK(Table2[[#This Row],[Market Cap]],Table2[Market Cap],0)</f>
        <v>165</v>
      </c>
      <c r="J64" t="str">
        <f t="shared" si="0"/>
        <v>100-10000</v>
      </c>
    </row>
    <row r="65" spans="1:10">
      <c r="A65" t="s">
        <v>14</v>
      </c>
      <c r="B65" t="s">
        <v>367</v>
      </c>
      <c r="C65">
        <v>4.2750000000000003E-2</v>
      </c>
      <c r="D65">
        <v>0.84</v>
      </c>
      <c r="E65">
        <v>223520000</v>
      </c>
      <c r="F65">
        <v>87220000</v>
      </c>
      <c r="G65">
        <v>5220000000</v>
      </c>
      <c r="H65">
        <f>IFERROR(Sheet1[[#This Row],[Volume (24h)]]/Sheet1[[#This Row],[Circulating Supply]],0)</f>
        <v>7.648785210734925E-2</v>
      </c>
      <c r="I65">
        <f>RANK(Table2[[#This Row],[Market Cap]],Table2[Market Cap],0)</f>
        <v>41</v>
      </c>
      <c r="J65" t="str">
        <f t="shared" si="0"/>
        <v>0-0.5</v>
      </c>
    </row>
    <row r="66" spans="1:10">
      <c r="A66" t="s">
        <v>68</v>
      </c>
      <c r="B66" t="s">
        <v>958</v>
      </c>
      <c r="C66">
        <v>6.9989999999999997E-2</v>
      </c>
      <c r="D66">
        <v>0.66</v>
      </c>
      <c r="E66">
        <v>38460000</v>
      </c>
      <c r="F66">
        <v>3450000</v>
      </c>
      <c r="G66">
        <v>549560000</v>
      </c>
      <c r="H66">
        <f>IFERROR(Sheet1[[#This Row],[Volume (24h)]]/Sheet1[[#This Row],[Circulating Supply]],0)</f>
        <v>6.0000000000000001E-3</v>
      </c>
      <c r="I66">
        <f>RANK(Table2[[#This Row],[Market Cap]],Table2[Market Cap],0)</f>
        <v>69</v>
      </c>
      <c r="J66" t="str">
        <f t="shared" ref="J66:J129" si="1">IF(C66&lt;=0.5,"0-0.5",IF(C66&lt;=1,"0.5-1",IF(C66&lt;=2,"1-2",IF(C66&lt;=10,"2-10",IF(C66&lt;=100,"10-100",IF(C66&lt;=10000,"100-10000","10000+"))))))</f>
        <v>0-0.5</v>
      </c>
    </row>
    <row r="67" spans="1:10">
      <c r="A67" t="s">
        <v>198</v>
      </c>
      <c r="B67" t="s">
        <v>959</v>
      </c>
      <c r="C67">
        <v>3.3140000000000001E-3</v>
      </c>
      <c r="D67">
        <v>0.38</v>
      </c>
      <c r="E67">
        <v>1260000</v>
      </c>
      <c r="F67">
        <v>54550</v>
      </c>
      <c r="G67">
        <v>382950000</v>
      </c>
      <c r="H67">
        <f>IFERROR(Sheet1[[#This Row],[Volume (24h)]]/Sheet1[[#This Row],[Circulating Supply]],0)</f>
        <v>1.947935368043088E-5</v>
      </c>
      <c r="I67">
        <f>RANK(Table2[[#This Row],[Market Cap]],Table2[Market Cap],0)</f>
        <v>269</v>
      </c>
      <c r="J67" t="str">
        <f t="shared" si="1"/>
        <v>0-0.5</v>
      </c>
    </row>
    <row r="68" spans="1:10">
      <c r="A68" t="s">
        <v>147</v>
      </c>
      <c r="B68" t="s">
        <v>960</v>
      </c>
      <c r="C68">
        <v>8.4909999999999998E-4</v>
      </c>
      <c r="D68">
        <v>1.8</v>
      </c>
      <c r="E68">
        <v>7130000</v>
      </c>
      <c r="F68">
        <v>448520</v>
      </c>
      <c r="G68">
        <v>8390000000</v>
      </c>
      <c r="H68">
        <f>IFERROR(Sheet1[[#This Row],[Volume (24h)]]/Sheet1[[#This Row],[Circulating Supply]],0)</f>
        <v>2.2229965156794424E-3</v>
      </c>
      <c r="I68">
        <f>RANK(Table2[[#This Row],[Market Cap]],Table2[Market Cap],0)</f>
        <v>161</v>
      </c>
      <c r="J68" t="str">
        <f t="shared" si="1"/>
        <v>0-0.5</v>
      </c>
    </row>
    <row r="69" spans="1:10">
      <c r="A69" t="s">
        <v>160</v>
      </c>
      <c r="B69" t="s">
        <v>961</v>
      </c>
      <c r="C69">
        <v>1.6049999999999998E-2</v>
      </c>
      <c r="D69">
        <v>0.21</v>
      </c>
      <c r="E69">
        <v>9210000</v>
      </c>
      <c r="F69">
        <v>256790</v>
      </c>
      <c r="G69">
        <v>574370000</v>
      </c>
      <c r="H69">
        <f>IFERROR(Sheet1[[#This Row],[Volume (24h)]]/Sheet1[[#This Row],[Circulating Supply]],0)</f>
        <v>8.050847457627118E-5</v>
      </c>
      <c r="I69">
        <f>RANK(Table2[[#This Row],[Market Cap]],Table2[Market Cap],0)</f>
        <v>141</v>
      </c>
      <c r="J69" t="str">
        <f t="shared" si="1"/>
        <v>0-0.5</v>
      </c>
    </row>
    <row r="70" spans="1:10">
      <c r="A70" t="s">
        <v>165</v>
      </c>
      <c r="B70" t="s">
        <v>374</v>
      </c>
      <c r="C70">
        <v>0.7339</v>
      </c>
      <c r="D70">
        <v>1.1299999999999999</v>
      </c>
      <c r="E70">
        <v>8160000000</v>
      </c>
      <c r="F70">
        <v>236610</v>
      </c>
      <c r="G70">
        <v>11120000000</v>
      </c>
      <c r="H70">
        <f>IFERROR(Sheet1[[#This Row],[Volume (24h)]]/Sheet1[[#This Row],[Circulating Supply]],0)</f>
        <v>2.6201906822638449E-3</v>
      </c>
      <c r="I70">
        <f>RANK(Table2[[#This Row],[Market Cap]],Table2[Market Cap],0)</f>
        <v>13</v>
      </c>
      <c r="J70" t="str">
        <f t="shared" si="1"/>
        <v>0.5-1</v>
      </c>
    </row>
    <row r="71" spans="1:10">
      <c r="A71" t="s">
        <v>67</v>
      </c>
      <c r="B71" t="s">
        <v>962</v>
      </c>
      <c r="C71">
        <v>13.16</v>
      </c>
      <c r="D71">
        <v>0.13</v>
      </c>
      <c r="E71">
        <v>230930000</v>
      </c>
      <c r="F71">
        <v>3640000</v>
      </c>
      <c r="G71">
        <v>17530000</v>
      </c>
      <c r="H71">
        <f>IFERROR(Sheet1[[#This Row],[Volume (24h)]]/Sheet1[[#This Row],[Circulating Supply]],0)</f>
        <v>0.44723618090452261</v>
      </c>
      <c r="I71">
        <f>RANK(Table2[[#This Row],[Market Cap]],Table2[Market Cap],0)</f>
        <v>40</v>
      </c>
      <c r="J71" t="str">
        <f t="shared" si="1"/>
        <v>10-100</v>
      </c>
    </row>
    <row r="72" spans="1:10">
      <c r="A72" t="s">
        <v>218</v>
      </c>
      <c r="B72" t="s">
        <v>963</v>
      </c>
      <c r="C72">
        <v>1.6210000000000001E-4</v>
      </c>
      <c r="D72">
        <v>0.01</v>
      </c>
      <c r="E72">
        <v>880190</v>
      </c>
      <c r="F72">
        <v>11550</v>
      </c>
      <c r="G72">
        <v>5420000000</v>
      </c>
      <c r="H72">
        <f>IFERROR(Sheet1[[#This Row],[Volume (24h)]]/Sheet1[[#This Row],[Circulating Supply]],0)</f>
        <v>1.443001443001443E-2</v>
      </c>
      <c r="I72">
        <f>RANK(Table2[[#This Row],[Market Cap]],Table2[Market Cap],0)</f>
        <v>289</v>
      </c>
      <c r="J72" t="str">
        <f t="shared" si="1"/>
        <v>0-0.5</v>
      </c>
    </row>
    <row r="73" spans="1:10">
      <c r="A73" t="s">
        <v>261</v>
      </c>
      <c r="B73" t="s">
        <v>964</v>
      </c>
      <c r="C73">
        <v>3.884E-2</v>
      </c>
      <c r="D73">
        <v>0.46</v>
      </c>
      <c r="E73">
        <v>874010</v>
      </c>
      <c r="F73">
        <v>2180000</v>
      </c>
      <c r="G73">
        <v>22500000</v>
      </c>
      <c r="H73">
        <f>IFERROR(Sheet1[[#This Row],[Volume (24h)]]/Sheet1[[#This Row],[Circulating Supply]],0)</f>
        <v>8.8877820099619101E-3</v>
      </c>
      <c r="I73">
        <f>RANK(Table2[[#This Row],[Market Cap]],Table2[Market Cap],0)</f>
        <v>291</v>
      </c>
      <c r="J73" t="str">
        <f t="shared" si="1"/>
        <v>0-0.5</v>
      </c>
    </row>
    <row r="74" spans="1:10">
      <c r="A74" t="s">
        <v>262</v>
      </c>
      <c r="B74" t="s">
        <v>965</v>
      </c>
      <c r="C74">
        <v>4.7910000000000001E-3</v>
      </c>
      <c r="D74">
        <v>0</v>
      </c>
      <c r="E74">
        <v>1280000</v>
      </c>
      <c r="F74">
        <v>0</v>
      </c>
      <c r="G74">
        <v>267950000</v>
      </c>
      <c r="H74">
        <f>IFERROR(Sheet1[[#This Row],[Volume (24h)]]/Sheet1[[#This Row],[Circulating Supply]],0)</f>
        <v>2.6125017097524277E-2</v>
      </c>
      <c r="I74">
        <f>RANK(Table2[[#This Row],[Market Cap]],Table2[Market Cap],0)</f>
        <v>260</v>
      </c>
      <c r="J74" t="str">
        <f t="shared" si="1"/>
        <v>0-0.5</v>
      </c>
    </row>
    <row r="75" spans="1:10">
      <c r="A75" t="s">
        <v>263</v>
      </c>
      <c r="B75" t="s">
        <v>966</v>
      </c>
      <c r="C75">
        <v>0.99980000000000002</v>
      </c>
      <c r="D75">
        <v>0</v>
      </c>
      <c r="E75">
        <v>3290000</v>
      </c>
      <c r="F75">
        <v>0</v>
      </c>
      <c r="G75">
        <v>3290000</v>
      </c>
      <c r="H75">
        <f>IFERROR(Sheet1[[#This Row],[Volume (24h)]]/Sheet1[[#This Row],[Circulating Supply]],0)</f>
        <v>2.6636771300448433E-4</v>
      </c>
      <c r="I75">
        <f>RANK(Table2[[#This Row],[Market Cap]],Table2[Market Cap],0)</f>
        <v>200</v>
      </c>
      <c r="J75" t="str">
        <f t="shared" si="1"/>
        <v>0.5-1</v>
      </c>
    </row>
    <row r="76" spans="1:10">
      <c r="A76" t="s">
        <v>264</v>
      </c>
      <c r="B76" t="s">
        <v>336</v>
      </c>
      <c r="C76">
        <v>6.9449999999999998E-2</v>
      </c>
      <c r="D76">
        <v>0.41</v>
      </c>
      <c r="E76">
        <v>10780000000</v>
      </c>
      <c r="F76">
        <v>572720000</v>
      </c>
      <c r="G76">
        <v>155300000000</v>
      </c>
      <c r="H76">
        <f>IFERROR(Sheet1[[#This Row],[Volume (24h)]]/Sheet1[[#This Row],[Circulating Supply]],0)</f>
        <v>5.2504526252263125E-5</v>
      </c>
      <c r="I76">
        <f>RANK(Table2[[#This Row],[Market Cap]],Table2[Market Cap],0)</f>
        <v>10</v>
      </c>
      <c r="J76" t="str">
        <f t="shared" si="1"/>
        <v>0-0.5</v>
      </c>
    </row>
    <row r="77" spans="1:10">
      <c r="A77" t="s">
        <v>80</v>
      </c>
      <c r="B77" t="s">
        <v>558</v>
      </c>
      <c r="C77">
        <v>2.0840000000000001E-2</v>
      </c>
      <c r="D77">
        <v>0.02</v>
      </c>
      <c r="E77">
        <v>9200000</v>
      </c>
      <c r="F77">
        <v>2570000</v>
      </c>
      <c r="G77">
        <v>441620000</v>
      </c>
      <c r="H77">
        <f>IFERROR(Sheet1[[#This Row],[Volume (24h)]]/Sheet1[[#This Row],[Circulating Supply]],0)</f>
        <v>2.2969121140142517</v>
      </c>
      <c r="I77">
        <f>RANK(Table2[[#This Row],[Market Cap]],Table2[Market Cap],0)</f>
        <v>142</v>
      </c>
      <c r="J77" t="str">
        <f t="shared" si="1"/>
        <v>0-0.5</v>
      </c>
    </row>
    <row r="78" spans="1:10">
      <c r="A78" t="s">
        <v>180</v>
      </c>
      <c r="B78" t="s">
        <v>967</v>
      </c>
      <c r="C78">
        <v>2.98E-3</v>
      </c>
      <c r="D78">
        <v>1.36</v>
      </c>
      <c r="E78">
        <v>1600000</v>
      </c>
      <c r="F78">
        <v>151140</v>
      </c>
      <c r="G78">
        <v>537270000</v>
      </c>
      <c r="H78">
        <f>IFERROR(Sheet1[[#This Row],[Volume (24h)]]/Sheet1[[#This Row],[Circulating Supply]],0)</f>
        <v>7.6795212765957452E-2</v>
      </c>
      <c r="I78">
        <f>RANK(Table2[[#This Row],[Market Cap]],Table2[Market Cap],0)</f>
        <v>243</v>
      </c>
      <c r="J78" t="str">
        <f t="shared" si="1"/>
        <v>0-0.5</v>
      </c>
    </row>
    <row r="79" spans="1:10">
      <c r="A79" t="s">
        <v>265</v>
      </c>
      <c r="B79" t="s">
        <v>968</v>
      </c>
      <c r="C79">
        <v>2.0470000000000002E-3</v>
      </c>
      <c r="D79">
        <v>0.52</v>
      </c>
      <c r="E79">
        <v>2040000</v>
      </c>
      <c r="F79">
        <v>159560</v>
      </c>
      <c r="G79">
        <v>999970000</v>
      </c>
      <c r="H79">
        <f>IFERROR(Sheet1[[#This Row],[Volume (24h)]]/Sheet1[[#This Row],[Circulating Supply]],0)</f>
        <v>9.0607734806629836E-4</v>
      </c>
      <c r="I79">
        <f>RANK(Table2[[#This Row],[Market Cap]],Table2[Market Cap],0)</f>
        <v>226</v>
      </c>
      <c r="J79" t="str">
        <f t="shared" si="1"/>
        <v>0-0.5</v>
      </c>
    </row>
    <row r="80" spans="1:10">
      <c r="A80" t="s">
        <v>84</v>
      </c>
      <c r="B80" t="s">
        <v>969</v>
      </c>
      <c r="C80">
        <v>1.213E-2</v>
      </c>
      <c r="D80">
        <v>3.01</v>
      </c>
      <c r="E80">
        <v>7420000</v>
      </c>
      <c r="F80">
        <v>2370000</v>
      </c>
      <c r="G80">
        <v>611510000</v>
      </c>
      <c r="H80">
        <f>IFERROR(Sheet1[[#This Row],[Volume (24h)]]/Sheet1[[#This Row],[Circulating Supply]],0)</f>
        <v>1.2830738287616605E-3</v>
      </c>
      <c r="I80">
        <f>RANK(Table2[[#This Row],[Market Cap]],Table2[Market Cap],0)</f>
        <v>150</v>
      </c>
      <c r="J80" t="str">
        <f t="shared" si="1"/>
        <v>0-0.5</v>
      </c>
    </row>
    <row r="81" spans="1:10">
      <c r="A81" t="s">
        <v>235</v>
      </c>
      <c r="B81" t="s">
        <v>970</v>
      </c>
      <c r="C81">
        <v>6.2890000000000005E-4</v>
      </c>
      <c r="D81">
        <v>0.02</v>
      </c>
      <c r="E81">
        <v>260640000</v>
      </c>
      <c r="F81">
        <v>917.45</v>
      </c>
      <c r="G81">
        <v>414400000000</v>
      </c>
      <c r="H81">
        <f>IFERROR(Sheet1[[#This Row],[Volume (24h)]]/Sheet1[[#This Row],[Circulating Supply]],0)</f>
        <v>6.552396499342493E-3</v>
      </c>
      <c r="I81">
        <f>RANK(Table2[[#This Row],[Market Cap]],Table2[Market Cap],0)</f>
        <v>31</v>
      </c>
      <c r="J81" t="str">
        <f t="shared" si="1"/>
        <v>0-0.5</v>
      </c>
    </row>
    <row r="82" spans="1:10">
      <c r="A82" t="s">
        <v>71</v>
      </c>
      <c r="B82" t="s">
        <v>971</v>
      </c>
      <c r="C82">
        <v>5.6770000000000001E-2</v>
      </c>
      <c r="D82">
        <v>0.47</v>
      </c>
      <c r="E82">
        <v>28210000</v>
      </c>
      <c r="F82">
        <v>3250000</v>
      </c>
      <c r="G82">
        <v>496990000</v>
      </c>
      <c r="H82">
        <f>IFERROR(Sheet1[[#This Row],[Volume (24h)]]/Sheet1[[#This Row],[Circulating Supply]],0)</f>
        <v>3.7713004484304933E-3</v>
      </c>
      <c r="I82">
        <f>RANK(Table2[[#This Row],[Market Cap]],Table2[Market Cap],0)</f>
        <v>83</v>
      </c>
      <c r="J82" t="str">
        <f t="shared" si="1"/>
        <v>0-0.5</v>
      </c>
    </row>
    <row r="83" spans="1:10">
      <c r="A83" t="s">
        <v>212</v>
      </c>
      <c r="B83" t="s">
        <v>972</v>
      </c>
      <c r="C83">
        <v>1.7700000000000001E-3</v>
      </c>
      <c r="D83">
        <v>0.52</v>
      </c>
      <c r="E83">
        <v>2540000</v>
      </c>
      <c r="F83">
        <v>23360</v>
      </c>
      <c r="G83">
        <v>1430000000</v>
      </c>
      <c r="H83">
        <f>IFERROR(Sheet1[[#This Row],[Volume (24h)]]/Sheet1[[#This Row],[Circulating Supply]],0)</f>
        <v>3.7440000000000001E-2</v>
      </c>
      <c r="I83">
        <f>RANK(Table2[[#This Row],[Market Cap]],Table2[Market Cap],0)</f>
        <v>222</v>
      </c>
      <c r="J83" t="str">
        <f t="shared" si="1"/>
        <v>0-0.5</v>
      </c>
    </row>
    <row r="84" spans="1:10">
      <c r="A84" t="s">
        <v>133</v>
      </c>
      <c r="B84" t="s">
        <v>629</v>
      </c>
      <c r="C84">
        <v>7.1089999999999999E-3</v>
      </c>
      <c r="D84">
        <v>0.54</v>
      </c>
      <c r="E84">
        <v>4380000</v>
      </c>
      <c r="F84">
        <v>698800</v>
      </c>
      <c r="G84">
        <v>616750000</v>
      </c>
      <c r="H84">
        <f>IFERROR(Sheet1[[#This Row],[Volume (24h)]]/Sheet1[[#This Row],[Circulating Supply]],0)</f>
        <v>1.2872531418312387E-3</v>
      </c>
      <c r="I84">
        <f>RANK(Table2[[#This Row],[Market Cap]],Table2[Market Cap],0)</f>
        <v>181</v>
      </c>
      <c r="J84" t="str">
        <f t="shared" si="1"/>
        <v>0-0.5</v>
      </c>
    </row>
    <row r="85" spans="1:10">
      <c r="A85" t="s">
        <v>266</v>
      </c>
      <c r="B85" t="s">
        <v>632</v>
      </c>
      <c r="C85">
        <v>0.24560000000000001</v>
      </c>
      <c r="D85">
        <v>0.01</v>
      </c>
      <c r="E85">
        <v>5670000</v>
      </c>
      <c r="F85">
        <v>243470</v>
      </c>
      <c r="G85">
        <v>23080000</v>
      </c>
      <c r="H85">
        <f>IFERROR(Sheet1[[#This Row],[Volume (24h)]]/Sheet1[[#This Row],[Circulating Supply]],0)</f>
        <v>1.6881550876542063E-2</v>
      </c>
      <c r="I85">
        <f>RANK(Table2[[#This Row],[Market Cap]],Table2[Market Cap],0)</f>
        <v>172</v>
      </c>
      <c r="J85" t="str">
        <f t="shared" si="1"/>
        <v>0-0.5</v>
      </c>
    </row>
    <row r="86" spans="1:10">
      <c r="A86" t="s">
        <v>267</v>
      </c>
      <c r="B86" t="s">
        <v>324</v>
      </c>
      <c r="C86">
        <v>1861.07</v>
      </c>
      <c r="D86">
        <v>0.27</v>
      </c>
      <c r="E86">
        <v>224490000000</v>
      </c>
      <c r="F86">
        <v>10560000000</v>
      </c>
      <c r="G86">
        <v>120680000</v>
      </c>
      <c r="H86">
        <f>IFERROR(Sheet1[[#This Row],[Volume (24h)]]/Sheet1[[#This Row],[Circulating Supply]],0)</f>
        <v>3.1121247792819304E-2</v>
      </c>
      <c r="I86">
        <f>RANK(Table2[[#This Row],[Market Cap]],Table2[Market Cap],0)</f>
        <v>2</v>
      </c>
      <c r="J86" t="str">
        <f t="shared" si="1"/>
        <v>100-10000</v>
      </c>
    </row>
    <row r="87" spans="1:10">
      <c r="A87" t="s">
        <v>53</v>
      </c>
      <c r="B87" t="s">
        <v>973</v>
      </c>
      <c r="C87">
        <v>1.1499999999999999</v>
      </c>
      <c r="D87">
        <v>0.01</v>
      </c>
      <c r="E87">
        <v>38180000</v>
      </c>
      <c r="F87">
        <v>5360000</v>
      </c>
      <c r="G87">
        <v>33130000</v>
      </c>
      <c r="H87">
        <f>IFERROR(Sheet1[[#This Row],[Volume (24h)]]/Sheet1[[#This Row],[Circulating Supply]],0)</f>
        <v>4.811659192825112E-3</v>
      </c>
      <c r="I87">
        <f>RANK(Table2[[#This Row],[Market Cap]],Table2[Market Cap],0)</f>
        <v>70</v>
      </c>
      <c r="J87" t="str">
        <f t="shared" si="1"/>
        <v>1-2</v>
      </c>
    </row>
    <row r="88" spans="1:10">
      <c r="A88" t="s">
        <v>137</v>
      </c>
      <c r="B88" t="s">
        <v>379</v>
      </c>
      <c r="C88">
        <v>0.99519999999999997</v>
      </c>
      <c r="D88">
        <v>0.06</v>
      </c>
      <c r="E88">
        <v>1250000000</v>
      </c>
      <c r="F88">
        <v>587510</v>
      </c>
      <c r="G88">
        <v>1260000000</v>
      </c>
      <c r="H88">
        <f>IFERROR(Sheet1[[#This Row],[Volume (24h)]]/Sheet1[[#This Row],[Circulating Supply]],0)</f>
        <v>2.3249299719887953E-3</v>
      </c>
      <c r="I88">
        <f>RANK(Table2[[#This Row],[Market Cap]],Table2[Market Cap],0)</f>
        <v>19</v>
      </c>
      <c r="J88" t="str">
        <f t="shared" si="1"/>
        <v>0.5-1</v>
      </c>
    </row>
    <row r="89" spans="1:10">
      <c r="A89" t="s">
        <v>146</v>
      </c>
      <c r="B89" t="s">
        <v>974</v>
      </c>
      <c r="C89">
        <v>9.1590000000000005E-3</v>
      </c>
      <c r="D89">
        <v>0.08</v>
      </c>
      <c r="E89">
        <v>9150000</v>
      </c>
      <c r="F89">
        <v>463990</v>
      </c>
      <c r="G89">
        <v>999440000</v>
      </c>
      <c r="H89">
        <f>IFERROR(Sheet1[[#This Row],[Volume (24h)]]/Sheet1[[#This Row],[Circulating Supply]],0)</f>
        <v>9.2000000000000003E-4</v>
      </c>
      <c r="I89">
        <f>RANK(Table2[[#This Row],[Market Cap]],Table2[Market Cap],0)</f>
        <v>148</v>
      </c>
      <c r="J89" t="str">
        <f t="shared" si="1"/>
        <v>0-0.5</v>
      </c>
    </row>
    <row r="90" spans="1:10">
      <c r="A90" t="s">
        <v>83</v>
      </c>
      <c r="B90" t="s">
        <v>975</v>
      </c>
      <c r="C90">
        <v>0.26919999999999999</v>
      </c>
      <c r="D90">
        <v>1.03</v>
      </c>
      <c r="E90">
        <v>7060000</v>
      </c>
      <c r="F90">
        <v>2390000</v>
      </c>
      <c r="G90">
        <v>26230000</v>
      </c>
      <c r="H90">
        <f>IFERROR(Sheet1[[#This Row],[Volume (24h)]]/Sheet1[[#This Row],[Circulating Supply]],0)</f>
        <v>2.8690228690228688E-4</v>
      </c>
      <c r="I90">
        <f>RANK(Table2[[#This Row],[Market Cap]],Table2[Market Cap],0)</f>
        <v>164</v>
      </c>
      <c r="J90" t="str">
        <f t="shared" si="1"/>
        <v>0-0.5</v>
      </c>
    </row>
    <row r="91" spans="1:10">
      <c r="A91" t="s">
        <v>161</v>
      </c>
      <c r="B91" t="s">
        <v>553</v>
      </c>
      <c r="C91">
        <v>0.64429999999999998</v>
      </c>
      <c r="D91">
        <v>1.23</v>
      </c>
      <c r="E91">
        <v>12150000</v>
      </c>
      <c r="F91">
        <v>249700</v>
      </c>
      <c r="G91">
        <v>18860000</v>
      </c>
      <c r="H91">
        <f>IFERROR(Sheet1[[#This Row],[Volume (24h)]]/Sheet1[[#This Row],[Circulating Supply]],0)</f>
        <v>4.9018425460636513E-6</v>
      </c>
      <c r="I91">
        <f>RANK(Table2[[#This Row],[Market Cap]],Table2[Market Cap],0)</f>
        <v>121</v>
      </c>
      <c r="J91" t="str">
        <f t="shared" si="1"/>
        <v>0.5-1</v>
      </c>
    </row>
    <row r="92" spans="1:10">
      <c r="A92" t="s">
        <v>268</v>
      </c>
      <c r="B92" t="s">
        <v>976</v>
      </c>
      <c r="C92">
        <v>9.937E-2</v>
      </c>
      <c r="D92">
        <v>1.25</v>
      </c>
      <c r="E92">
        <v>2040000</v>
      </c>
      <c r="F92">
        <v>242970</v>
      </c>
      <c r="G92">
        <v>20580000</v>
      </c>
      <c r="H92">
        <f>IFERROR(Sheet1[[#This Row],[Volume (24h)]]/Sheet1[[#This Row],[Circulating Supply]],0)</f>
        <v>1.4861081197501614E-4</v>
      </c>
      <c r="I92">
        <f>RANK(Table2[[#This Row],[Market Cap]],Table2[Market Cap],0)</f>
        <v>226</v>
      </c>
      <c r="J92" t="str">
        <f t="shared" si="1"/>
        <v>0-0.5</v>
      </c>
    </row>
    <row r="93" spans="1:10">
      <c r="A93" t="s">
        <v>172</v>
      </c>
      <c r="B93" t="s">
        <v>977</v>
      </c>
      <c r="C93">
        <v>2.222E-2</v>
      </c>
      <c r="D93">
        <v>0.09</v>
      </c>
      <c r="E93">
        <v>2600000</v>
      </c>
      <c r="F93">
        <v>187120</v>
      </c>
      <c r="G93">
        <v>117180000</v>
      </c>
      <c r="H93">
        <f>IFERROR(Sheet1[[#This Row],[Volume (24h)]]/Sheet1[[#This Row],[Circulating Supply]],0)</f>
        <v>1.6527331189710611E-3</v>
      </c>
      <c r="I93">
        <f>RANK(Table2[[#This Row],[Market Cap]],Table2[Market Cap],0)</f>
        <v>215</v>
      </c>
      <c r="J93" t="str">
        <f t="shared" si="1"/>
        <v>0-0.5</v>
      </c>
    </row>
    <row r="94" spans="1:10">
      <c r="A94" t="s">
        <v>243</v>
      </c>
      <c r="B94" t="s">
        <v>978</v>
      </c>
      <c r="C94">
        <v>9.4950000000000004E-4</v>
      </c>
      <c r="D94">
        <v>0.01</v>
      </c>
      <c r="E94">
        <v>15860000</v>
      </c>
      <c r="F94">
        <v>101.67</v>
      </c>
      <c r="G94">
        <v>16700000000</v>
      </c>
      <c r="H94">
        <f>IFERROR(Sheet1[[#This Row],[Volume (24h)]]/Sheet1[[#This Row],[Circulating Supply]],0)</f>
        <v>6.7386340966018666E-3</v>
      </c>
      <c r="I94">
        <f>RANK(Table2[[#This Row],[Market Cap]],Table2[Market Cap],0)</f>
        <v>108</v>
      </c>
      <c r="J94" t="str">
        <f t="shared" si="1"/>
        <v>0-0.5</v>
      </c>
    </row>
    <row r="95" spans="1:10">
      <c r="A95" t="s">
        <v>99</v>
      </c>
      <c r="B95" t="s">
        <v>979</v>
      </c>
      <c r="C95">
        <v>4.9430000000000003E-3</v>
      </c>
      <c r="D95">
        <v>0.12</v>
      </c>
      <c r="E95">
        <v>53410000</v>
      </c>
      <c r="F95">
        <v>1800000</v>
      </c>
      <c r="G95">
        <v>10800000000</v>
      </c>
      <c r="H95">
        <f>IFERROR(Sheet1[[#This Row],[Volume (24h)]]/Sheet1[[#This Row],[Circulating Supply]],0)</f>
        <v>5.7807871349978841E-2</v>
      </c>
      <c r="I95">
        <f>RANK(Table2[[#This Row],[Market Cap]],Table2[Market Cap],0)</f>
        <v>59</v>
      </c>
      <c r="J95" t="str">
        <f t="shared" si="1"/>
        <v>0-0.5</v>
      </c>
    </row>
    <row r="96" spans="1:10">
      <c r="A96" t="s">
        <v>269</v>
      </c>
      <c r="B96" t="s">
        <v>269</v>
      </c>
      <c r="C96">
        <v>1.6039999999999999E-2</v>
      </c>
      <c r="D96">
        <v>0.09</v>
      </c>
      <c r="E96">
        <v>3280000</v>
      </c>
      <c r="F96">
        <v>455660</v>
      </c>
      <c r="G96">
        <v>204830000</v>
      </c>
      <c r="H96">
        <f>IFERROR(Sheet1[[#This Row],[Volume (24h)]]/Sheet1[[#This Row],[Circulating Supply]],0)</f>
        <v>4.1786999999999996E-3</v>
      </c>
      <c r="I96">
        <f>RANK(Table2[[#This Row],[Market Cap]],Table2[Market Cap],0)</f>
        <v>204</v>
      </c>
      <c r="J96" t="str">
        <f t="shared" si="1"/>
        <v>0-0.5</v>
      </c>
    </row>
    <row r="97" spans="1:10">
      <c r="A97" t="s">
        <v>206</v>
      </c>
      <c r="B97" t="s">
        <v>892</v>
      </c>
      <c r="C97">
        <v>6.1070000000000004E-4</v>
      </c>
      <c r="D97">
        <v>9.1999999999999993</v>
      </c>
      <c r="E97">
        <v>1530000</v>
      </c>
      <c r="F97">
        <v>30220</v>
      </c>
      <c r="G97">
        <v>2510000000</v>
      </c>
      <c r="H97">
        <f>IFERROR(Sheet1[[#This Row],[Volume (24h)]]/Sheet1[[#This Row],[Circulating Supply]],0)</f>
        <v>1.4769633507853402E-2</v>
      </c>
      <c r="I97">
        <f>RANK(Table2[[#This Row],[Market Cap]],Table2[Market Cap],0)</f>
        <v>255</v>
      </c>
      <c r="J97" t="str">
        <f t="shared" si="1"/>
        <v>0-0.5</v>
      </c>
    </row>
    <row r="98" spans="1:10">
      <c r="A98" t="s">
        <v>270</v>
      </c>
      <c r="B98" t="s">
        <v>980</v>
      </c>
      <c r="C98">
        <v>5.1229999999999999E-3</v>
      </c>
      <c r="D98">
        <v>0</v>
      </c>
      <c r="E98">
        <v>4220000</v>
      </c>
      <c r="F98">
        <v>0</v>
      </c>
      <c r="G98">
        <v>824770000</v>
      </c>
      <c r="H98">
        <f>IFERROR(Sheet1[[#This Row],[Volume (24h)]]/Sheet1[[#This Row],[Circulating Supply]],0)</f>
        <v>4.9926464896663829E-3</v>
      </c>
      <c r="I98">
        <f>RANK(Table2[[#This Row],[Market Cap]],Table2[Market Cap],0)</f>
        <v>192</v>
      </c>
      <c r="J98" t="str">
        <f t="shared" si="1"/>
        <v>0-0.5</v>
      </c>
    </row>
    <row r="99" spans="1:10">
      <c r="A99" t="s">
        <v>155</v>
      </c>
      <c r="B99" t="s">
        <v>981</v>
      </c>
      <c r="C99">
        <v>7.9699999999999997E-4</v>
      </c>
      <c r="D99">
        <v>0.24</v>
      </c>
      <c r="E99">
        <v>15300000</v>
      </c>
      <c r="F99">
        <v>301660</v>
      </c>
      <c r="G99">
        <v>19200000000</v>
      </c>
      <c r="H99">
        <f>IFERROR(Sheet1[[#This Row],[Volume (24h)]]/Sheet1[[#This Row],[Circulating Supply]],0)</f>
        <v>6.7324063564131675E-2</v>
      </c>
      <c r="I99">
        <f>RANK(Table2[[#This Row],[Market Cap]],Table2[Market Cap],0)</f>
        <v>119</v>
      </c>
      <c r="J99" t="str">
        <f t="shared" si="1"/>
        <v>0-0.5</v>
      </c>
    </row>
    <row r="100" spans="1:10">
      <c r="A100" t="s">
        <v>188</v>
      </c>
      <c r="B100" t="s">
        <v>812</v>
      </c>
      <c r="C100">
        <v>6.9650000000000004E-2</v>
      </c>
      <c r="D100">
        <v>0.01</v>
      </c>
      <c r="E100">
        <v>1040000</v>
      </c>
      <c r="F100">
        <v>95060</v>
      </c>
      <c r="G100">
        <v>14950000</v>
      </c>
      <c r="H100">
        <f>IFERROR(Sheet1[[#This Row],[Volume (24h)]]/Sheet1[[#This Row],[Circulating Supply]],0)</f>
        <v>0.9552023121387283</v>
      </c>
      <c r="I100">
        <f>RANK(Table2[[#This Row],[Market Cap]],Table2[Market Cap],0)</f>
        <v>278</v>
      </c>
      <c r="J100" t="str">
        <f t="shared" si="1"/>
        <v>0-0.5</v>
      </c>
    </row>
    <row r="101" spans="1:10">
      <c r="A101" t="s">
        <v>191</v>
      </c>
      <c r="B101" t="s">
        <v>982</v>
      </c>
      <c r="C101">
        <v>2.5330000000000001E-3</v>
      </c>
      <c r="D101">
        <v>0.15</v>
      </c>
      <c r="E101">
        <v>1270000</v>
      </c>
      <c r="F101">
        <v>87390</v>
      </c>
      <c r="G101">
        <v>503180000</v>
      </c>
      <c r="H101">
        <f>IFERROR(Sheet1[[#This Row],[Volume (24h)]]/Sheet1[[#This Row],[Circulating Supply]],0)</f>
        <v>0.43097238895558221</v>
      </c>
      <c r="I101">
        <f>RANK(Table2[[#This Row],[Market Cap]],Table2[Market Cap],0)</f>
        <v>262</v>
      </c>
      <c r="J101" t="str">
        <f t="shared" si="1"/>
        <v>0-0.5</v>
      </c>
    </row>
    <row r="102" spans="1:10">
      <c r="A102" t="s">
        <v>134</v>
      </c>
      <c r="B102" t="s">
        <v>983</v>
      </c>
      <c r="C102">
        <v>0.99950000000000006</v>
      </c>
      <c r="D102">
        <v>0</v>
      </c>
      <c r="E102">
        <v>38620000</v>
      </c>
      <c r="F102">
        <v>692530</v>
      </c>
      <c r="G102">
        <v>38640000</v>
      </c>
      <c r="H102">
        <f>IFERROR(Sheet1[[#This Row],[Volume (24h)]]/Sheet1[[#This Row],[Circulating Supply]],0)</f>
        <v>376.32933104631218</v>
      </c>
      <c r="I102">
        <f>RANK(Table2[[#This Row],[Market Cap]],Table2[Market Cap],0)</f>
        <v>66</v>
      </c>
      <c r="J102" t="str">
        <f t="shared" si="1"/>
        <v>0.5-1</v>
      </c>
    </row>
    <row r="103" spans="1:10">
      <c r="A103" t="s">
        <v>181</v>
      </c>
      <c r="B103" t="s">
        <v>984</v>
      </c>
      <c r="C103">
        <v>5.4860000000000004E-3</v>
      </c>
      <c r="D103">
        <v>0.34</v>
      </c>
      <c r="E103">
        <v>3280000</v>
      </c>
      <c r="F103">
        <v>148500</v>
      </c>
      <c r="G103">
        <v>598860000</v>
      </c>
      <c r="H103">
        <f>IFERROR(Sheet1[[#This Row],[Volume (24h)]]/Sheet1[[#This Row],[Circulating Supply]],0)</f>
        <v>0.3060179257362356</v>
      </c>
      <c r="I103">
        <f>RANK(Table2[[#This Row],[Market Cap]],Table2[Market Cap],0)</f>
        <v>204</v>
      </c>
      <c r="J103" t="str">
        <f t="shared" si="1"/>
        <v>0-0.5</v>
      </c>
    </row>
    <row r="104" spans="1:10">
      <c r="A104" t="s">
        <v>111</v>
      </c>
      <c r="B104" t="s">
        <v>111</v>
      </c>
      <c r="C104">
        <v>0.99829999999999997</v>
      </c>
      <c r="D104">
        <v>0.01</v>
      </c>
      <c r="E104">
        <v>647910000</v>
      </c>
      <c r="F104">
        <v>1350000</v>
      </c>
      <c r="G104">
        <v>649000000</v>
      </c>
      <c r="H104">
        <f>IFERROR(Sheet1[[#This Row],[Volume (24h)]]/Sheet1[[#This Row],[Circulating Supply]],0)</f>
        <v>8.6170212765957442E-4</v>
      </c>
      <c r="I104">
        <f>RANK(Table2[[#This Row],[Market Cap]],Table2[Market Cap],0)</f>
        <v>24</v>
      </c>
      <c r="J104" t="str">
        <f t="shared" si="1"/>
        <v>0.5-1</v>
      </c>
    </row>
    <row r="105" spans="1:10">
      <c r="A105" t="s">
        <v>36</v>
      </c>
      <c r="B105" t="s">
        <v>36</v>
      </c>
      <c r="C105">
        <v>6.6230000000000004E-3</v>
      </c>
      <c r="D105">
        <v>0.91</v>
      </c>
      <c r="E105">
        <v>20600000</v>
      </c>
      <c r="F105">
        <v>8520000</v>
      </c>
      <c r="G105">
        <v>3110000000</v>
      </c>
      <c r="H105">
        <f>IFERROR(Sheet1[[#This Row],[Volume (24h)]]/Sheet1[[#This Row],[Circulating Supply]],0)</f>
        <v>2.7642663043478261E-2</v>
      </c>
      <c r="I105">
        <f>RANK(Table2[[#This Row],[Market Cap]],Table2[Market Cap],0)</f>
        <v>92</v>
      </c>
      <c r="J105" t="str">
        <f t="shared" si="1"/>
        <v>0-0.5</v>
      </c>
    </row>
    <row r="106" spans="1:10">
      <c r="A106" t="s">
        <v>238</v>
      </c>
      <c r="B106" t="s">
        <v>238</v>
      </c>
      <c r="C106">
        <v>3.2399999999999998E-3</v>
      </c>
      <c r="D106">
        <v>0.32</v>
      </c>
      <c r="E106">
        <v>2560000</v>
      </c>
      <c r="F106">
        <v>445.59</v>
      </c>
      <c r="G106">
        <v>792550000</v>
      </c>
      <c r="H106">
        <f>IFERROR(Sheet1[[#This Row],[Volume (24h)]]/Sheet1[[#This Row],[Circulating Supply]],0)</f>
        <v>1.8139618567830154E-3</v>
      </c>
      <c r="I106">
        <f>RANK(Table2[[#This Row],[Market Cap]],Table2[Market Cap],0)</f>
        <v>220</v>
      </c>
      <c r="J106" t="str">
        <f t="shared" si="1"/>
        <v>0-0.5</v>
      </c>
    </row>
    <row r="107" spans="1:10">
      <c r="A107" t="s">
        <v>90</v>
      </c>
      <c r="B107" t="s">
        <v>985</v>
      </c>
      <c r="C107">
        <v>20.239999999999998</v>
      </c>
      <c r="D107">
        <v>0.28000000000000003</v>
      </c>
      <c r="E107">
        <v>865490</v>
      </c>
      <c r="F107">
        <v>2150000</v>
      </c>
      <c r="G107">
        <v>42740</v>
      </c>
      <c r="H107">
        <f>IFERROR(Sheet1[[#This Row],[Volume (24h)]]/Sheet1[[#This Row],[Circulating Supply]],0)</f>
        <v>3.0844263530830696E-3</v>
      </c>
      <c r="I107">
        <f>RANK(Table2[[#This Row],[Market Cap]],Table2[Market Cap],0)</f>
        <v>296</v>
      </c>
      <c r="J107" t="str">
        <f t="shared" si="1"/>
        <v>10-100</v>
      </c>
    </row>
    <row r="108" spans="1:10">
      <c r="A108" t="s">
        <v>135</v>
      </c>
      <c r="B108" t="s">
        <v>986</v>
      </c>
      <c r="C108">
        <v>9.6360000000000005E-3</v>
      </c>
      <c r="D108">
        <v>0.13</v>
      </c>
      <c r="E108">
        <v>5710000</v>
      </c>
      <c r="F108">
        <v>671970</v>
      </c>
      <c r="G108">
        <v>593560000</v>
      </c>
      <c r="H108">
        <f>IFERROR(Sheet1[[#This Row],[Volume (24h)]]/Sheet1[[#This Row],[Circulating Supply]],0)</f>
        <v>5.8666666666666665E-4</v>
      </c>
      <c r="I108">
        <f>RANK(Table2[[#This Row],[Market Cap]],Table2[Market Cap],0)</f>
        <v>166</v>
      </c>
      <c r="J108" t="str">
        <f t="shared" si="1"/>
        <v>0-0.5</v>
      </c>
    </row>
    <row r="109" spans="1:10">
      <c r="A109" t="s">
        <v>203</v>
      </c>
      <c r="B109" t="s">
        <v>891</v>
      </c>
      <c r="C109">
        <v>8.1081E-2</v>
      </c>
      <c r="D109">
        <v>3.39</v>
      </c>
      <c r="E109">
        <v>1050000</v>
      </c>
      <c r="F109">
        <v>36950</v>
      </c>
      <c r="G109">
        <v>975810000000000</v>
      </c>
      <c r="H109">
        <f>IFERROR(Sheet1[[#This Row],[Volume (24h)]]/Sheet1[[#This Row],[Circulating Supply]],0)</f>
        <v>3.3142857142857145E-3</v>
      </c>
      <c r="I109">
        <f>RANK(Table2[[#This Row],[Market Cap]],Table2[Market Cap],0)</f>
        <v>273</v>
      </c>
      <c r="J109" t="str">
        <f t="shared" si="1"/>
        <v>0-0.5</v>
      </c>
    </row>
    <row r="110" spans="1:10">
      <c r="A110" t="s">
        <v>96</v>
      </c>
      <c r="B110" t="s">
        <v>987</v>
      </c>
      <c r="C110">
        <v>1.4959999999999999E-2</v>
      </c>
      <c r="D110">
        <v>0.24</v>
      </c>
      <c r="E110">
        <v>7230000</v>
      </c>
      <c r="F110">
        <v>1820000</v>
      </c>
      <c r="G110">
        <v>483330000</v>
      </c>
      <c r="H110">
        <f>IFERROR(Sheet1[[#This Row],[Volume (24h)]]/Sheet1[[#This Row],[Circulating Supply]],0)</f>
        <v>2.7981065745651904E-3</v>
      </c>
      <c r="I110">
        <f>RANK(Table2[[#This Row],[Market Cap]],Table2[Market Cap],0)</f>
        <v>158</v>
      </c>
      <c r="J110" t="str">
        <f t="shared" si="1"/>
        <v>0-0.5</v>
      </c>
    </row>
    <row r="111" spans="1:10">
      <c r="A111" t="s">
        <v>207</v>
      </c>
      <c r="B111" t="s">
        <v>988</v>
      </c>
      <c r="C111">
        <v>1.2469999999999999E-5</v>
      </c>
      <c r="D111">
        <v>0.7</v>
      </c>
      <c r="E111">
        <v>1050000</v>
      </c>
      <c r="F111">
        <v>25090</v>
      </c>
      <c r="G111">
        <v>84560000000</v>
      </c>
      <c r="H111">
        <f>IFERROR(Sheet1[[#This Row],[Volume (24h)]]/Sheet1[[#This Row],[Circulating Supply]],0)</f>
        <v>0</v>
      </c>
      <c r="I111">
        <f>RANK(Table2[[#This Row],[Market Cap]],Table2[Market Cap],0)</f>
        <v>273</v>
      </c>
      <c r="J111" t="str">
        <f t="shared" si="1"/>
        <v>0-0.5</v>
      </c>
    </row>
    <row r="112" spans="1:10">
      <c r="A112" t="s">
        <v>244</v>
      </c>
      <c r="B112" t="s">
        <v>989</v>
      </c>
      <c r="C112">
        <v>1.357E-2</v>
      </c>
      <c r="D112">
        <v>0.84</v>
      </c>
      <c r="E112">
        <v>9550000</v>
      </c>
      <c r="F112">
        <v>76.069999999999993</v>
      </c>
      <c r="G112">
        <v>703720000</v>
      </c>
      <c r="H112">
        <f>IFERROR(Sheet1[[#This Row],[Volume (24h)]]/Sheet1[[#This Row],[Circulating Supply]],0)</f>
        <v>6.4804536317542225E-3</v>
      </c>
      <c r="I112">
        <f>RANK(Table2[[#This Row],[Market Cap]],Table2[Market Cap],0)</f>
        <v>135</v>
      </c>
      <c r="J112" t="str">
        <f t="shared" si="1"/>
        <v>0-0.5</v>
      </c>
    </row>
    <row r="113" spans="1:10">
      <c r="A113" t="s">
        <v>271</v>
      </c>
      <c r="B113" t="s">
        <v>271</v>
      </c>
      <c r="C113">
        <v>2.544E-5</v>
      </c>
      <c r="D113">
        <v>0</v>
      </c>
      <c r="E113">
        <v>1570000</v>
      </c>
      <c r="F113">
        <v>0</v>
      </c>
      <c r="G113">
        <v>62070000000</v>
      </c>
      <c r="H113">
        <f>IFERROR(Sheet1[[#This Row],[Volume (24h)]]/Sheet1[[#This Row],[Circulating Supply]],0)</f>
        <v>0.35405536668285575</v>
      </c>
      <c r="I113">
        <f>RANK(Table2[[#This Row],[Market Cap]],Table2[Market Cap],0)</f>
        <v>252</v>
      </c>
      <c r="J113" t="str">
        <f t="shared" si="1"/>
        <v>0-0.5</v>
      </c>
    </row>
    <row r="114" spans="1:10">
      <c r="A114" t="s">
        <v>125</v>
      </c>
      <c r="B114" t="s">
        <v>990</v>
      </c>
      <c r="C114">
        <v>27.67</v>
      </c>
      <c r="D114">
        <v>0.2</v>
      </c>
      <c r="E114">
        <v>28540000</v>
      </c>
      <c r="F114">
        <v>1040000</v>
      </c>
      <c r="G114">
        <v>1030000</v>
      </c>
      <c r="H114">
        <f>IFERROR(Sheet1[[#This Row],[Volume (24h)]]/Sheet1[[#This Row],[Circulating Supply]],0)</f>
        <v>1.37E-2</v>
      </c>
      <c r="I114">
        <f>RANK(Table2[[#This Row],[Market Cap]],Table2[Market Cap],0)</f>
        <v>78</v>
      </c>
      <c r="J114" t="str">
        <f t="shared" si="1"/>
        <v>10-100</v>
      </c>
    </row>
    <row r="115" spans="1:10">
      <c r="A115" t="s">
        <v>272</v>
      </c>
      <c r="B115" t="s">
        <v>272</v>
      </c>
      <c r="C115">
        <v>9.7230000000000003E-5</v>
      </c>
      <c r="D115">
        <v>0</v>
      </c>
      <c r="E115">
        <v>870690</v>
      </c>
      <c r="F115">
        <v>0</v>
      </c>
      <c r="G115">
        <v>8950000000</v>
      </c>
      <c r="H115">
        <f>IFERROR(Sheet1[[#This Row],[Volume (24h)]]/Sheet1[[#This Row],[Circulating Supply]],0)</f>
        <v>3.54724E-4</v>
      </c>
      <c r="I115">
        <f>RANK(Table2[[#This Row],[Market Cap]],Table2[Market Cap],0)</f>
        <v>294</v>
      </c>
      <c r="J115" t="str">
        <f t="shared" si="1"/>
        <v>0-0.5</v>
      </c>
    </row>
    <row r="116" spans="1:10">
      <c r="A116" t="s">
        <v>242</v>
      </c>
      <c r="B116" t="s">
        <v>991</v>
      </c>
      <c r="C116">
        <v>5.2713999999999997E-2</v>
      </c>
      <c r="D116">
        <v>0.12</v>
      </c>
      <c r="E116">
        <v>1060000</v>
      </c>
      <c r="F116">
        <v>150.33000000000001</v>
      </c>
      <c r="G116">
        <v>393400000000</v>
      </c>
      <c r="H116">
        <f>IFERROR(Sheet1[[#This Row],[Volume (24h)]]/Sheet1[[#This Row],[Circulating Supply]],0)</f>
        <v>141.63440860215053</v>
      </c>
      <c r="I116">
        <f>RANK(Table2[[#This Row],[Market Cap]],Table2[Market Cap],0)</f>
        <v>271</v>
      </c>
      <c r="J116" t="str">
        <f t="shared" si="1"/>
        <v>0-0.5</v>
      </c>
    </row>
    <row r="117" spans="1:10">
      <c r="A117" t="s">
        <v>201</v>
      </c>
      <c r="B117" t="s">
        <v>805</v>
      </c>
      <c r="C117">
        <v>5.2489000000000001E-2</v>
      </c>
      <c r="D117">
        <v>0.46</v>
      </c>
      <c r="E117">
        <v>1040000</v>
      </c>
      <c r="F117">
        <v>41040</v>
      </c>
      <c r="G117">
        <v>420690000000</v>
      </c>
      <c r="H117">
        <f>IFERROR(Sheet1[[#This Row],[Volume (24h)]]/Sheet1[[#This Row],[Circulating Supply]],0)</f>
        <v>1.024380249948781E-4</v>
      </c>
      <c r="I117">
        <f>RANK(Table2[[#This Row],[Market Cap]],Table2[Market Cap],0)</f>
        <v>278</v>
      </c>
      <c r="J117" t="str">
        <f t="shared" si="1"/>
        <v>0-0.5</v>
      </c>
    </row>
    <row r="118" spans="1:10">
      <c r="A118" t="s">
        <v>193</v>
      </c>
      <c r="B118" t="s">
        <v>193</v>
      </c>
      <c r="C118">
        <v>1.2409999999999999E-2</v>
      </c>
      <c r="D118">
        <v>0.16</v>
      </c>
      <c r="E118">
        <v>4230000</v>
      </c>
      <c r="F118">
        <v>78790</v>
      </c>
      <c r="G118">
        <v>341170000</v>
      </c>
      <c r="H118">
        <f>IFERROR(Sheet1[[#This Row],[Volume (24h)]]/Sheet1[[#This Row],[Circulating Supply]],0)</f>
        <v>3.4012219959266802E-4</v>
      </c>
      <c r="I118">
        <f>RANK(Table2[[#This Row],[Market Cap]],Table2[Market Cap],0)</f>
        <v>191</v>
      </c>
      <c r="J118" t="str">
        <f t="shared" si="1"/>
        <v>0-0.5</v>
      </c>
    </row>
    <row r="119" spans="1:10">
      <c r="A119" t="s">
        <v>17</v>
      </c>
      <c r="B119" t="s">
        <v>17</v>
      </c>
      <c r="C119">
        <v>5.1778999999999999E-2</v>
      </c>
      <c r="D119">
        <v>0.03</v>
      </c>
      <c r="E119">
        <v>1590000000</v>
      </c>
      <c r="F119">
        <v>36270000</v>
      </c>
      <c r="G119">
        <v>898230000000000</v>
      </c>
      <c r="H119">
        <f>IFERROR(Sheet1[[#This Row],[Volume (24h)]]/Sheet1[[#This Row],[Circulating Supply]],0)</f>
        <v>1.748283261802575E-4</v>
      </c>
      <c r="I119">
        <f>RANK(Table2[[#This Row],[Market Cap]],Table2[Market Cap],0)</f>
        <v>18</v>
      </c>
      <c r="J119" t="str">
        <f t="shared" si="1"/>
        <v>0-0.5</v>
      </c>
    </row>
    <row r="120" spans="1:10">
      <c r="A120" t="s">
        <v>187</v>
      </c>
      <c r="B120" t="s">
        <v>992</v>
      </c>
      <c r="C120">
        <v>2.541E-4</v>
      </c>
      <c r="D120">
        <v>1.92</v>
      </c>
      <c r="E120">
        <v>1980000</v>
      </c>
      <c r="F120">
        <v>100520</v>
      </c>
      <c r="G120">
        <v>7800000000</v>
      </c>
      <c r="H120">
        <f>IFERROR(Sheet1[[#This Row],[Volume (24h)]]/Sheet1[[#This Row],[Circulating Supply]],0)</f>
        <v>2.9870173213630146E-3</v>
      </c>
      <c r="I120">
        <f>RANK(Table2[[#This Row],[Market Cap]],Table2[Market Cap],0)</f>
        <v>239</v>
      </c>
      <c r="J120" t="str">
        <f t="shared" si="1"/>
        <v>0-0.5</v>
      </c>
    </row>
    <row r="121" spans="1:10">
      <c r="A121" t="s">
        <v>73</v>
      </c>
      <c r="B121" t="s">
        <v>993</v>
      </c>
      <c r="C121">
        <v>6.7729999999999999E-2</v>
      </c>
      <c r="D121">
        <v>0.88</v>
      </c>
      <c r="E121">
        <v>15570000</v>
      </c>
      <c r="F121">
        <v>3100000</v>
      </c>
      <c r="G121">
        <v>230000000</v>
      </c>
      <c r="H121">
        <f>IFERROR(Sheet1[[#This Row],[Volume (24h)]]/Sheet1[[#This Row],[Circulating Supply]],0)</f>
        <v>3.3957664233576641E-4</v>
      </c>
      <c r="I121">
        <f>RANK(Table2[[#This Row],[Market Cap]],Table2[Market Cap],0)</f>
        <v>115</v>
      </c>
      <c r="J121" t="str">
        <f t="shared" si="1"/>
        <v>0-0.5</v>
      </c>
    </row>
    <row r="122" spans="1:10">
      <c r="A122" t="s">
        <v>166</v>
      </c>
      <c r="B122" t="s">
        <v>994</v>
      </c>
      <c r="C122">
        <v>1.116E-3</v>
      </c>
      <c r="D122">
        <v>0.2</v>
      </c>
      <c r="E122">
        <v>1050000</v>
      </c>
      <c r="F122">
        <v>232440</v>
      </c>
      <c r="G122">
        <v>940890000</v>
      </c>
      <c r="H122">
        <f>IFERROR(Sheet1[[#This Row],[Volume (24h)]]/Sheet1[[#This Row],[Circulating Supply]],0)</f>
        <v>5.4095238095238094E-3</v>
      </c>
      <c r="I122">
        <f>RANK(Table2[[#This Row],[Market Cap]],Table2[Market Cap],0)</f>
        <v>273</v>
      </c>
      <c r="J122" t="str">
        <f t="shared" si="1"/>
        <v>0-0.5</v>
      </c>
    </row>
    <row r="123" spans="1:10">
      <c r="A123" t="s">
        <v>169</v>
      </c>
      <c r="B123" t="s">
        <v>995</v>
      </c>
      <c r="C123">
        <v>0.1628</v>
      </c>
      <c r="D123">
        <v>0.02</v>
      </c>
      <c r="E123">
        <v>5710000</v>
      </c>
      <c r="F123">
        <v>221390</v>
      </c>
      <c r="G123">
        <v>35080000</v>
      </c>
      <c r="H123">
        <f>IFERROR(Sheet1[[#This Row],[Volume (24h)]]/Sheet1[[#This Row],[Circulating Supply]],0)</f>
        <v>1.9829405557509673E-3</v>
      </c>
      <c r="I123">
        <f>RANK(Table2[[#This Row],[Market Cap]],Table2[Market Cap],0)</f>
        <v>166</v>
      </c>
      <c r="J123" t="str">
        <f t="shared" si="1"/>
        <v>0-0.5</v>
      </c>
    </row>
    <row r="124" spans="1:10">
      <c r="A124" t="s">
        <v>10</v>
      </c>
      <c r="B124" t="s">
        <v>335</v>
      </c>
      <c r="C124">
        <v>52.77</v>
      </c>
      <c r="D124">
        <v>0.92</v>
      </c>
      <c r="E124">
        <v>13320000000</v>
      </c>
      <c r="F124">
        <v>385760000</v>
      </c>
      <c r="G124">
        <v>252490000</v>
      </c>
      <c r="H124">
        <f>IFERROR(Sheet1[[#This Row],[Volume (24h)]]/Sheet1[[#This Row],[Circulating Supply]],0)</f>
        <v>3.843762145355616E-7</v>
      </c>
      <c r="I124">
        <f>RANK(Table2[[#This Row],[Market Cap]],Table2[Market Cap],0)</f>
        <v>9</v>
      </c>
      <c r="J124" t="str">
        <f t="shared" si="1"/>
        <v>10-100</v>
      </c>
    </row>
    <row r="125" spans="1:10">
      <c r="A125" t="s">
        <v>106</v>
      </c>
      <c r="B125" t="s">
        <v>996</v>
      </c>
      <c r="C125">
        <v>2.83</v>
      </c>
      <c r="D125">
        <v>7.0000000000000007E-2</v>
      </c>
      <c r="E125">
        <v>20820000</v>
      </c>
      <c r="F125">
        <v>1620000</v>
      </c>
      <c r="G125">
        <v>7340000</v>
      </c>
      <c r="H125">
        <f>IFERROR(Sheet1[[#This Row],[Volume (24h)]]/Sheet1[[#This Row],[Circulating Supply]],0)</f>
        <v>8.6943493150684933E-2</v>
      </c>
      <c r="I125">
        <f>RANK(Table2[[#This Row],[Market Cap]],Table2[Market Cap],0)</f>
        <v>90</v>
      </c>
      <c r="J125" t="str">
        <f t="shared" si="1"/>
        <v>2-10</v>
      </c>
    </row>
    <row r="126" spans="1:10">
      <c r="A126" t="s">
        <v>32</v>
      </c>
      <c r="B126" t="s">
        <v>366</v>
      </c>
      <c r="C126">
        <v>0.1062</v>
      </c>
      <c r="D126">
        <v>0.19</v>
      </c>
      <c r="E126">
        <v>212500000</v>
      </c>
      <c r="F126">
        <v>10400000</v>
      </c>
      <c r="G126">
        <v>2000000000</v>
      </c>
      <c r="H126">
        <f>IFERROR(Sheet1[[#This Row],[Volume (24h)]]/Sheet1[[#This Row],[Circulating Supply]],0)</f>
        <v>2.6048939198807024</v>
      </c>
      <c r="I126">
        <f>RANK(Table2[[#This Row],[Market Cap]],Table2[Market Cap],0)</f>
        <v>44</v>
      </c>
      <c r="J126" t="str">
        <f t="shared" si="1"/>
        <v>0-0.5</v>
      </c>
    </row>
    <row r="127" spans="1:10">
      <c r="A127" t="s">
        <v>273</v>
      </c>
      <c r="B127" t="s">
        <v>997</v>
      </c>
      <c r="C127">
        <v>0.11070000000000001</v>
      </c>
      <c r="D127">
        <v>0.69</v>
      </c>
      <c r="E127">
        <v>28010000</v>
      </c>
      <c r="F127">
        <v>3840000</v>
      </c>
      <c r="G127">
        <v>253000000</v>
      </c>
      <c r="H127">
        <f>IFERROR(Sheet1[[#This Row],[Volume (24h)]]/Sheet1[[#This Row],[Circulating Supply]],0)</f>
        <v>6.9346733668341706E-4</v>
      </c>
      <c r="I127">
        <f>RANK(Table2[[#This Row],[Market Cap]],Table2[Market Cap],0)</f>
        <v>84</v>
      </c>
      <c r="J127" t="str">
        <f t="shared" si="1"/>
        <v>0-0.5</v>
      </c>
    </row>
    <row r="128" spans="1:10">
      <c r="A128" t="s">
        <v>156</v>
      </c>
      <c r="B128" t="s">
        <v>156</v>
      </c>
      <c r="C128">
        <v>1.8370000000000001E-3</v>
      </c>
      <c r="D128">
        <v>0.35</v>
      </c>
      <c r="E128">
        <v>2620000</v>
      </c>
      <c r="F128">
        <v>279310</v>
      </c>
      <c r="G128">
        <v>1420000000</v>
      </c>
      <c r="H128">
        <f>IFERROR(Sheet1[[#This Row],[Volume (24h)]]/Sheet1[[#This Row],[Circulating Supply]],0)</f>
        <v>1.4555879019533767E-3</v>
      </c>
      <c r="I128">
        <f>RANK(Table2[[#This Row],[Market Cap]],Table2[Market Cap],0)</f>
        <v>212</v>
      </c>
      <c r="J128" t="str">
        <f t="shared" si="1"/>
        <v>0-0.5</v>
      </c>
    </row>
    <row r="129" spans="1:10">
      <c r="A129" t="s">
        <v>116</v>
      </c>
      <c r="B129" t="s">
        <v>538</v>
      </c>
      <c r="C129">
        <v>8.0309999999999999E-3</v>
      </c>
      <c r="D129">
        <v>2.62</v>
      </c>
      <c r="E129">
        <v>16010000</v>
      </c>
      <c r="F129">
        <v>1280000</v>
      </c>
      <c r="G129">
        <v>1990000000</v>
      </c>
      <c r="H129">
        <f>IFERROR(Sheet1[[#This Row],[Volume (24h)]]/Sheet1[[#This Row],[Circulating Supply]],0)</f>
        <v>0.75922237495441414</v>
      </c>
      <c r="I129">
        <f>RANK(Table2[[#This Row],[Market Cap]],Table2[Market Cap],0)</f>
        <v>105</v>
      </c>
      <c r="J129" t="str">
        <f t="shared" si="1"/>
        <v>0-0.5</v>
      </c>
    </row>
    <row r="130" spans="1:10">
      <c r="A130" t="s">
        <v>56</v>
      </c>
      <c r="B130" t="s">
        <v>998</v>
      </c>
      <c r="C130">
        <v>5.11E-2</v>
      </c>
      <c r="D130">
        <v>0.33</v>
      </c>
      <c r="E130">
        <v>9180000</v>
      </c>
      <c r="F130">
        <v>5090000</v>
      </c>
      <c r="G130">
        <v>179640000</v>
      </c>
      <c r="H130">
        <f>IFERROR(Sheet1[[#This Row],[Volume (24h)]]/Sheet1[[#This Row],[Circulating Supply]],0)</f>
        <v>1.0564939583728727E-2</v>
      </c>
      <c r="I130">
        <f>RANK(Table2[[#This Row],[Market Cap]],Table2[Market Cap],0)</f>
        <v>144</v>
      </c>
      <c r="J130" t="str">
        <f t="shared" ref="J130:J193" si="2">IF(C130&lt;=0.5,"0-0.5",IF(C130&lt;=1,"0.5-1",IF(C130&lt;=2,"1-2",IF(C130&lt;=10,"2-10",IF(C130&lt;=100,"10-100",IF(C130&lt;=10000,"100-10000","10000+"))))))</f>
        <v>0-0.5</v>
      </c>
    </row>
    <row r="131" spans="1:10">
      <c r="A131" t="s">
        <v>274</v>
      </c>
      <c r="B131" t="s">
        <v>999</v>
      </c>
      <c r="C131">
        <v>2.1710000000000002E-3</v>
      </c>
      <c r="D131">
        <v>0.62</v>
      </c>
      <c r="E131">
        <v>20490000</v>
      </c>
      <c r="F131">
        <v>951540</v>
      </c>
      <c r="G131">
        <v>9440000000</v>
      </c>
      <c r="H131">
        <f>IFERROR(Sheet1[[#This Row],[Volume (24h)]]/Sheet1[[#This Row],[Circulating Supply]],0)</f>
        <v>4.6399999999999997E-2</v>
      </c>
      <c r="I131">
        <f>RANK(Table2[[#This Row],[Market Cap]],Table2[Market Cap],0)</f>
        <v>95</v>
      </c>
      <c r="J131" t="str">
        <f t="shared" si="2"/>
        <v>0-0.5</v>
      </c>
    </row>
    <row r="132" spans="1:10">
      <c r="A132" t="s">
        <v>52</v>
      </c>
      <c r="B132" t="s">
        <v>1000</v>
      </c>
      <c r="C132">
        <v>1.5089999999999999E-2</v>
      </c>
      <c r="D132">
        <v>1.01</v>
      </c>
      <c r="E132">
        <v>38730000</v>
      </c>
      <c r="F132">
        <v>5440000</v>
      </c>
      <c r="G132">
        <v>2560000000</v>
      </c>
      <c r="H132">
        <f>IFERROR(Sheet1[[#This Row],[Volume (24h)]]/Sheet1[[#This Row],[Circulating Supply]],0)</f>
        <v>1.518279569892473E-3</v>
      </c>
      <c r="I132">
        <f>RANK(Table2[[#This Row],[Market Cap]],Table2[Market Cap],0)</f>
        <v>65</v>
      </c>
      <c r="J132" t="str">
        <f t="shared" si="2"/>
        <v>0-0.5</v>
      </c>
    </row>
    <row r="133" spans="1:10">
      <c r="A133" t="s">
        <v>124</v>
      </c>
      <c r="B133" t="s">
        <v>1001</v>
      </c>
      <c r="C133">
        <v>75.760000000000005</v>
      </c>
      <c r="D133">
        <v>0.13</v>
      </c>
      <c r="E133">
        <v>11940000</v>
      </c>
      <c r="F133">
        <v>1050000</v>
      </c>
      <c r="G133">
        <v>157710</v>
      </c>
      <c r="H133">
        <f>IFERROR(Sheet1[[#This Row],[Volume (24h)]]/Sheet1[[#This Row],[Circulating Supply]],0)</f>
        <v>1.2421052631579007E-8</v>
      </c>
      <c r="I133">
        <f>RANK(Table2[[#This Row],[Market Cap]],Table2[Market Cap],0)</f>
        <v>128</v>
      </c>
      <c r="J133" t="str">
        <f t="shared" si="2"/>
        <v>10-100</v>
      </c>
    </row>
    <row r="134" spans="1:10">
      <c r="A134" t="s">
        <v>142</v>
      </c>
      <c r="B134" t="s">
        <v>1002</v>
      </c>
      <c r="C134">
        <v>64.97</v>
      </c>
      <c r="D134">
        <v>0.05</v>
      </c>
      <c r="E134">
        <v>7240000</v>
      </c>
      <c r="F134">
        <v>504730</v>
      </c>
      <c r="G134">
        <v>111490</v>
      </c>
      <c r="H134">
        <f>IFERROR(Sheet1[[#This Row],[Volume (24h)]]/Sheet1[[#This Row],[Circulating Supply]],0)</f>
        <v>2.0961481039116154E-4</v>
      </c>
      <c r="I134">
        <f>RANK(Table2[[#This Row],[Market Cap]],Table2[Market Cap],0)</f>
        <v>157</v>
      </c>
      <c r="J134" t="str">
        <f t="shared" si="2"/>
        <v>10-100</v>
      </c>
    </row>
    <row r="135" spans="1:10">
      <c r="A135" t="s">
        <v>43</v>
      </c>
      <c r="B135" t="s">
        <v>1003</v>
      </c>
      <c r="C135">
        <v>4.3010000000000001E-3</v>
      </c>
      <c r="D135">
        <v>0.92</v>
      </c>
      <c r="E135">
        <v>212680000</v>
      </c>
      <c r="F135">
        <v>7320000</v>
      </c>
      <c r="G135">
        <v>49440000000</v>
      </c>
      <c r="H135">
        <f>IFERROR(Sheet1[[#This Row],[Volume (24h)]]/Sheet1[[#This Row],[Circulating Supply]],0)</f>
        <v>1.2947229551451188E-2</v>
      </c>
      <c r="I135">
        <f>RANK(Table2[[#This Row],[Market Cap]],Table2[Market Cap],0)</f>
        <v>43</v>
      </c>
      <c r="J135" t="str">
        <f t="shared" si="2"/>
        <v>0-0.5</v>
      </c>
    </row>
    <row r="136" spans="1:10">
      <c r="A136" t="s">
        <v>72</v>
      </c>
      <c r="B136" t="s">
        <v>1004</v>
      </c>
      <c r="C136">
        <v>5.7820000000000003E-2</v>
      </c>
      <c r="D136">
        <v>0.31</v>
      </c>
      <c r="E136">
        <v>57820000</v>
      </c>
      <c r="F136">
        <v>3140000</v>
      </c>
      <c r="G136">
        <v>999990000</v>
      </c>
      <c r="H136">
        <f>IFERROR(Sheet1[[#This Row],[Volume (24h)]]/Sheet1[[#This Row],[Circulating Supply]],0)</f>
        <v>8.6224489795918362E-5</v>
      </c>
      <c r="I136">
        <f>RANK(Table2[[#This Row],[Market Cap]],Table2[Market Cap],0)</f>
        <v>47</v>
      </c>
      <c r="J136" t="str">
        <f t="shared" si="2"/>
        <v>0-0.5</v>
      </c>
    </row>
    <row r="137" spans="1:10">
      <c r="A137" t="s">
        <v>231</v>
      </c>
      <c r="B137" t="s">
        <v>1005</v>
      </c>
      <c r="C137">
        <v>7.1318000000000006E-2</v>
      </c>
      <c r="D137">
        <v>1.29</v>
      </c>
      <c r="E137">
        <v>1990000</v>
      </c>
      <c r="F137">
        <v>2500</v>
      </c>
      <c r="G137">
        <v>151420000000000</v>
      </c>
      <c r="H137">
        <f>IFERROR(Sheet1[[#This Row],[Volume (24h)]]/Sheet1[[#This Row],[Circulating Supply]],0)</f>
        <v>1.2103827751196231E-4</v>
      </c>
      <c r="I137">
        <f>RANK(Table2[[#This Row],[Market Cap]],Table2[Market Cap],0)</f>
        <v>237</v>
      </c>
      <c r="J137" t="str">
        <f t="shared" si="2"/>
        <v>0-0.5</v>
      </c>
    </row>
    <row r="138" spans="1:10">
      <c r="A138" t="s">
        <v>45</v>
      </c>
      <c r="B138" t="s">
        <v>508</v>
      </c>
      <c r="C138">
        <v>9.1819999999999992E-3</v>
      </c>
      <c r="D138">
        <v>0.85</v>
      </c>
      <c r="E138">
        <v>9180000</v>
      </c>
      <c r="F138">
        <v>7170000</v>
      </c>
      <c r="G138">
        <v>999940000</v>
      </c>
      <c r="H138">
        <f>IFERROR(Sheet1[[#This Row],[Volume (24h)]]/Sheet1[[#This Row],[Circulating Supply]],0)</f>
        <v>0</v>
      </c>
      <c r="I138">
        <f>RANK(Table2[[#This Row],[Market Cap]],Table2[Market Cap],0)</f>
        <v>144</v>
      </c>
      <c r="J138" t="str">
        <f t="shared" si="2"/>
        <v>0-0.5</v>
      </c>
    </row>
    <row r="139" spans="1:10">
      <c r="A139" t="s">
        <v>21</v>
      </c>
      <c r="B139" t="s">
        <v>355</v>
      </c>
      <c r="C139">
        <v>0.50609999999999999</v>
      </c>
      <c r="D139">
        <v>0.46</v>
      </c>
      <c r="E139">
        <v>255370000</v>
      </c>
      <c r="F139">
        <v>25600000</v>
      </c>
      <c r="G139">
        <v>504560000</v>
      </c>
      <c r="H139">
        <f>IFERROR(Sheet1[[#This Row],[Volume (24h)]]/Sheet1[[#This Row],[Circulating Supply]],0)</f>
        <v>7.925365699017254E-3</v>
      </c>
      <c r="I139">
        <f>RANK(Table2[[#This Row],[Market Cap]],Table2[Market Cap],0)</f>
        <v>34</v>
      </c>
      <c r="J139" t="str">
        <f t="shared" si="2"/>
        <v>0.5-1</v>
      </c>
    </row>
    <row r="140" spans="1:10">
      <c r="A140" t="s">
        <v>91</v>
      </c>
      <c r="B140" t="s">
        <v>381</v>
      </c>
      <c r="C140">
        <v>3.55</v>
      </c>
      <c r="D140">
        <v>0.1</v>
      </c>
      <c r="E140">
        <v>797050000</v>
      </c>
      <c r="F140">
        <v>2130000</v>
      </c>
      <c r="G140">
        <v>224060000</v>
      </c>
      <c r="H140">
        <f>IFERROR(Sheet1[[#This Row],[Volume (24h)]]/Sheet1[[#This Row],[Circulating Supply]],0)</f>
        <v>1.5426704156850749E-2</v>
      </c>
      <c r="I140">
        <f>RANK(Table2[[#This Row],[Market Cap]],Table2[Market Cap],0)</f>
        <v>22</v>
      </c>
      <c r="J140" t="str">
        <f t="shared" si="2"/>
        <v>2-10</v>
      </c>
    </row>
    <row r="141" spans="1:10">
      <c r="A141" t="s">
        <v>16</v>
      </c>
      <c r="B141" t="s">
        <v>16</v>
      </c>
      <c r="C141">
        <v>1.05</v>
      </c>
      <c r="D141">
        <v>1.45</v>
      </c>
      <c r="E141">
        <v>255660000</v>
      </c>
      <c r="F141">
        <v>53800000</v>
      </c>
      <c r="G141">
        <v>241380000</v>
      </c>
      <c r="H141">
        <f>IFERROR(Sheet1[[#This Row],[Volume (24h)]]/Sheet1[[#This Row],[Circulating Supply]],0)</f>
        <v>2.9507657744047781E-2</v>
      </c>
      <c r="I141">
        <f>RANK(Table2[[#This Row],[Market Cap]],Table2[Market Cap],0)</f>
        <v>33</v>
      </c>
      <c r="J141" t="str">
        <f t="shared" si="2"/>
        <v>1-2</v>
      </c>
    </row>
    <row r="142" spans="1:10">
      <c r="A142" t="s">
        <v>65</v>
      </c>
      <c r="B142" t="s">
        <v>1006</v>
      </c>
      <c r="C142">
        <v>3.2039999999999999E-2</v>
      </c>
      <c r="D142">
        <v>0.08</v>
      </c>
      <c r="E142">
        <v>9170000</v>
      </c>
      <c r="F142">
        <v>4110000</v>
      </c>
      <c r="G142">
        <v>286300000</v>
      </c>
      <c r="H142">
        <f>IFERROR(Sheet1[[#This Row],[Volume (24h)]]/Sheet1[[#This Row],[Circulating Supply]],0)</f>
        <v>4.2491638795986624E-5</v>
      </c>
      <c r="I142">
        <f>RANK(Table2[[#This Row],[Market Cap]],Table2[Market Cap],0)</f>
        <v>146</v>
      </c>
      <c r="J142" t="str">
        <f t="shared" si="2"/>
        <v>0-0.5</v>
      </c>
    </row>
    <row r="143" spans="1:10">
      <c r="A143" t="s">
        <v>275</v>
      </c>
      <c r="B143" t="s">
        <v>1007</v>
      </c>
      <c r="C143">
        <v>5.1614E-2</v>
      </c>
      <c r="D143">
        <v>0.04</v>
      </c>
      <c r="E143">
        <v>1610000</v>
      </c>
      <c r="F143">
        <v>103570</v>
      </c>
      <c r="G143">
        <v>1000000000000</v>
      </c>
      <c r="H143">
        <f>IFERROR(Sheet1[[#This Row],[Volume (24h)]]/Sheet1[[#This Row],[Circulating Supply]],0)</f>
        <v>0.13182766662575182</v>
      </c>
      <c r="I143">
        <f>RANK(Table2[[#This Row],[Market Cap]],Table2[Market Cap],0)</f>
        <v>242</v>
      </c>
      <c r="J143" t="str">
        <f t="shared" si="2"/>
        <v>0-0.5</v>
      </c>
    </row>
    <row r="144" spans="1:10">
      <c r="A144" t="s">
        <v>85</v>
      </c>
      <c r="B144" t="s">
        <v>1008</v>
      </c>
      <c r="C144">
        <v>2.95</v>
      </c>
      <c r="D144">
        <v>0.36</v>
      </c>
      <c r="E144">
        <v>54950000</v>
      </c>
      <c r="F144">
        <v>2350000</v>
      </c>
      <c r="G144">
        <v>18590000</v>
      </c>
      <c r="H144">
        <f>IFERROR(Sheet1[[#This Row],[Volume (24h)]]/Sheet1[[#This Row],[Circulating Supply]],0)</f>
        <v>1.4355458102656668E-2</v>
      </c>
      <c r="I144">
        <f>RANK(Table2[[#This Row],[Market Cap]],Table2[Market Cap],0)</f>
        <v>52</v>
      </c>
      <c r="J144" t="str">
        <f t="shared" si="2"/>
        <v>2-10</v>
      </c>
    </row>
    <row r="145" spans="1:10">
      <c r="A145" t="s">
        <v>95</v>
      </c>
      <c r="B145" t="s">
        <v>1009</v>
      </c>
      <c r="C145">
        <v>4.5970000000000004E-3</v>
      </c>
      <c r="D145">
        <v>0.78</v>
      </c>
      <c r="E145">
        <v>5710000</v>
      </c>
      <c r="F145">
        <v>1870000</v>
      </c>
      <c r="G145">
        <v>1240000000</v>
      </c>
      <c r="H145">
        <f>IFERROR(Sheet1[[#This Row],[Volume (24h)]]/Sheet1[[#This Row],[Circulating Supply]],0)</f>
        <v>1.9598173261674698E-3</v>
      </c>
      <c r="I145">
        <f>RANK(Table2[[#This Row],[Market Cap]],Table2[Market Cap],0)</f>
        <v>166</v>
      </c>
      <c r="J145" t="str">
        <f t="shared" si="2"/>
        <v>0-0.5</v>
      </c>
    </row>
    <row r="146" spans="1:10">
      <c r="A146" t="s">
        <v>276</v>
      </c>
      <c r="B146" t="s">
        <v>1010</v>
      </c>
      <c r="C146">
        <v>1.047E-4</v>
      </c>
      <c r="D146">
        <v>0</v>
      </c>
      <c r="E146">
        <v>1040000</v>
      </c>
      <c r="F146">
        <v>0</v>
      </c>
      <c r="G146">
        <v>10000000000</v>
      </c>
      <c r="H146">
        <f>IFERROR(Sheet1[[#This Row],[Volume (24h)]]/Sheet1[[#This Row],[Circulating Supply]],0)</f>
        <v>1.799047619047619E-6</v>
      </c>
      <c r="I146">
        <f>RANK(Table2[[#This Row],[Market Cap]],Table2[Market Cap],0)</f>
        <v>278</v>
      </c>
      <c r="J146" t="str">
        <f t="shared" si="2"/>
        <v>0-0.5</v>
      </c>
    </row>
    <row r="147" spans="1:10">
      <c r="A147" t="s">
        <v>19</v>
      </c>
      <c r="B147" t="s">
        <v>1011</v>
      </c>
      <c r="C147">
        <v>0.7379</v>
      </c>
      <c r="D147">
        <v>0.2</v>
      </c>
      <c r="E147">
        <v>268070000</v>
      </c>
      <c r="F147">
        <v>28930000</v>
      </c>
      <c r="G147">
        <v>363280000</v>
      </c>
      <c r="H147">
        <f>IFERROR(Sheet1[[#This Row],[Volume (24h)]]/Sheet1[[#This Row],[Circulating Supply]],0)</f>
        <v>4.3590639189661197E-2</v>
      </c>
      <c r="I147">
        <f>RANK(Table2[[#This Row],[Market Cap]],Table2[Market Cap],0)</f>
        <v>29</v>
      </c>
      <c r="J147" t="str">
        <f t="shared" si="2"/>
        <v>0.5-1</v>
      </c>
    </row>
    <row r="148" spans="1:10">
      <c r="A148" t="s">
        <v>277</v>
      </c>
      <c r="B148" t="s">
        <v>277</v>
      </c>
      <c r="C148">
        <v>6.6740000000000002E-3</v>
      </c>
      <c r="D148">
        <v>0</v>
      </c>
      <c r="E148">
        <v>2000000</v>
      </c>
      <c r="F148">
        <v>0</v>
      </c>
      <c r="G148">
        <v>299980000</v>
      </c>
      <c r="H148">
        <f>IFERROR(Sheet1[[#This Row],[Volume (24h)]]/Sheet1[[#This Row],[Circulating Supply]],0)</f>
        <v>4.0201597067679017E-4</v>
      </c>
      <c r="I148">
        <f>RANK(Table2[[#This Row],[Market Cap]],Table2[Market Cap],0)</f>
        <v>235</v>
      </c>
      <c r="J148" t="str">
        <f t="shared" si="2"/>
        <v>0-0.5</v>
      </c>
    </row>
    <row r="149" spans="1:10">
      <c r="A149" t="s">
        <v>176</v>
      </c>
      <c r="B149" t="s">
        <v>671</v>
      </c>
      <c r="C149">
        <v>8.8850000000000005E-3</v>
      </c>
      <c r="D149">
        <v>0.02</v>
      </c>
      <c r="E149">
        <v>4320000</v>
      </c>
      <c r="F149">
        <v>162880</v>
      </c>
      <c r="G149">
        <v>486200000</v>
      </c>
      <c r="H149">
        <f>IFERROR(Sheet1[[#This Row],[Volume (24h)]]/Sheet1[[#This Row],[Circulating Supply]],0)</f>
        <v>1.5840038809149679E-2</v>
      </c>
      <c r="I149">
        <f>RANK(Table2[[#This Row],[Market Cap]],Table2[Market Cap],0)</f>
        <v>185</v>
      </c>
      <c r="J149" t="str">
        <f t="shared" si="2"/>
        <v>0-0.5</v>
      </c>
    </row>
    <row r="150" spans="1:10">
      <c r="A150" t="s">
        <v>278</v>
      </c>
      <c r="B150" t="s">
        <v>1012</v>
      </c>
      <c r="C150">
        <v>4.0109999999999998E-3</v>
      </c>
      <c r="D150">
        <v>0</v>
      </c>
      <c r="E150">
        <v>882520</v>
      </c>
      <c r="F150">
        <v>0</v>
      </c>
      <c r="G150">
        <v>220000000</v>
      </c>
      <c r="H150">
        <f>IFERROR(Sheet1[[#This Row],[Volume (24h)]]/Sheet1[[#This Row],[Circulating Supply]],0)</f>
        <v>7.0496083550913838E-5</v>
      </c>
      <c r="I150">
        <f>RANK(Table2[[#This Row],[Market Cap]],Table2[Market Cap],0)</f>
        <v>286</v>
      </c>
      <c r="J150" t="str">
        <f t="shared" si="2"/>
        <v>0-0.5</v>
      </c>
    </row>
    <row r="151" spans="1:10">
      <c r="A151" t="s">
        <v>114</v>
      </c>
      <c r="B151" t="s">
        <v>1013</v>
      </c>
      <c r="C151">
        <v>592.08000000000004</v>
      </c>
      <c r="D151">
        <v>0.36</v>
      </c>
      <c r="E151">
        <v>4350000</v>
      </c>
      <c r="F151">
        <v>1320000</v>
      </c>
      <c r="G151">
        <v>7350</v>
      </c>
      <c r="H151">
        <f>IFERROR(Sheet1[[#This Row],[Volume (24h)]]/Sheet1[[#This Row],[Circulating Supply]],0)</f>
        <v>1.4711538461538462E-3</v>
      </c>
      <c r="I151">
        <f>RANK(Table2[[#This Row],[Market Cap]],Table2[Market Cap],0)</f>
        <v>182</v>
      </c>
      <c r="J151" t="str">
        <f t="shared" si="2"/>
        <v>100-10000</v>
      </c>
    </row>
    <row r="152" spans="1:10">
      <c r="A152" t="s">
        <v>227</v>
      </c>
      <c r="B152" t="s">
        <v>573</v>
      </c>
      <c r="C152">
        <v>2.075E-4</v>
      </c>
      <c r="D152">
        <v>1.53</v>
      </c>
      <c r="E152">
        <v>4350000</v>
      </c>
      <c r="F152">
        <v>4450</v>
      </c>
      <c r="G152">
        <v>21000000000</v>
      </c>
      <c r="H152">
        <f>IFERROR(Sheet1[[#This Row],[Volume (24h)]]/Sheet1[[#This Row],[Circulating Supply]],0)</f>
        <v>1.6064211714021952E-3</v>
      </c>
      <c r="I152">
        <f>RANK(Table2[[#This Row],[Market Cap]],Table2[Market Cap],0)</f>
        <v>182</v>
      </c>
      <c r="J152" t="str">
        <f t="shared" si="2"/>
        <v>0-0.5</v>
      </c>
    </row>
    <row r="153" spans="1:10">
      <c r="A153" t="s">
        <v>119</v>
      </c>
      <c r="B153" t="s">
        <v>427</v>
      </c>
      <c r="C153">
        <v>0.29160000000000003</v>
      </c>
      <c r="D153">
        <v>0.27</v>
      </c>
      <c r="E153">
        <v>55420000</v>
      </c>
      <c r="F153">
        <v>1150000</v>
      </c>
      <c r="G153">
        <v>190000000</v>
      </c>
      <c r="H153">
        <f>IFERROR(Sheet1[[#This Row],[Volume (24h)]]/Sheet1[[#This Row],[Circulating Supply]],0)</f>
        <v>1.6468466663327154E-4</v>
      </c>
      <c r="I153">
        <f>RANK(Table2[[#This Row],[Market Cap]],Table2[Market Cap],0)</f>
        <v>51</v>
      </c>
      <c r="J153" t="str">
        <f t="shared" si="2"/>
        <v>0-0.5</v>
      </c>
    </row>
    <row r="154" spans="1:10">
      <c r="A154" t="s">
        <v>197</v>
      </c>
      <c r="B154" t="s">
        <v>890</v>
      </c>
      <c r="C154">
        <v>1.307E-3</v>
      </c>
      <c r="D154">
        <v>5.66</v>
      </c>
      <c r="E154">
        <v>1270000</v>
      </c>
      <c r="F154">
        <v>56030</v>
      </c>
      <c r="G154">
        <v>978220000</v>
      </c>
      <c r="H154">
        <f>IFERROR(Sheet1[[#This Row],[Volume (24h)]]/Sheet1[[#This Row],[Circulating Supply]],0)</f>
        <v>3.4701920321008883E-3</v>
      </c>
      <c r="I154">
        <f>RANK(Table2[[#This Row],[Market Cap]],Table2[Market Cap],0)</f>
        <v>262</v>
      </c>
      <c r="J154" t="str">
        <f t="shared" si="2"/>
        <v>0-0.5</v>
      </c>
    </row>
    <row r="155" spans="1:10">
      <c r="A155" t="s">
        <v>132</v>
      </c>
      <c r="B155" t="s">
        <v>1014</v>
      </c>
      <c r="C155">
        <v>9.4490000000000008E-3</v>
      </c>
      <c r="D155">
        <v>0.21</v>
      </c>
      <c r="E155">
        <v>5660000</v>
      </c>
      <c r="F155">
        <v>762630</v>
      </c>
      <c r="G155">
        <v>599390000</v>
      </c>
      <c r="H155">
        <f>IFERROR(Sheet1[[#This Row],[Volume (24h)]]/Sheet1[[#This Row],[Circulating Supply]],0)</f>
        <v>0.16339869281045752</v>
      </c>
      <c r="I155">
        <f>RANK(Table2[[#This Row],[Market Cap]],Table2[Market Cap],0)</f>
        <v>174</v>
      </c>
      <c r="J155" t="str">
        <f t="shared" si="2"/>
        <v>0-0.5</v>
      </c>
    </row>
    <row r="156" spans="1:10">
      <c r="A156" t="s">
        <v>229</v>
      </c>
      <c r="B156" t="s">
        <v>1015</v>
      </c>
      <c r="C156">
        <v>2.5579999999999999E-2</v>
      </c>
      <c r="D156">
        <v>0.27</v>
      </c>
      <c r="E156">
        <v>28590000</v>
      </c>
      <c r="F156">
        <v>3740</v>
      </c>
      <c r="G156">
        <v>1110000000</v>
      </c>
      <c r="H156">
        <f>IFERROR(Sheet1[[#This Row],[Volume (24h)]]/Sheet1[[#This Row],[Circulating Supply]],0)</f>
        <v>324.37877770315646</v>
      </c>
      <c r="I156">
        <f>RANK(Table2[[#This Row],[Market Cap]],Table2[Market Cap],0)</f>
        <v>75</v>
      </c>
      <c r="J156" t="str">
        <f t="shared" si="2"/>
        <v>0-0.5</v>
      </c>
    </row>
    <row r="157" spans="1:10">
      <c r="A157" t="s">
        <v>88</v>
      </c>
      <c r="B157" t="s">
        <v>1016</v>
      </c>
      <c r="C157">
        <v>5.8599999999999999E-2</v>
      </c>
      <c r="D157">
        <v>0.33</v>
      </c>
      <c r="E157">
        <v>27990000</v>
      </c>
      <c r="F157">
        <v>2220000</v>
      </c>
      <c r="G157">
        <v>477760000</v>
      </c>
      <c r="H157">
        <f>IFERROR(Sheet1[[#This Row],[Volume (24h)]]/Sheet1[[#This Row],[Circulating Supply]],0)</f>
        <v>8.8235294117647062E-4</v>
      </c>
      <c r="I157">
        <f>RANK(Table2[[#This Row],[Market Cap]],Table2[Market Cap],0)</f>
        <v>85</v>
      </c>
      <c r="J157" t="str">
        <f t="shared" si="2"/>
        <v>0-0.5</v>
      </c>
    </row>
    <row r="158" spans="1:10">
      <c r="A158" t="s">
        <v>141</v>
      </c>
      <c r="B158" t="s">
        <v>1017</v>
      </c>
      <c r="C158">
        <v>9.1100000000000003E-4</v>
      </c>
      <c r="D158">
        <v>0.03</v>
      </c>
      <c r="E158">
        <v>5680000</v>
      </c>
      <c r="F158">
        <v>520190</v>
      </c>
      <c r="G158">
        <v>6230000000</v>
      </c>
      <c r="H158">
        <f>IFERROR(Sheet1[[#This Row],[Volume (24h)]]/Sheet1[[#This Row],[Circulating Supply]],0)</f>
        <v>0</v>
      </c>
      <c r="I158">
        <f>RANK(Table2[[#This Row],[Market Cap]],Table2[Market Cap],0)</f>
        <v>170</v>
      </c>
      <c r="J158" t="str">
        <f t="shared" si="2"/>
        <v>0-0.5</v>
      </c>
    </row>
    <row r="159" spans="1:10">
      <c r="A159" t="s">
        <v>279</v>
      </c>
      <c r="B159" t="s">
        <v>1018</v>
      </c>
      <c r="C159">
        <v>1.6469999999999999E-2</v>
      </c>
      <c r="D159">
        <v>0.87</v>
      </c>
      <c r="E159">
        <v>3290000</v>
      </c>
      <c r="F159">
        <v>515040</v>
      </c>
      <c r="G159">
        <v>200000000</v>
      </c>
      <c r="H159">
        <f>IFERROR(Sheet1[[#This Row],[Volume (24h)]]/Sheet1[[#This Row],[Circulating Supply]],0)</f>
        <v>115.14018691588785</v>
      </c>
      <c r="I159">
        <f>RANK(Table2[[#This Row],[Market Cap]],Table2[Market Cap],0)</f>
        <v>200</v>
      </c>
      <c r="J159" t="str">
        <f t="shared" si="2"/>
        <v>0-0.5</v>
      </c>
    </row>
    <row r="160" spans="1:10">
      <c r="A160" t="s">
        <v>101</v>
      </c>
      <c r="B160" t="s">
        <v>1019</v>
      </c>
      <c r="C160">
        <v>187.9</v>
      </c>
      <c r="D160">
        <v>1.04</v>
      </c>
      <c r="E160">
        <v>15660000</v>
      </c>
      <c r="F160">
        <v>1740000</v>
      </c>
      <c r="G160">
        <v>83360</v>
      </c>
      <c r="H160">
        <f>IFERROR(Sheet1[[#This Row],[Volume (24h)]]/Sheet1[[#This Row],[Circulating Supply]],0)</f>
        <v>8.5012580374615593E-3</v>
      </c>
      <c r="I160">
        <f>RANK(Table2[[#This Row],[Market Cap]],Table2[Market Cap],0)</f>
        <v>113</v>
      </c>
      <c r="J160" t="str">
        <f t="shared" si="2"/>
        <v>100-10000</v>
      </c>
    </row>
    <row r="161" spans="1:10">
      <c r="A161" t="s">
        <v>113</v>
      </c>
      <c r="B161" t="s">
        <v>1020</v>
      </c>
      <c r="C161">
        <v>575.01</v>
      </c>
      <c r="D161">
        <v>0.05</v>
      </c>
      <c r="E161">
        <v>1290000</v>
      </c>
      <c r="F161">
        <v>1320000</v>
      </c>
      <c r="G161">
        <v>2250</v>
      </c>
      <c r="H161">
        <f>IFERROR(Sheet1[[#This Row],[Volume (24h)]]/Sheet1[[#This Row],[Circulating Supply]],0)</f>
        <v>3.5878867676102697E-5</v>
      </c>
      <c r="I161">
        <f>RANK(Table2[[#This Row],[Market Cap]],Table2[Market Cap],0)</f>
        <v>257</v>
      </c>
      <c r="J161" t="str">
        <f t="shared" si="2"/>
        <v>100-10000</v>
      </c>
    </row>
    <row r="162" spans="1:10">
      <c r="A162" t="s">
        <v>185</v>
      </c>
      <c r="B162" t="s">
        <v>185</v>
      </c>
      <c r="C162">
        <v>2.248E-2</v>
      </c>
      <c r="D162">
        <v>0.28000000000000003</v>
      </c>
      <c r="E162">
        <v>2570000</v>
      </c>
      <c r="F162">
        <v>112920</v>
      </c>
      <c r="G162">
        <v>114350000</v>
      </c>
      <c r="H162">
        <f>IFERROR(Sheet1[[#This Row],[Volume (24h)]]/Sheet1[[#This Row],[Circulating Supply]],0)</f>
        <v>1.9025858741798533E-3</v>
      </c>
      <c r="I162">
        <f>RANK(Table2[[#This Row],[Market Cap]],Table2[Market Cap],0)</f>
        <v>218</v>
      </c>
      <c r="J162" t="str">
        <f t="shared" si="2"/>
        <v>0-0.5</v>
      </c>
    </row>
    <row r="163" spans="1:10">
      <c r="A163" t="s">
        <v>118</v>
      </c>
      <c r="B163" t="s">
        <v>1021</v>
      </c>
      <c r="C163">
        <v>8.0409999999999995E-3</v>
      </c>
      <c r="D163">
        <v>0.42</v>
      </c>
      <c r="E163">
        <v>9430000</v>
      </c>
      <c r="F163">
        <v>1240000</v>
      </c>
      <c r="G163">
        <v>1170000000</v>
      </c>
      <c r="H163">
        <f>IFERROR(Sheet1[[#This Row],[Volume (24h)]]/Sheet1[[#This Row],[Circulating Supply]],0)</f>
        <v>134.59516298633017</v>
      </c>
      <c r="I163">
        <f>RANK(Table2[[#This Row],[Market Cap]],Table2[Market Cap],0)</f>
        <v>136</v>
      </c>
      <c r="J163" t="str">
        <f t="shared" si="2"/>
        <v>0-0.5</v>
      </c>
    </row>
    <row r="164" spans="1:10">
      <c r="A164" t="s">
        <v>178</v>
      </c>
      <c r="B164" t="s">
        <v>1022</v>
      </c>
      <c r="C164">
        <v>554.79999999999995</v>
      </c>
      <c r="D164">
        <v>0.08</v>
      </c>
      <c r="E164">
        <v>2590000</v>
      </c>
      <c r="F164">
        <v>155200</v>
      </c>
      <c r="G164">
        <v>4680</v>
      </c>
      <c r="H164">
        <f>IFERROR(Sheet1[[#This Row],[Volume (24h)]]/Sheet1[[#This Row],[Circulating Supply]],0)</f>
        <v>1.5406360424028268E-2</v>
      </c>
      <c r="I164">
        <f>RANK(Table2[[#This Row],[Market Cap]],Table2[Market Cap],0)</f>
        <v>216</v>
      </c>
      <c r="J164" t="str">
        <f t="shared" si="2"/>
        <v>100-10000</v>
      </c>
    </row>
    <row r="165" spans="1:10">
      <c r="A165" t="s">
        <v>200</v>
      </c>
      <c r="B165" t="s">
        <v>1023</v>
      </c>
      <c r="C165">
        <v>6.8960000000000002E-3</v>
      </c>
      <c r="D165">
        <v>0</v>
      </c>
      <c r="E165">
        <v>12010000</v>
      </c>
      <c r="F165">
        <v>45910</v>
      </c>
      <c r="G165">
        <v>1740000000</v>
      </c>
      <c r="H165">
        <f>IFERROR(Sheet1[[#This Row],[Volume (24h)]]/Sheet1[[#This Row],[Circulating Supply]],0)</f>
        <v>1.0272739273927392E-2</v>
      </c>
      <c r="I165">
        <f>RANK(Table2[[#This Row],[Market Cap]],Table2[Market Cap],0)</f>
        <v>125</v>
      </c>
      <c r="J165" t="str">
        <f t="shared" si="2"/>
        <v>0-0.5</v>
      </c>
    </row>
    <row r="166" spans="1:10">
      <c r="A166" t="s">
        <v>61</v>
      </c>
      <c r="B166" t="s">
        <v>1024</v>
      </c>
      <c r="C166">
        <v>1</v>
      </c>
      <c r="D166">
        <v>0.01</v>
      </c>
      <c r="E166">
        <v>20440000</v>
      </c>
      <c r="F166">
        <v>4330000</v>
      </c>
      <c r="G166">
        <v>20360000</v>
      </c>
      <c r="H166">
        <f>IFERROR(Sheet1[[#This Row],[Volume (24h)]]/Sheet1[[#This Row],[Circulating Supply]],0)</f>
        <v>2.051511758118701E-9</v>
      </c>
      <c r="I166">
        <f>RANK(Table2[[#This Row],[Market Cap]],Table2[Market Cap],0)</f>
        <v>96</v>
      </c>
      <c r="J166" t="str">
        <f t="shared" si="2"/>
        <v>0.5-1</v>
      </c>
    </row>
    <row r="167" spans="1:10">
      <c r="A167" t="s">
        <v>280</v>
      </c>
      <c r="B167" t="s">
        <v>280</v>
      </c>
      <c r="C167">
        <v>1.306E-2</v>
      </c>
      <c r="D167">
        <v>0</v>
      </c>
      <c r="E167">
        <v>1580000</v>
      </c>
      <c r="F167">
        <v>23.89</v>
      </c>
      <c r="G167">
        <v>121040000</v>
      </c>
      <c r="H167">
        <f>IFERROR(Sheet1[[#This Row],[Volume (24h)]]/Sheet1[[#This Row],[Circulating Supply]],0)</f>
        <v>5.0562308878162197E-10</v>
      </c>
      <c r="I167">
        <f>RANK(Table2[[#This Row],[Market Cap]],Table2[Market Cap],0)</f>
        <v>249</v>
      </c>
      <c r="J167" t="str">
        <f t="shared" si="2"/>
        <v>0-0.5</v>
      </c>
    </row>
    <row r="168" spans="1:10">
      <c r="A168" t="s">
        <v>120</v>
      </c>
      <c r="B168" t="s">
        <v>1025</v>
      </c>
      <c r="C168">
        <v>819.57</v>
      </c>
      <c r="D168">
        <v>7.0000000000000007E-2</v>
      </c>
      <c r="E168">
        <v>20580000</v>
      </c>
      <c r="F168">
        <v>1140000</v>
      </c>
      <c r="G168">
        <v>25110</v>
      </c>
      <c r="H168">
        <f>IFERROR(Sheet1[[#This Row],[Volume (24h)]]/Sheet1[[#This Row],[Circulating Supply]],0)</f>
        <v>3.2881841818707084E-4</v>
      </c>
      <c r="I168">
        <f>RANK(Table2[[#This Row],[Market Cap]],Table2[Market Cap],0)</f>
        <v>93</v>
      </c>
      <c r="J168" t="str">
        <f t="shared" si="2"/>
        <v>100-10000</v>
      </c>
    </row>
    <row r="169" spans="1:10">
      <c r="A169" t="s">
        <v>44</v>
      </c>
      <c r="B169" t="s">
        <v>1026</v>
      </c>
      <c r="C169">
        <v>7.9890000000000003E-2</v>
      </c>
      <c r="D169">
        <v>0.1</v>
      </c>
      <c r="E169">
        <v>38620000</v>
      </c>
      <c r="F169">
        <v>7220000</v>
      </c>
      <c r="G169">
        <v>390560000000000</v>
      </c>
      <c r="H169">
        <f>IFERROR(Sheet1[[#This Row],[Volume (24h)]]/Sheet1[[#This Row],[Circulating Supply]],0)</f>
        <v>4.881497970407228E-5</v>
      </c>
      <c r="I169">
        <f>RANK(Table2[[#This Row],[Market Cap]],Table2[Market Cap],0)</f>
        <v>66</v>
      </c>
      <c r="J169" t="str">
        <f t="shared" si="2"/>
        <v>0-0.5</v>
      </c>
    </row>
    <row r="170" spans="1:10">
      <c r="A170" t="s">
        <v>226</v>
      </c>
      <c r="B170" t="s">
        <v>1027</v>
      </c>
      <c r="C170">
        <v>6.5409999999999996E-2</v>
      </c>
      <c r="D170">
        <v>1</v>
      </c>
      <c r="E170">
        <v>4290000</v>
      </c>
      <c r="F170">
        <v>5290</v>
      </c>
      <c r="G170">
        <v>65720000</v>
      </c>
      <c r="H170">
        <f>IFERROR(Sheet1[[#This Row],[Volume (24h)]]/Sheet1[[#This Row],[Circulating Supply]],0)</f>
        <v>1.3142177275431329E-5</v>
      </c>
      <c r="I170">
        <f>RANK(Table2[[#This Row],[Market Cap]],Table2[Market Cap],0)</f>
        <v>187</v>
      </c>
      <c r="J170" t="str">
        <f t="shared" si="2"/>
        <v>0-0.5</v>
      </c>
    </row>
    <row r="171" spans="1:10">
      <c r="A171" t="s">
        <v>29</v>
      </c>
      <c r="B171" t="s">
        <v>1028</v>
      </c>
      <c r="C171">
        <v>2.07E-2</v>
      </c>
      <c r="D171">
        <v>0.02</v>
      </c>
      <c r="E171">
        <v>244880000</v>
      </c>
      <c r="F171">
        <v>14140000</v>
      </c>
      <c r="G171">
        <v>11820000000</v>
      </c>
      <c r="H171">
        <f>IFERROR(Sheet1[[#This Row],[Volume (24h)]]/Sheet1[[#This Row],[Circulating Supply]],0)</f>
        <v>0</v>
      </c>
      <c r="I171">
        <f>RANK(Table2[[#This Row],[Market Cap]],Table2[Market Cap],0)</f>
        <v>38</v>
      </c>
      <c r="J171" t="str">
        <f t="shared" si="2"/>
        <v>0-0.5</v>
      </c>
    </row>
    <row r="172" spans="1:10">
      <c r="A172" t="s">
        <v>13</v>
      </c>
      <c r="B172" t="s">
        <v>342</v>
      </c>
      <c r="C172">
        <v>354.89</v>
      </c>
      <c r="D172">
        <v>0.57999999999999996</v>
      </c>
      <c r="E172">
        <v>6660000000</v>
      </c>
      <c r="F172">
        <v>93100000</v>
      </c>
      <c r="G172">
        <v>18780000</v>
      </c>
      <c r="H172">
        <f>IFERROR(Sheet1[[#This Row],[Volume (24h)]]/Sheet1[[#This Row],[Circulating Supply]],0)</f>
        <v>2.6548672566371681E-3</v>
      </c>
      <c r="I172">
        <f>RANK(Table2[[#This Row],[Market Cap]],Table2[Market Cap],0)</f>
        <v>15</v>
      </c>
      <c r="J172" t="str">
        <f t="shared" si="2"/>
        <v>100-10000</v>
      </c>
    </row>
    <row r="173" spans="1:10">
      <c r="A173" t="s">
        <v>74</v>
      </c>
      <c r="B173" t="s">
        <v>1029</v>
      </c>
      <c r="C173">
        <v>7.6010000000000001E-3</v>
      </c>
      <c r="D173">
        <v>0.05</v>
      </c>
      <c r="E173">
        <v>9150000</v>
      </c>
      <c r="F173">
        <v>3070000</v>
      </c>
      <c r="G173">
        <v>1200000000</v>
      </c>
      <c r="H173">
        <f>IFERROR(Sheet1[[#This Row],[Volume (24h)]]/Sheet1[[#This Row],[Circulating Supply]],0)</f>
        <v>3.8216446858029482E-2</v>
      </c>
      <c r="I173">
        <f>RANK(Table2[[#This Row],[Market Cap]],Table2[Market Cap],0)</f>
        <v>148</v>
      </c>
      <c r="J173" t="str">
        <f t="shared" si="2"/>
        <v>0-0.5</v>
      </c>
    </row>
    <row r="174" spans="1:10">
      <c r="A174" t="s">
        <v>281</v>
      </c>
      <c r="B174" t="s">
        <v>1030</v>
      </c>
      <c r="C174">
        <v>1.8020000000000001E-2</v>
      </c>
      <c r="D174">
        <v>0.03</v>
      </c>
      <c r="E174">
        <v>7370000</v>
      </c>
      <c r="F174">
        <v>3930000</v>
      </c>
      <c r="G174">
        <v>409110000</v>
      </c>
      <c r="H174">
        <f>IFERROR(Sheet1[[#This Row],[Volume (24h)]]/Sheet1[[#This Row],[Circulating Supply]],0)</f>
        <v>6.8756499133448877E-3</v>
      </c>
      <c r="I174">
        <f>RANK(Table2[[#This Row],[Market Cap]],Table2[Market Cap],0)</f>
        <v>153</v>
      </c>
      <c r="J174" t="str">
        <f t="shared" si="2"/>
        <v>0-0.5</v>
      </c>
    </row>
    <row r="175" spans="1:10">
      <c r="A175" t="s">
        <v>167</v>
      </c>
      <c r="B175" t="s">
        <v>1031</v>
      </c>
      <c r="C175">
        <v>0.40310000000000001</v>
      </c>
      <c r="D175">
        <v>0.13</v>
      </c>
      <c r="E175">
        <v>53710000</v>
      </c>
      <c r="F175">
        <v>230710</v>
      </c>
      <c r="G175">
        <v>133240000</v>
      </c>
      <c r="H175">
        <f>IFERROR(Sheet1[[#This Row],[Volume (24h)]]/Sheet1[[#This Row],[Circulating Supply]],0)</f>
        <v>2.3674475955610385E-4</v>
      </c>
      <c r="I175">
        <f>RANK(Table2[[#This Row],[Market Cap]],Table2[Market Cap],0)</f>
        <v>58</v>
      </c>
      <c r="J175" t="str">
        <f t="shared" si="2"/>
        <v>0-0.5</v>
      </c>
    </row>
    <row r="176" spans="1:10">
      <c r="A176" t="s">
        <v>233</v>
      </c>
      <c r="B176" t="s">
        <v>889</v>
      </c>
      <c r="C176">
        <v>9.1189999999999999E-4</v>
      </c>
      <c r="D176">
        <v>4.4800000000000004</v>
      </c>
      <c r="E176">
        <v>861080</v>
      </c>
      <c r="F176">
        <v>1760</v>
      </c>
      <c r="G176">
        <v>944180000</v>
      </c>
      <c r="H176">
        <f>IFERROR(Sheet1[[#This Row],[Volume (24h)]]/Sheet1[[#This Row],[Circulating Supply]],0)</f>
        <v>221.58273381294964</v>
      </c>
      <c r="I176">
        <f>RANK(Table2[[#This Row],[Market Cap]],Table2[Market Cap],0)</f>
        <v>300</v>
      </c>
      <c r="J176" t="str">
        <f t="shared" si="2"/>
        <v>0-0.5</v>
      </c>
    </row>
    <row r="177" spans="1:10">
      <c r="A177" t="s">
        <v>50</v>
      </c>
      <c r="B177" t="s">
        <v>608</v>
      </c>
      <c r="C177">
        <v>189.95</v>
      </c>
      <c r="D177">
        <v>0.19</v>
      </c>
      <c r="E177">
        <v>9200000</v>
      </c>
      <c r="F177">
        <v>6070000</v>
      </c>
      <c r="G177">
        <v>48480</v>
      </c>
      <c r="H177">
        <f>IFERROR(Sheet1[[#This Row],[Volume (24h)]]/Sheet1[[#This Row],[Circulating Supply]],0)</f>
        <v>2.8593772472314109E-3</v>
      </c>
      <c r="I177">
        <f>RANK(Table2[[#This Row],[Market Cap]],Table2[Market Cap],0)</f>
        <v>142</v>
      </c>
      <c r="J177" t="str">
        <f t="shared" si="2"/>
        <v>100-10000</v>
      </c>
    </row>
    <row r="178" spans="1:10">
      <c r="A178" t="s">
        <v>164</v>
      </c>
      <c r="B178" t="s">
        <v>1032</v>
      </c>
      <c r="C178">
        <v>4.797E-4</v>
      </c>
      <c r="D178">
        <v>0.37</v>
      </c>
      <c r="E178">
        <v>4310000</v>
      </c>
      <c r="F178">
        <v>239490</v>
      </c>
      <c r="G178">
        <v>8990000000</v>
      </c>
      <c r="H178">
        <f>IFERROR(Sheet1[[#This Row],[Volume (24h)]]/Sheet1[[#This Row],[Circulating Supply]],0)</f>
        <v>8.4552941176470594E-5</v>
      </c>
      <c r="I178">
        <f>RANK(Table2[[#This Row],[Market Cap]],Table2[Market Cap],0)</f>
        <v>186</v>
      </c>
      <c r="J178" t="str">
        <f t="shared" si="2"/>
        <v>0-0.5</v>
      </c>
    </row>
    <row r="179" spans="1:10">
      <c r="A179" t="s">
        <v>282</v>
      </c>
      <c r="B179" t="s">
        <v>1033</v>
      </c>
      <c r="C179">
        <v>0.94079999999999997</v>
      </c>
      <c r="D179">
        <v>0.12</v>
      </c>
      <c r="E179">
        <v>9400000</v>
      </c>
      <c r="F179">
        <v>0</v>
      </c>
      <c r="G179">
        <v>10000000</v>
      </c>
      <c r="H179">
        <f>IFERROR(Sheet1[[#This Row],[Volume (24h)]]/Sheet1[[#This Row],[Circulating Supply]],0)</f>
        <v>4.5455547931778082E-4</v>
      </c>
      <c r="I179">
        <f>RANK(Table2[[#This Row],[Market Cap]],Table2[Market Cap],0)</f>
        <v>137</v>
      </c>
      <c r="J179" t="str">
        <f t="shared" si="2"/>
        <v>0.5-1</v>
      </c>
    </row>
    <row r="180" spans="1:10">
      <c r="A180" t="s">
        <v>131</v>
      </c>
      <c r="B180" t="s">
        <v>1034</v>
      </c>
      <c r="C180">
        <v>1.047E-3</v>
      </c>
      <c r="D180">
        <v>0.69</v>
      </c>
      <c r="E180">
        <v>1040000</v>
      </c>
      <c r="F180">
        <v>773890</v>
      </c>
      <c r="G180">
        <v>999910000</v>
      </c>
      <c r="H180">
        <f>IFERROR(Sheet1[[#This Row],[Volume (24h)]]/Sheet1[[#This Row],[Circulating Supply]],0)</f>
        <v>8.0892853571214271E-4</v>
      </c>
      <c r="I180">
        <f>RANK(Table2[[#This Row],[Market Cap]],Table2[Market Cap],0)</f>
        <v>278</v>
      </c>
      <c r="J180" t="str">
        <f t="shared" si="2"/>
        <v>0-0.5</v>
      </c>
    </row>
    <row r="181" spans="1:10">
      <c r="A181" t="s">
        <v>168</v>
      </c>
      <c r="B181" t="s">
        <v>1035</v>
      </c>
      <c r="C181">
        <v>1.06</v>
      </c>
      <c r="D181">
        <v>0.06</v>
      </c>
      <c r="E181">
        <v>9170000</v>
      </c>
      <c r="F181">
        <v>223200</v>
      </c>
      <c r="G181">
        <v>8610000</v>
      </c>
      <c r="H181">
        <f>IFERROR(Sheet1[[#This Row],[Volume (24h)]]/Sheet1[[#This Row],[Circulating Supply]],0)</f>
        <v>1.2989999999999999E-5</v>
      </c>
      <c r="I181">
        <f>RANK(Table2[[#This Row],[Market Cap]],Table2[Market Cap],0)</f>
        <v>146</v>
      </c>
      <c r="J181" t="str">
        <f t="shared" si="2"/>
        <v>1-2</v>
      </c>
    </row>
    <row r="182" spans="1:10">
      <c r="A182" t="s">
        <v>136</v>
      </c>
      <c r="B182" t="s">
        <v>1036</v>
      </c>
      <c r="C182">
        <v>1.268E-2</v>
      </c>
      <c r="D182">
        <v>0.28000000000000003</v>
      </c>
      <c r="E182">
        <v>28590000</v>
      </c>
      <c r="F182">
        <v>667300</v>
      </c>
      <c r="G182">
        <v>2250000000</v>
      </c>
      <c r="H182">
        <f>IFERROR(Sheet1[[#This Row],[Volume (24h)]]/Sheet1[[#This Row],[Circulating Supply]],0)</f>
        <v>1.8806534219982654E-4</v>
      </c>
      <c r="I182">
        <f>RANK(Table2[[#This Row],[Market Cap]],Table2[Market Cap],0)</f>
        <v>75</v>
      </c>
      <c r="J182" t="str">
        <f t="shared" si="2"/>
        <v>0-0.5</v>
      </c>
    </row>
    <row r="183" spans="1:10">
      <c r="A183" t="s">
        <v>234</v>
      </c>
      <c r="B183" t="s">
        <v>738</v>
      </c>
      <c r="C183">
        <v>1.3220000000000001E-2</v>
      </c>
      <c r="D183">
        <v>0.04</v>
      </c>
      <c r="E183">
        <v>2580000</v>
      </c>
      <c r="F183">
        <v>1130</v>
      </c>
      <c r="G183">
        <v>195420000</v>
      </c>
      <c r="H183">
        <f>IFERROR(Sheet1[[#This Row],[Volume (24h)]]/Sheet1[[#This Row],[Circulating Supply]],0)</f>
        <v>4.7739288250611532E-6</v>
      </c>
      <c r="I183">
        <f>RANK(Table2[[#This Row],[Market Cap]],Table2[Market Cap],0)</f>
        <v>217</v>
      </c>
      <c r="J183" t="str">
        <f t="shared" si="2"/>
        <v>0-0.5</v>
      </c>
    </row>
    <row r="184" spans="1:10">
      <c r="A184" t="s">
        <v>283</v>
      </c>
      <c r="B184" t="s">
        <v>1037</v>
      </c>
      <c r="C184">
        <v>2.2469999999999999E-3</v>
      </c>
      <c r="D184">
        <v>0.47</v>
      </c>
      <c r="E184">
        <v>2030000</v>
      </c>
      <c r="F184">
        <v>185590</v>
      </c>
      <c r="G184">
        <v>904010000</v>
      </c>
      <c r="H184">
        <f>IFERROR(Sheet1[[#This Row],[Volume (24h)]]/Sheet1[[#This Row],[Circulating Supply]],0)</f>
        <v>0.15149625935162095</v>
      </c>
      <c r="I184">
        <f>RANK(Table2[[#This Row],[Market Cap]],Table2[Market Cap],0)</f>
        <v>229</v>
      </c>
      <c r="J184" t="str">
        <f t="shared" si="2"/>
        <v>0-0.5</v>
      </c>
    </row>
    <row r="185" spans="1:10">
      <c r="A185" t="s">
        <v>183</v>
      </c>
      <c r="B185" t="s">
        <v>1038</v>
      </c>
      <c r="C185">
        <v>2.075E-3</v>
      </c>
      <c r="D185">
        <v>0.95</v>
      </c>
      <c r="E185">
        <v>1040000</v>
      </c>
      <c r="F185">
        <v>118180</v>
      </c>
      <c r="G185">
        <v>504080000</v>
      </c>
      <c r="H185">
        <f>IFERROR(Sheet1[[#This Row],[Volume (24h)]]/Sheet1[[#This Row],[Circulating Supply]],0)</f>
        <v>1.4632075471698112E-6</v>
      </c>
      <c r="I185">
        <f>RANK(Table2[[#This Row],[Market Cap]],Table2[Market Cap],0)</f>
        <v>278</v>
      </c>
      <c r="J185" t="str">
        <f t="shared" si="2"/>
        <v>0-0.5</v>
      </c>
    </row>
    <row r="186" spans="1:10">
      <c r="A186" t="s">
        <v>78</v>
      </c>
      <c r="B186" t="s">
        <v>1039</v>
      </c>
      <c r="C186">
        <v>200.13</v>
      </c>
      <c r="D186">
        <v>0.23</v>
      </c>
      <c r="E186">
        <v>38940000</v>
      </c>
      <c r="F186">
        <v>2810000</v>
      </c>
      <c r="G186">
        <v>194590</v>
      </c>
      <c r="H186">
        <f>IFERROR(Sheet1[[#This Row],[Volume (24h)]]/Sheet1[[#This Row],[Circulating Supply]],0)</f>
        <v>0.1108580106302202</v>
      </c>
      <c r="I186">
        <f>RANK(Table2[[#This Row],[Market Cap]],Table2[Market Cap],0)</f>
        <v>60</v>
      </c>
      <c r="J186" t="str">
        <f t="shared" si="2"/>
        <v>100-10000</v>
      </c>
    </row>
    <row r="187" spans="1:10">
      <c r="A187" t="s">
        <v>148</v>
      </c>
      <c r="B187" t="s">
        <v>710</v>
      </c>
      <c r="C187">
        <v>8.9829999999999999E-4</v>
      </c>
      <c r="D187">
        <v>3.85</v>
      </c>
      <c r="E187">
        <v>3360000</v>
      </c>
      <c r="F187">
        <v>441790</v>
      </c>
      <c r="G187">
        <v>3740000000</v>
      </c>
      <c r="H187">
        <f>IFERROR(Sheet1[[#This Row],[Volume (24h)]]/Sheet1[[#This Row],[Circulating Supply]],0)</f>
        <v>9.8944099378881992E-6</v>
      </c>
      <c r="I187">
        <f>RANK(Table2[[#This Row],[Market Cap]],Table2[Market Cap],0)</f>
        <v>196</v>
      </c>
      <c r="J187" t="str">
        <f t="shared" si="2"/>
        <v>0-0.5</v>
      </c>
    </row>
    <row r="188" spans="1:10">
      <c r="A188" t="s">
        <v>87</v>
      </c>
      <c r="B188" t="s">
        <v>1040</v>
      </c>
      <c r="C188">
        <v>2.5</v>
      </c>
      <c r="D188">
        <v>0.25</v>
      </c>
      <c r="E188">
        <v>11930000</v>
      </c>
      <c r="F188">
        <v>2320000</v>
      </c>
      <c r="G188">
        <v>4750000</v>
      </c>
      <c r="H188">
        <f>IFERROR(Sheet1[[#This Row],[Volume (24h)]]/Sheet1[[#This Row],[Circulating Supply]],0)</f>
        <v>0.12132089016511127</v>
      </c>
      <c r="I188">
        <f>RANK(Table2[[#This Row],[Market Cap]],Table2[Market Cap],0)</f>
        <v>129</v>
      </c>
      <c r="J188" t="str">
        <f t="shared" si="2"/>
        <v>2-10</v>
      </c>
    </row>
    <row r="189" spans="1:10">
      <c r="A189" t="s">
        <v>140</v>
      </c>
      <c r="B189" t="s">
        <v>375</v>
      </c>
      <c r="C189">
        <v>1.1399999999999999</v>
      </c>
      <c r="D189">
        <v>0</v>
      </c>
      <c r="E189">
        <v>2150000000</v>
      </c>
      <c r="F189">
        <v>540150</v>
      </c>
      <c r="G189">
        <v>1880000000</v>
      </c>
      <c r="H189">
        <f>IFERROR(Sheet1[[#This Row],[Volume (24h)]]/Sheet1[[#This Row],[Circulating Supply]],0)</f>
        <v>8.6912629442680955E-4</v>
      </c>
      <c r="I189">
        <f>RANK(Table2[[#This Row],[Market Cap]],Table2[Market Cap],0)</f>
        <v>17</v>
      </c>
      <c r="J189" t="str">
        <f t="shared" si="2"/>
        <v>1-2</v>
      </c>
    </row>
    <row r="190" spans="1:10">
      <c r="A190" t="s">
        <v>151</v>
      </c>
      <c r="B190" t="s">
        <v>1041</v>
      </c>
      <c r="C190">
        <v>4.1950000000000001E-2</v>
      </c>
      <c r="D190">
        <v>0.09</v>
      </c>
      <c r="E190">
        <v>20010000</v>
      </c>
      <c r="F190">
        <v>430340</v>
      </c>
      <c r="G190">
        <v>477120000</v>
      </c>
      <c r="H190">
        <f>IFERROR(Sheet1[[#This Row],[Volume (24h)]]/Sheet1[[#This Row],[Circulating Supply]],0)</f>
        <v>4.2578507008584156E-12</v>
      </c>
      <c r="I190">
        <f>RANK(Table2[[#This Row],[Market Cap]],Table2[Market Cap],0)</f>
        <v>104</v>
      </c>
      <c r="J190" t="str">
        <f t="shared" si="2"/>
        <v>0-0.5</v>
      </c>
    </row>
    <row r="191" spans="1:10">
      <c r="A191" t="s">
        <v>179</v>
      </c>
      <c r="B191" t="s">
        <v>1042</v>
      </c>
      <c r="C191">
        <v>697.68</v>
      </c>
      <c r="D191">
        <v>0.08</v>
      </c>
      <c r="E191">
        <v>20290000</v>
      </c>
      <c r="F191">
        <v>152840</v>
      </c>
      <c r="G191">
        <v>29080</v>
      </c>
      <c r="H191">
        <f>IFERROR(Sheet1[[#This Row],[Volume (24h)]]/Sheet1[[#This Row],[Circulating Supply]],0)</f>
        <v>7.2912815203726982E-3</v>
      </c>
      <c r="I191">
        <f>RANK(Table2[[#This Row],[Market Cap]],Table2[Market Cap],0)</f>
        <v>98</v>
      </c>
      <c r="J191" t="str">
        <f t="shared" si="2"/>
        <v>100-10000</v>
      </c>
    </row>
    <row r="192" spans="1:10">
      <c r="A192" t="s">
        <v>208</v>
      </c>
      <c r="B192" t="s">
        <v>1043</v>
      </c>
      <c r="C192">
        <v>4.4310000000000002E-2</v>
      </c>
      <c r="D192">
        <v>0.13</v>
      </c>
      <c r="E192">
        <v>870390</v>
      </c>
      <c r="F192">
        <v>23600</v>
      </c>
      <c r="G192">
        <v>19630000</v>
      </c>
      <c r="H192">
        <f>IFERROR(Sheet1[[#This Row],[Volume (24h)]]/Sheet1[[#This Row],[Circulating Supply]],0)</f>
        <v>2.5213032581453635E-3</v>
      </c>
      <c r="I192">
        <f>RANK(Table2[[#This Row],[Market Cap]],Table2[Market Cap],0)</f>
        <v>295</v>
      </c>
      <c r="J192" t="str">
        <f t="shared" si="2"/>
        <v>0-0.5</v>
      </c>
    </row>
    <row r="193" spans="1:10">
      <c r="A193" t="s">
        <v>39</v>
      </c>
      <c r="B193" t="s">
        <v>1044</v>
      </c>
      <c r="C193">
        <v>0.1736</v>
      </c>
      <c r="D193">
        <v>0.01</v>
      </c>
      <c r="E193">
        <v>53740000</v>
      </c>
      <c r="F193">
        <v>7520000</v>
      </c>
      <c r="G193">
        <v>309580000</v>
      </c>
      <c r="H193">
        <f>IFERROR(Sheet1[[#This Row],[Volume (24h)]]/Sheet1[[#This Row],[Circulating Supply]],0)</f>
        <v>3.1612505141916905E-4</v>
      </c>
      <c r="I193">
        <f>RANK(Table2[[#This Row],[Market Cap]],Table2[Market Cap],0)</f>
        <v>57</v>
      </c>
      <c r="J193" t="str">
        <f t="shared" si="2"/>
        <v>0-0.5</v>
      </c>
    </row>
    <row r="194" spans="1:10">
      <c r="A194" t="s">
        <v>69</v>
      </c>
      <c r="B194" t="s">
        <v>887</v>
      </c>
      <c r="C194">
        <v>1.1860000000000001E-2</v>
      </c>
      <c r="D194">
        <v>3.06</v>
      </c>
      <c r="E194">
        <v>11820000</v>
      </c>
      <c r="F194">
        <v>3350000</v>
      </c>
      <c r="G194">
        <v>997210000</v>
      </c>
      <c r="H194">
        <f>IFERROR(Sheet1[[#This Row],[Volume (24h)]]/Sheet1[[#This Row],[Circulating Supply]],0)</f>
        <v>1.787E-3</v>
      </c>
      <c r="I194">
        <f>RANK(Table2[[#This Row],[Market Cap]],Table2[Market Cap],0)</f>
        <v>131</v>
      </c>
      <c r="J194" t="str">
        <f t="shared" ref="J194:J257" si="3">IF(C194&lt;=0.5,"0-0.5",IF(C194&lt;=1,"0.5-1",IF(C194&lt;=2,"1-2",IF(C194&lt;=10,"2-10",IF(C194&lt;=100,"10-100",IF(C194&lt;=10000,"100-10000","10000+"))))))</f>
        <v>0-0.5</v>
      </c>
    </row>
    <row r="195" spans="1:10">
      <c r="A195" t="s">
        <v>26</v>
      </c>
      <c r="B195" t="s">
        <v>1045</v>
      </c>
      <c r="C195">
        <v>0.26400000000000001</v>
      </c>
      <c r="D195">
        <v>1.98</v>
      </c>
      <c r="E195">
        <v>38100000</v>
      </c>
      <c r="F195">
        <v>16650000</v>
      </c>
      <c r="G195">
        <v>144270000</v>
      </c>
      <c r="H195">
        <f>IFERROR(Sheet1[[#This Row],[Volume (24h)]]/Sheet1[[#This Row],[Circulating Supply]],0)</f>
        <v>120.52859421280473</v>
      </c>
      <c r="I195">
        <f>RANK(Table2[[#This Row],[Market Cap]],Table2[Market Cap],0)</f>
        <v>71</v>
      </c>
      <c r="J195" t="str">
        <f t="shared" si="3"/>
        <v>0-0.5</v>
      </c>
    </row>
    <row r="196" spans="1:10">
      <c r="A196" t="s">
        <v>138</v>
      </c>
      <c r="B196" t="s">
        <v>1046</v>
      </c>
      <c r="C196">
        <v>3.5349999999999999E-2</v>
      </c>
      <c r="D196">
        <v>0.06</v>
      </c>
      <c r="E196">
        <v>37760000</v>
      </c>
      <c r="F196">
        <v>581340</v>
      </c>
      <c r="G196">
        <v>1060000000</v>
      </c>
      <c r="H196">
        <f>IFERROR(Sheet1[[#This Row],[Volume (24h)]]/Sheet1[[#This Row],[Circulating Supply]],0)</f>
        <v>3.2603298946323162E-2</v>
      </c>
      <c r="I196">
        <f>RANK(Table2[[#This Row],[Market Cap]],Table2[Market Cap],0)</f>
        <v>74</v>
      </c>
      <c r="J196" t="str">
        <f t="shared" si="3"/>
        <v>0-0.5</v>
      </c>
    </row>
    <row r="197" spans="1:10">
      <c r="A197" t="s">
        <v>41</v>
      </c>
      <c r="B197" t="s">
        <v>1047</v>
      </c>
      <c r="C197">
        <v>3.8929999999999999E-2</v>
      </c>
      <c r="D197">
        <v>0.24</v>
      </c>
      <c r="E197">
        <v>38920000</v>
      </c>
      <c r="F197">
        <v>7410000</v>
      </c>
      <c r="G197">
        <v>999840000</v>
      </c>
      <c r="H197">
        <f>IFERROR(Sheet1[[#This Row],[Volume (24h)]]/Sheet1[[#This Row],[Circulating Supply]],0)</f>
        <v>8.1680395387149911E-6</v>
      </c>
      <c r="I197">
        <f>RANK(Table2[[#This Row],[Market Cap]],Table2[Market Cap],0)</f>
        <v>61</v>
      </c>
      <c r="J197" t="str">
        <f t="shared" si="3"/>
        <v>0-0.5</v>
      </c>
    </row>
    <row r="198" spans="1:10">
      <c r="A198" t="s">
        <v>205</v>
      </c>
      <c r="B198" t="s">
        <v>717</v>
      </c>
      <c r="C198">
        <v>8.6289000000000005E-2</v>
      </c>
      <c r="D198">
        <v>0.98</v>
      </c>
      <c r="E198">
        <v>2640000</v>
      </c>
      <c r="F198">
        <v>30710</v>
      </c>
      <c r="G198">
        <v>420680000000000</v>
      </c>
      <c r="H198">
        <f>IFERROR(Sheet1[[#This Row],[Volume (24h)]]/Sheet1[[#This Row],[Circulating Supply]],0)</f>
        <v>1.4646336298178738E-2</v>
      </c>
      <c r="I198">
        <f>RANK(Table2[[#This Row],[Market Cap]],Table2[Market Cap],0)</f>
        <v>211</v>
      </c>
      <c r="J198" t="str">
        <f t="shared" si="3"/>
        <v>0-0.5</v>
      </c>
    </row>
    <row r="199" spans="1:10">
      <c r="A199" t="s">
        <v>23</v>
      </c>
      <c r="B199" t="s">
        <v>348</v>
      </c>
      <c r="C199">
        <v>1.44</v>
      </c>
      <c r="D199">
        <v>0.39</v>
      </c>
      <c r="E199">
        <v>247330000</v>
      </c>
      <c r="F199">
        <v>24390000</v>
      </c>
      <c r="G199">
        <v>171750000</v>
      </c>
      <c r="H199">
        <f>IFERROR(Sheet1[[#This Row],[Volume (24h)]]/Sheet1[[#This Row],[Circulating Supply]],0)</f>
        <v>1.0335023595275083E-4</v>
      </c>
      <c r="I199">
        <f>RANK(Table2[[#This Row],[Market Cap]],Table2[Market Cap],0)</f>
        <v>37</v>
      </c>
      <c r="J199" t="str">
        <f t="shared" si="3"/>
        <v>1-2</v>
      </c>
    </row>
    <row r="200" spans="1:10">
      <c r="A200" t="s">
        <v>213</v>
      </c>
      <c r="B200" t="s">
        <v>533</v>
      </c>
      <c r="C200">
        <v>6.8819999999999995E-5</v>
      </c>
      <c r="D200">
        <v>1.07</v>
      </c>
      <c r="E200">
        <v>7080000</v>
      </c>
      <c r="F200">
        <v>18490</v>
      </c>
      <c r="G200">
        <v>102920000000</v>
      </c>
      <c r="H200">
        <f>IFERROR(Sheet1[[#This Row],[Volume (24h)]]/Sheet1[[#This Row],[Circulating Supply]],0)</f>
        <v>2.0571000000000001E-4</v>
      </c>
      <c r="I200">
        <f>RANK(Table2[[#This Row],[Market Cap]],Table2[Market Cap],0)</f>
        <v>162</v>
      </c>
      <c r="J200" t="str">
        <f t="shared" si="3"/>
        <v>0-0.5</v>
      </c>
    </row>
    <row r="201" spans="1:10">
      <c r="A201" t="s">
        <v>199</v>
      </c>
      <c r="B201" t="s">
        <v>1048</v>
      </c>
      <c r="C201">
        <v>1.9359999999999999E-2</v>
      </c>
      <c r="D201">
        <v>0.55000000000000004</v>
      </c>
      <c r="E201">
        <v>1270000</v>
      </c>
      <c r="F201">
        <v>49670</v>
      </c>
      <c r="G201">
        <v>66000000</v>
      </c>
      <c r="H201">
        <f>IFERROR(Sheet1[[#This Row],[Volume (24h)]]/Sheet1[[#This Row],[Circulating Supply]],0)</f>
        <v>1.8875409836065575E-5</v>
      </c>
      <c r="I201">
        <f>RANK(Table2[[#This Row],[Market Cap]],Table2[Market Cap],0)</f>
        <v>262</v>
      </c>
      <c r="J201" t="str">
        <f t="shared" si="3"/>
        <v>0-0.5</v>
      </c>
    </row>
    <row r="202" spans="1:10">
      <c r="A202" t="s">
        <v>54</v>
      </c>
      <c r="B202" t="s">
        <v>1049</v>
      </c>
      <c r="C202">
        <v>0.42949999999999999</v>
      </c>
      <c r="D202">
        <v>0.59</v>
      </c>
      <c r="E202">
        <v>58250000</v>
      </c>
      <c r="F202">
        <v>5170000</v>
      </c>
      <c r="G202">
        <v>135600000</v>
      </c>
      <c r="H202">
        <f>IFERROR(Sheet1[[#This Row],[Volume (24h)]]/Sheet1[[#This Row],[Circulating Supply]],0)</f>
        <v>51.846962616822431</v>
      </c>
      <c r="I202">
        <f>RANK(Table2[[#This Row],[Market Cap]],Table2[Market Cap],0)</f>
        <v>46</v>
      </c>
      <c r="J202" t="str">
        <f t="shared" si="3"/>
        <v>0-0.5</v>
      </c>
    </row>
    <row r="203" spans="1:10">
      <c r="A203" t="s">
        <v>107</v>
      </c>
      <c r="B203" t="s">
        <v>692</v>
      </c>
      <c r="C203">
        <v>6.0490000000000001E-4</v>
      </c>
      <c r="D203">
        <v>0.4</v>
      </c>
      <c r="E203">
        <v>4200000</v>
      </c>
      <c r="F203">
        <v>1600000</v>
      </c>
      <c r="G203">
        <v>6950000000</v>
      </c>
      <c r="H203">
        <f>IFERROR(Sheet1[[#This Row],[Volume (24h)]]/Sheet1[[#This Row],[Circulating Supply]],0)</f>
        <v>8.8520055325034579E-5</v>
      </c>
      <c r="I203">
        <f>RANK(Table2[[#This Row],[Market Cap]],Table2[Market Cap],0)</f>
        <v>194</v>
      </c>
      <c r="J203" t="str">
        <f t="shared" si="3"/>
        <v>0-0.5</v>
      </c>
    </row>
    <row r="204" spans="1:10">
      <c r="A204" t="s">
        <v>211</v>
      </c>
      <c r="B204" t="s">
        <v>211</v>
      </c>
      <c r="C204">
        <v>8.2533999999999996E-2</v>
      </c>
      <c r="D204">
        <v>0.48</v>
      </c>
      <c r="E204">
        <v>1060000</v>
      </c>
      <c r="F204">
        <v>23390</v>
      </c>
      <c r="G204">
        <v>420690000000000</v>
      </c>
      <c r="H204">
        <f>IFERROR(Sheet1[[#This Row],[Volume (24h)]]/Sheet1[[#This Row],[Circulating Supply]],0)</f>
        <v>4.7269E-4</v>
      </c>
      <c r="I204">
        <f>RANK(Table2[[#This Row],[Market Cap]],Table2[Market Cap],0)</f>
        <v>271</v>
      </c>
      <c r="J204" t="str">
        <f t="shared" si="3"/>
        <v>0-0.5</v>
      </c>
    </row>
    <row r="205" spans="1:10">
      <c r="A205" t="s">
        <v>158</v>
      </c>
      <c r="B205" t="s">
        <v>1050</v>
      </c>
      <c r="C205">
        <v>8.0360000000000001E-2</v>
      </c>
      <c r="D205">
        <v>0</v>
      </c>
      <c r="E205">
        <v>1050000</v>
      </c>
      <c r="F205">
        <v>267140</v>
      </c>
      <c r="G205">
        <v>13180000</v>
      </c>
      <c r="H205">
        <f>IFERROR(Sheet1[[#This Row],[Volume (24h)]]/Sheet1[[#This Row],[Circulating Supply]],0)</f>
        <v>3.2265766226678943E-4</v>
      </c>
      <c r="I205">
        <f>RANK(Table2[[#This Row],[Market Cap]],Table2[Market Cap],0)</f>
        <v>273</v>
      </c>
      <c r="J205" t="str">
        <f t="shared" si="3"/>
        <v>0-0.5</v>
      </c>
    </row>
    <row r="206" spans="1:10">
      <c r="A206" t="s">
        <v>284</v>
      </c>
      <c r="B206" t="s">
        <v>765</v>
      </c>
      <c r="C206">
        <v>64.08</v>
      </c>
      <c r="D206">
        <v>0.61</v>
      </c>
      <c r="E206">
        <v>2030000</v>
      </c>
      <c r="F206">
        <v>1760000</v>
      </c>
      <c r="G206">
        <v>31780</v>
      </c>
      <c r="H206">
        <f>IFERROR(Sheet1[[#This Row],[Volume (24h)]]/Sheet1[[#This Row],[Circulating Supply]],0)</f>
        <v>1.8077474892395982E-4</v>
      </c>
      <c r="I206">
        <f>RANK(Table2[[#This Row],[Market Cap]],Table2[Market Cap],0)</f>
        <v>229</v>
      </c>
      <c r="J206" t="str">
        <f t="shared" si="3"/>
        <v>10-100</v>
      </c>
    </row>
    <row r="207" spans="1:10">
      <c r="A207" t="s">
        <v>170</v>
      </c>
      <c r="B207" t="s">
        <v>1051</v>
      </c>
      <c r="C207">
        <v>5.7838000000000001E-2</v>
      </c>
      <c r="D207">
        <v>0.21</v>
      </c>
      <c r="E207">
        <v>3270000</v>
      </c>
      <c r="F207">
        <v>218630</v>
      </c>
      <c r="G207">
        <v>417210000000</v>
      </c>
      <c r="H207">
        <f>IFERROR(Sheet1[[#This Row],[Volume (24h)]]/Sheet1[[#This Row],[Circulating Supply]],0)</f>
        <v>1.8341834183418341E-3</v>
      </c>
      <c r="I207">
        <f>RANK(Table2[[#This Row],[Market Cap]],Table2[Market Cap],0)</f>
        <v>210</v>
      </c>
      <c r="J207" t="str">
        <f t="shared" si="3"/>
        <v>0-0.5</v>
      </c>
    </row>
    <row r="208" spans="1:10">
      <c r="A208" t="s">
        <v>163</v>
      </c>
      <c r="B208" t="s">
        <v>586</v>
      </c>
      <c r="C208">
        <v>1.2070000000000001E-2</v>
      </c>
      <c r="D208">
        <v>0.05</v>
      </c>
      <c r="E208">
        <v>12050000</v>
      </c>
      <c r="F208">
        <v>247740</v>
      </c>
      <c r="G208">
        <v>998150000</v>
      </c>
      <c r="H208">
        <f>IFERROR(Sheet1[[#This Row],[Volume (24h)]]/Sheet1[[#This Row],[Circulating Supply]],0)</f>
        <v>9.3785926060386043E-6</v>
      </c>
      <c r="I208">
        <f>RANK(Table2[[#This Row],[Market Cap]],Table2[Market Cap],0)</f>
        <v>123</v>
      </c>
      <c r="J208" t="str">
        <f t="shared" si="3"/>
        <v>0-0.5</v>
      </c>
    </row>
    <row r="209" spans="1:10">
      <c r="A209" t="s">
        <v>105</v>
      </c>
      <c r="B209" t="s">
        <v>1052</v>
      </c>
      <c r="C209">
        <v>147.44</v>
      </c>
      <c r="D209">
        <v>0.16</v>
      </c>
      <c r="E209">
        <v>2020000</v>
      </c>
      <c r="F209">
        <v>1640000</v>
      </c>
      <c r="G209">
        <v>13710</v>
      </c>
      <c r="H209">
        <f>IFERROR(Sheet1[[#This Row],[Volume (24h)]]/Sheet1[[#This Row],[Circulating Supply]],0)</f>
        <v>6.5833669219400779E-5</v>
      </c>
      <c r="I209">
        <f>RANK(Table2[[#This Row],[Market Cap]],Table2[Market Cap],0)</f>
        <v>232</v>
      </c>
      <c r="J209" t="str">
        <f t="shared" si="3"/>
        <v>100-10000</v>
      </c>
    </row>
    <row r="210" spans="1:10">
      <c r="A210" t="s">
        <v>159</v>
      </c>
      <c r="B210" t="s">
        <v>159</v>
      </c>
      <c r="C210">
        <v>1.3859999999999999E-5</v>
      </c>
      <c r="D210">
        <v>0.91</v>
      </c>
      <c r="E210">
        <v>5700000</v>
      </c>
      <c r="F210">
        <v>260720</v>
      </c>
      <c r="G210">
        <v>411670000000</v>
      </c>
      <c r="H210">
        <f>IFERROR(Sheet1[[#This Row],[Volume (24h)]]/Sheet1[[#This Row],[Circulating Supply]],0)</f>
        <v>0</v>
      </c>
      <c r="I210">
        <f>RANK(Table2[[#This Row],[Market Cap]],Table2[Market Cap],0)</f>
        <v>169</v>
      </c>
      <c r="J210" t="str">
        <f t="shared" si="3"/>
        <v>0-0.5</v>
      </c>
    </row>
    <row r="211" spans="1:10">
      <c r="A211" t="s">
        <v>285</v>
      </c>
      <c r="B211" t="s">
        <v>1053</v>
      </c>
      <c r="C211">
        <v>6.5989999999999997E-5</v>
      </c>
      <c r="D211">
        <v>1.42</v>
      </c>
      <c r="E211">
        <v>1040000</v>
      </c>
      <c r="F211">
        <v>52780</v>
      </c>
      <c r="G211">
        <v>15900000000</v>
      </c>
      <c r="H211">
        <f>IFERROR(Sheet1[[#This Row],[Volume (24h)]]/Sheet1[[#This Row],[Circulating Supply]],0)</f>
        <v>1.4730639730639731E-3</v>
      </c>
      <c r="I211">
        <f>RANK(Table2[[#This Row],[Market Cap]],Table2[Market Cap],0)</f>
        <v>278</v>
      </c>
      <c r="J211" t="str">
        <f t="shared" si="3"/>
        <v>0-0.5</v>
      </c>
    </row>
    <row r="212" spans="1:10">
      <c r="A212" t="s">
        <v>286</v>
      </c>
      <c r="B212" t="s">
        <v>1054</v>
      </c>
      <c r="C212">
        <v>0.20369999999999999</v>
      </c>
      <c r="D212">
        <v>0.26</v>
      </c>
      <c r="E212">
        <v>12030000</v>
      </c>
      <c r="F212">
        <v>3220000</v>
      </c>
      <c r="G212">
        <v>59070000</v>
      </c>
      <c r="H212">
        <f>IFERROR(Sheet1[[#This Row],[Volume (24h)]]/Sheet1[[#This Row],[Circulating Supply]],0)</f>
        <v>7.3962271821766882E-4</v>
      </c>
      <c r="I212">
        <f>RANK(Table2[[#This Row],[Market Cap]],Table2[Market Cap],0)</f>
        <v>124</v>
      </c>
      <c r="J212" t="str">
        <f t="shared" si="3"/>
        <v>0-0.5</v>
      </c>
    </row>
    <row r="213" spans="1:10">
      <c r="A213" t="s">
        <v>20</v>
      </c>
      <c r="B213" t="s">
        <v>372</v>
      </c>
      <c r="C213">
        <v>1.2749999999999999E-2</v>
      </c>
      <c r="D213">
        <v>0.02</v>
      </c>
      <c r="E213">
        <v>8850000000</v>
      </c>
      <c r="F213">
        <v>27530000</v>
      </c>
      <c r="G213">
        <v>694570000000</v>
      </c>
      <c r="H213">
        <f>IFERROR(Sheet1[[#This Row],[Volume (24h)]]/Sheet1[[#This Row],[Circulating Supply]],0)</f>
        <v>369.11764705882354</v>
      </c>
      <c r="I213">
        <f>RANK(Table2[[#This Row],[Market Cap]],Table2[Market Cap],0)</f>
        <v>12</v>
      </c>
      <c r="J213" t="str">
        <f t="shared" si="3"/>
        <v>0-0.5</v>
      </c>
    </row>
    <row r="214" spans="1:10">
      <c r="A214" t="s">
        <v>287</v>
      </c>
      <c r="B214" t="s">
        <v>1055</v>
      </c>
      <c r="C214">
        <v>8.0759999999999998E-2</v>
      </c>
      <c r="D214">
        <v>0.19</v>
      </c>
      <c r="E214">
        <v>1570000</v>
      </c>
      <c r="F214">
        <v>238760</v>
      </c>
      <c r="G214">
        <v>19480000</v>
      </c>
      <c r="H214">
        <f>IFERROR(Sheet1[[#This Row],[Volume (24h)]]/Sheet1[[#This Row],[Circulating Supply]],0)</f>
        <v>7.0599047539476983E-6</v>
      </c>
      <c r="I214">
        <f>RANK(Table2[[#This Row],[Market Cap]],Table2[Market Cap],0)</f>
        <v>252</v>
      </c>
      <c r="J214" t="str">
        <f t="shared" si="3"/>
        <v>0-0.5</v>
      </c>
    </row>
    <row r="215" spans="1:10">
      <c r="A215" t="s">
        <v>89</v>
      </c>
      <c r="B215" t="s">
        <v>1056</v>
      </c>
      <c r="C215">
        <v>3.5760000000000002E-3</v>
      </c>
      <c r="D215">
        <v>0.11</v>
      </c>
      <c r="E215">
        <v>58580000</v>
      </c>
      <c r="F215">
        <v>2210000</v>
      </c>
      <c r="G215">
        <v>16380000000</v>
      </c>
      <c r="H215">
        <f>IFERROR(Sheet1[[#This Row],[Volume (24h)]]/Sheet1[[#This Row],[Circulating Supply]],0)</f>
        <v>9.5632098765432101</v>
      </c>
      <c r="I215">
        <f>RANK(Table2[[#This Row],[Market Cap]],Table2[Market Cap],0)</f>
        <v>45</v>
      </c>
      <c r="J215" t="str">
        <f t="shared" si="3"/>
        <v>0-0.5</v>
      </c>
    </row>
    <row r="216" spans="1:10">
      <c r="A216" t="s">
        <v>288</v>
      </c>
      <c r="B216" t="s">
        <v>965</v>
      </c>
      <c r="C216">
        <v>1.9589999999999998E-3</v>
      </c>
      <c r="D216">
        <v>0.01</v>
      </c>
      <c r="E216">
        <v>1290000</v>
      </c>
      <c r="F216">
        <v>98630</v>
      </c>
      <c r="G216">
        <v>663490000</v>
      </c>
      <c r="H216">
        <f>IFERROR(Sheet1[[#This Row],[Volume (24h)]]/Sheet1[[#This Row],[Circulating Supply]],0)</f>
        <v>7.4954545454545451E-5</v>
      </c>
      <c r="I216">
        <f>RANK(Table2[[#This Row],[Market Cap]],Table2[Market Cap],0)</f>
        <v>257</v>
      </c>
      <c r="J216" t="str">
        <f t="shared" si="3"/>
        <v>0-0.5</v>
      </c>
    </row>
    <row r="217" spans="1:10">
      <c r="A217" t="s">
        <v>223</v>
      </c>
      <c r="B217" t="s">
        <v>1057</v>
      </c>
      <c r="C217">
        <v>3.323E-3</v>
      </c>
      <c r="D217">
        <v>0.11</v>
      </c>
      <c r="E217">
        <v>3290000</v>
      </c>
      <c r="F217">
        <v>8210</v>
      </c>
      <c r="G217">
        <v>992870000</v>
      </c>
      <c r="H217">
        <f>IFERROR(Sheet1[[#This Row],[Volume (24h)]]/Sheet1[[#This Row],[Circulating Supply]],0)</f>
        <v>0</v>
      </c>
      <c r="I217">
        <f>RANK(Table2[[#This Row],[Market Cap]],Table2[Market Cap],0)</f>
        <v>200</v>
      </c>
      <c r="J217" t="str">
        <f t="shared" si="3"/>
        <v>0-0.5</v>
      </c>
    </row>
    <row r="218" spans="1:10">
      <c r="A218" t="s">
        <v>289</v>
      </c>
      <c r="B218" t="s">
        <v>289</v>
      </c>
      <c r="C218">
        <v>3.5459999999999998E-2</v>
      </c>
      <c r="D218">
        <v>0.01</v>
      </c>
      <c r="E218">
        <v>1270000</v>
      </c>
      <c r="F218">
        <v>0</v>
      </c>
      <c r="G218">
        <v>35890000</v>
      </c>
      <c r="H218">
        <f>IFERROR(Sheet1[[#This Row],[Volume (24h)]]/Sheet1[[#This Row],[Circulating Supply]],0)</f>
        <v>7.2608617594254932E-5</v>
      </c>
      <c r="I218">
        <f>RANK(Table2[[#This Row],[Market Cap]],Table2[Market Cap],0)</f>
        <v>262</v>
      </c>
      <c r="J218" t="str">
        <f t="shared" si="3"/>
        <v>0-0.5</v>
      </c>
    </row>
    <row r="219" spans="1:10">
      <c r="A219" t="s">
        <v>290</v>
      </c>
      <c r="B219" t="s">
        <v>1058</v>
      </c>
      <c r="C219">
        <v>85.33</v>
      </c>
      <c r="D219">
        <v>0</v>
      </c>
      <c r="E219">
        <v>1580000</v>
      </c>
      <c r="F219">
        <v>0</v>
      </c>
      <c r="G219">
        <v>18530</v>
      </c>
      <c r="H219">
        <f>IFERROR(Sheet1[[#This Row],[Volume (24h)]]/Sheet1[[#This Row],[Circulating Supply]],0)</f>
        <v>3.0263157894736844E-4</v>
      </c>
      <c r="I219">
        <f>RANK(Table2[[#This Row],[Market Cap]],Table2[Market Cap],0)</f>
        <v>249</v>
      </c>
      <c r="J219" t="str">
        <f t="shared" si="3"/>
        <v>10-100</v>
      </c>
    </row>
    <row r="220" spans="1:10">
      <c r="A220" t="s">
        <v>291</v>
      </c>
      <c r="B220" t="s">
        <v>1059</v>
      </c>
      <c r="C220">
        <v>76.34</v>
      </c>
      <c r="D220">
        <v>0</v>
      </c>
      <c r="E220">
        <v>1570000</v>
      </c>
      <c r="F220">
        <v>0</v>
      </c>
      <c r="G220">
        <v>20640</v>
      </c>
      <c r="H220">
        <f>IFERROR(Sheet1[[#This Row],[Volume (24h)]]/Sheet1[[#This Row],[Circulating Supply]],0)</f>
        <v>1.049729010174004E-10</v>
      </c>
      <c r="I220">
        <f>RANK(Table2[[#This Row],[Market Cap]],Table2[Market Cap],0)</f>
        <v>252</v>
      </c>
      <c r="J220" t="str">
        <f t="shared" si="3"/>
        <v>10-100</v>
      </c>
    </row>
    <row r="221" spans="1:10">
      <c r="A221" t="s">
        <v>127</v>
      </c>
      <c r="B221" t="s">
        <v>127</v>
      </c>
      <c r="C221">
        <v>7.9100000000000004E-3</v>
      </c>
      <c r="D221">
        <v>4.3499999999999996</v>
      </c>
      <c r="E221">
        <v>15580000</v>
      </c>
      <c r="F221">
        <v>1000000</v>
      </c>
      <c r="G221">
        <v>1970000000</v>
      </c>
      <c r="H221">
        <f>IFERROR(Sheet1[[#This Row],[Volume (24h)]]/Sheet1[[#This Row],[Circulating Supply]],0)</f>
        <v>1.1980781681262139E-4</v>
      </c>
      <c r="I221">
        <f>RANK(Table2[[#This Row],[Market Cap]],Table2[Market Cap],0)</f>
        <v>114</v>
      </c>
      <c r="J221" t="str">
        <f t="shared" si="3"/>
        <v>0-0.5</v>
      </c>
    </row>
    <row r="222" spans="1:10">
      <c r="A222" t="s">
        <v>123</v>
      </c>
      <c r="B222" t="s">
        <v>1060</v>
      </c>
      <c r="C222">
        <v>64.62</v>
      </c>
      <c r="D222">
        <v>0.56000000000000005</v>
      </c>
      <c r="E222">
        <v>881280</v>
      </c>
      <c r="F222">
        <v>1080000</v>
      </c>
      <c r="G222">
        <v>13630</v>
      </c>
      <c r="H222">
        <f>IFERROR(Sheet1[[#This Row],[Volume (24h)]]/Sheet1[[#This Row],[Circulating Supply]],0)</f>
        <v>0.18444444444444444</v>
      </c>
      <c r="I222">
        <f>RANK(Table2[[#This Row],[Market Cap]],Table2[Market Cap],0)</f>
        <v>287</v>
      </c>
      <c r="J222" t="str">
        <f t="shared" si="3"/>
        <v>10-100</v>
      </c>
    </row>
    <row r="223" spans="1:10">
      <c r="A223" t="s">
        <v>149</v>
      </c>
      <c r="B223" t="s">
        <v>1061</v>
      </c>
      <c r="C223">
        <v>0.12959999999999999</v>
      </c>
      <c r="D223">
        <v>0.18</v>
      </c>
      <c r="E223">
        <v>20090000</v>
      </c>
      <c r="F223">
        <v>432160</v>
      </c>
      <c r="G223">
        <v>155000000</v>
      </c>
      <c r="H223">
        <f>IFERROR(Sheet1[[#This Row],[Volume (24h)]]/Sheet1[[#This Row],[Circulating Supply]],0)</f>
        <v>1.4596734289955468E-2</v>
      </c>
      <c r="I223">
        <f>RANK(Table2[[#This Row],[Market Cap]],Table2[Market Cap],0)</f>
        <v>102</v>
      </c>
      <c r="J223" t="str">
        <f t="shared" si="3"/>
        <v>0-0.5</v>
      </c>
    </row>
    <row r="224" spans="1:10">
      <c r="A224" t="s">
        <v>76</v>
      </c>
      <c r="B224" t="s">
        <v>1062</v>
      </c>
      <c r="C224">
        <v>5.0360000000000002E-2</v>
      </c>
      <c r="D224">
        <v>1.96</v>
      </c>
      <c r="E224">
        <v>38900000</v>
      </c>
      <c r="F224">
        <v>3020000</v>
      </c>
      <c r="G224">
        <v>772400000</v>
      </c>
      <c r="H224">
        <f>IFERROR(Sheet1[[#This Row],[Volume (24h)]]/Sheet1[[#This Row],[Circulating Supply]],0)</f>
        <v>1.0263034288398309E-5</v>
      </c>
      <c r="I224">
        <f>RANK(Table2[[#This Row],[Market Cap]],Table2[Market Cap],0)</f>
        <v>62</v>
      </c>
      <c r="J224" t="str">
        <f t="shared" si="3"/>
        <v>0-0.5</v>
      </c>
    </row>
    <row r="225" spans="1:10">
      <c r="A225" t="s">
        <v>110</v>
      </c>
      <c r="B225" t="s">
        <v>1063</v>
      </c>
      <c r="C225">
        <v>50.02</v>
      </c>
      <c r="D225">
        <v>1.17</v>
      </c>
      <c r="E225">
        <v>3300000</v>
      </c>
      <c r="F225">
        <v>1400000</v>
      </c>
      <c r="G225">
        <v>66140</v>
      </c>
      <c r="H225">
        <f>IFERROR(Sheet1[[#This Row],[Volume (24h)]]/Sheet1[[#This Row],[Circulating Supply]],0)</f>
        <v>2.1739130434782607E-6</v>
      </c>
      <c r="I225">
        <f>RANK(Table2[[#This Row],[Market Cap]],Table2[Market Cap],0)</f>
        <v>198</v>
      </c>
      <c r="J225" t="str">
        <f t="shared" si="3"/>
        <v>10-100</v>
      </c>
    </row>
    <row r="226" spans="1:10">
      <c r="A226" t="s">
        <v>109</v>
      </c>
      <c r="B226" t="s">
        <v>109</v>
      </c>
      <c r="C226">
        <v>4.5849999999999997E-3</v>
      </c>
      <c r="D226">
        <v>0.08</v>
      </c>
      <c r="E226">
        <v>4260000</v>
      </c>
      <c r="F226">
        <v>1410000</v>
      </c>
      <c r="G226">
        <v>929610000</v>
      </c>
      <c r="H226">
        <f>IFERROR(Sheet1[[#This Row],[Volume (24h)]]/Sheet1[[#This Row],[Circulating Supply]],0)</f>
        <v>1.1908000000000001E-4</v>
      </c>
      <c r="I226">
        <f>RANK(Table2[[#This Row],[Market Cap]],Table2[Market Cap],0)</f>
        <v>190</v>
      </c>
      <c r="J226" t="str">
        <f t="shared" si="3"/>
        <v>0-0.5</v>
      </c>
    </row>
    <row r="227" spans="1:10">
      <c r="A227" t="s">
        <v>292</v>
      </c>
      <c r="B227" t="s">
        <v>1064</v>
      </c>
      <c r="C227">
        <v>1211.4100000000001</v>
      </c>
      <c r="D227">
        <v>0.35</v>
      </c>
      <c r="E227">
        <v>20380000</v>
      </c>
      <c r="F227">
        <v>2040000</v>
      </c>
      <c r="G227">
        <v>16830</v>
      </c>
      <c r="H227">
        <f>IFERROR(Sheet1[[#This Row],[Volume (24h)]]/Sheet1[[#This Row],[Circulating Supply]],0)</f>
        <v>5.9197061138808939E-4</v>
      </c>
      <c r="I227">
        <f>RANK(Table2[[#This Row],[Market Cap]],Table2[Market Cap],0)</f>
        <v>97</v>
      </c>
      <c r="J227" t="str">
        <f t="shared" si="3"/>
        <v>100-10000</v>
      </c>
    </row>
    <row r="228" spans="1:10">
      <c r="A228" t="s">
        <v>64</v>
      </c>
      <c r="B228" t="s">
        <v>1065</v>
      </c>
      <c r="C228">
        <v>8.0439999999999998E-2</v>
      </c>
      <c r="D228">
        <v>0.38</v>
      </c>
      <c r="E228">
        <v>20110000</v>
      </c>
      <c r="F228">
        <v>4120000</v>
      </c>
      <c r="G228">
        <v>250000000</v>
      </c>
      <c r="H228">
        <f>IFERROR(Sheet1[[#This Row],[Volume (24h)]]/Sheet1[[#This Row],[Circulating Supply]],0)</f>
        <v>28.318584070796462</v>
      </c>
      <c r="I228">
        <f>RANK(Table2[[#This Row],[Market Cap]],Table2[Market Cap],0)</f>
        <v>101</v>
      </c>
      <c r="J228" t="str">
        <f t="shared" si="3"/>
        <v>0-0.5</v>
      </c>
    </row>
    <row r="229" spans="1:10">
      <c r="A229" t="s">
        <v>129</v>
      </c>
      <c r="B229" t="s">
        <v>1066</v>
      </c>
      <c r="C229">
        <v>2.8400000000000002E-4</v>
      </c>
      <c r="D229">
        <v>0.39</v>
      </c>
      <c r="E229">
        <v>1050000</v>
      </c>
      <c r="F229">
        <v>798580</v>
      </c>
      <c r="G229">
        <v>3720000000</v>
      </c>
      <c r="H229">
        <f>IFERROR(Sheet1[[#This Row],[Volume (24h)]]/Sheet1[[#This Row],[Circulating Supply]],0)</f>
        <v>4.4174038461538461E-4</v>
      </c>
      <c r="I229">
        <f>RANK(Table2[[#This Row],[Market Cap]],Table2[Market Cap],0)</f>
        <v>273</v>
      </c>
      <c r="J229" t="str">
        <f t="shared" si="3"/>
        <v>0-0.5</v>
      </c>
    </row>
    <row r="230" spans="1:10">
      <c r="A230" t="s">
        <v>214</v>
      </c>
      <c r="B230" t="s">
        <v>1067</v>
      </c>
      <c r="C230">
        <v>1.294E-2</v>
      </c>
      <c r="D230">
        <v>0.24</v>
      </c>
      <c r="E230">
        <v>11860000</v>
      </c>
      <c r="F230">
        <v>17920</v>
      </c>
      <c r="G230">
        <v>916780000</v>
      </c>
      <c r="H230">
        <f>IFERROR(Sheet1[[#This Row],[Volume (24h)]]/Sheet1[[#This Row],[Circulating Supply]],0)</f>
        <v>5.8131204584996421E-5</v>
      </c>
      <c r="I230">
        <f>RANK(Table2[[#This Row],[Market Cap]],Table2[Market Cap],0)</f>
        <v>130</v>
      </c>
      <c r="J230" t="str">
        <f t="shared" si="3"/>
        <v>0-0.5</v>
      </c>
    </row>
    <row r="231" spans="1:10">
      <c r="A231" t="s">
        <v>293</v>
      </c>
      <c r="B231" t="s">
        <v>1068</v>
      </c>
      <c r="C231">
        <v>0.1221</v>
      </c>
      <c r="D231">
        <v>0</v>
      </c>
      <c r="E231">
        <v>5570000</v>
      </c>
      <c r="F231">
        <v>0</v>
      </c>
      <c r="G231">
        <v>45660000</v>
      </c>
      <c r="H231">
        <f>IFERROR(Sheet1[[#This Row],[Volume (24h)]]/Sheet1[[#This Row],[Circulating Supply]],0)</f>
        <v>1.636483343593953E-3</v>
      </c>
      <c r="I231">
        <f>RANK(Table2[[#This Row],[Market Cap]],Table2[Market Cap],0)</f>
        <v>180</v>
      </c>
      <c r="J231" t="str">
        <f t="shared" si="3"/>
        <v>0-0.5</v>
      </c>
    </row>
    <row r="232" spans="1:10">
      <c r="A232" t="s">
        <v>230</v>
      </c>
      <c r="B232" t="s">
        <v>843</v>
      </c>
      <c r="C232">
        <v>1.8259999999999998E-2</v>
      </c>
      <c r="D232">
        <v>0.01</v>
      </c>
      <c r="E232">
        <v>878560</v>
      </c>
      <c r="F232">
        <v>3260</v>
      </c>
      <c r="G232">
        <v>48090000</v>
      </c>
      <c r="H232">
        <f>IFERROR(Sheet1[[#This Row],[Volume (24h)]]/Sheet1[[#This Row],[Circulating Supply]],0)</f>
        <v>4.1692023974181653</v>
      </c>
      <c r="I232">
        <f>RANK(Table2[[#This Row],[Market Cap]],Table2[Market Cap],0)</f>
        <v>290</v>
      </c>
      <c r="J232" t="str">
        <f t="shared" si="3"/>
        <v>0-0.5</v>
      </c>
    </row>
    <row r="233" spans="1:10">
      <c r="A233" t="s">
        <v>15</v>
      </c>
      <c r="B233" t="s">
        <v>1069</v>
      </c>
      <c r="C233">
        <v>113.71</v>
      </c>
      <c r="D233">
        <v>0.75</v>
      </c>
      <c r="E233">
        <v>27900000</v>
      </c>
      <c r="F233">
        <v>74140000</v>
      </c>
      <c r="G233">
        <v>245360</v>
      </c>
      <c r="H233">
        <f>IFERROR(Sheet1[[#This Row],[Volume (24h)]]/Sheet1[[#This Row],[Circulating Supply]],0)</f>
        <v>19.696066746126341</v>
      </c>
      <c r="I233">
        <f>RANK(Table2[[#This Row],[Market Cap]],Table2[Market Cap],0)</f>
        <v>86</v>
      </c>
      <c r="J233" t="str">
        <f t="shared" si="3"/>
        <v>100-10000</v>
      </c>
    </row>
    <row r="234" spans="1:10">
      <c r="A234" t="s">
        <v>173</v>
      </c>
      <c r="B234" t="s">
        <v>1070</v>
      </c>
      <c r="C234">
        <v>2.387E-4</v>
      </c>
      <c r="D234">
        <v>2.02</v>
      </c>
      <c r="E234">
        <v>863090</v>
      </c>
      <c r="F234">
        <v>182740</v>
      </c>
      <c r="G234">
        <v>3610000000</v>
      </c>
      <c r="H234">
        <f>IFERROR(Sheet1[[#This Row],[Volume (24h)]]/Sheet1[[#This Row],[Circulating Supply]],0)</f>
        <v>2.7999350739692992E-8</v>
      </c>
      <c r="I234">
        <f>RANK(Table2[[#This Row],[Market Cap]],Table2[Market Cap],0)</f>
        <v>299</v>
      </c>
      <c r="J234" t="str">
        <f t="shared" si="3"/>
        <v>0-0.5</v>
      </c>
    </row>
    <row r="235" spans="1:10">
      <c r="A235" t="s">
        <v>195</v>
      </c>
      <c r="B235" t="s">
        <v>1071</v>
      </c>
      <c r="C235">
        <v>7.4410000000000003E-4</v>
      </c>
      <c r="D235">
        <v>0.67</v>
      </c>
      <c r="E235">
        <v>1990000</v>
      </c>
      <c r="F235">
        <v>75080</v>
      </c>
      <c r="G235">
        <v>2680000000</v>
      </c>
      <c r="H235">
        <f>IFERROR(Sheet1[[#This Row],[Volume (24h)]]/Sheet1[[#This Row],[Circulating Supply]],0)</f>
        <v>3.3039215686274511E-3</v>
      </c>
      <c r="I235">
        <f>RANK(Table2[[#This Row],[Market Cap]],Table2[Market Cap],0)</f>
        <v>237</v>
      </c>
      <c r="J235" t="str">
        <f t="shared" si="3"/>
        <v>0-0.5</v>
      </c>
    </row>
    <row r="236" spans="1:10">
      <c r="A236" t="s">
        <v>239</v>
      </c>
      <c r="B236" t="s">
        <v>1072</v>
      </c>
      <c r="C236">
        <v>1.6102100000000001E-2</v>
      </c>
      <c r="D236">
        <v>0.01</v>
      </c>
      <c r="E236">
        <v>1270000</v>
      </c>
      <c r="F236">
        <v>385.44</v>
      </c>
      <c r="G236">
        <v>0</v>
      </c>
      <c r="H236">
        <f>IFERROR(Sheet1[[#This Row],[Volume (24h)]]/Sheet1[[#This Row],[Circulating Supply]],0)</f>
        <v>6.7272065366879707E-4</v>
      </c>
      <c r="I236">
        <f>RANK(Table2[[#This Row],[Market Cap]],Table2[Market Cap],0)</f>
        <v>262</v>
      </c>
      <c r="J236" t="str">
        <f t="shared" si="3"/>
        <v>0-0.5</v>
      </c>
    </row>
    <row r="237" spans="1:10">
      <c r="A237" t="s">
        <v>82</v>
      </c>
      <c r="B237" t="s">
        <v>799</v>
      </c>
      <c r="C237">
        <v>5.0370000000000005E-4</v>
      </c>
      <c r="D237">
        <v>0.18</v>
      </c>
      <c r="E237">
        <v>28220000</v>
      </c>
      <c r="F237">
        <v>2490000</v>
      </c>
      <c r="G237">
        <v>56020000000</v>
      </c>
      <c r="H237">
        <f>IFERROR(Sheet1[[#This Row],[Volume (24h)]]/Sheet1[[#This Row],[Circulating Supply]],0)</f>
        <v>1.8148674535005871E-4</v>
      </c>
      <c r="I237">
        <f>RANK(Table2[[#This Row],[Market Cap]],Table2[Market Cap],0)</f>
        <v>82</v>
      </c>
      <c r="J237" t="str">
        <f t="shared" si="3"/>
        <v>0-0.5</v>
      </c>
    </row>
    <row r="238" spans="1:10">
      <c r="A238" t="s">
        <v>294</v>
      </c>
      <c r="B238" t="s">
        <v>1073</v>
      </c>
      <c r="C238">
        <v>6.0540000000000004E-3</v>
      </c>
      <c r="D238">
        <v>0.5</v>
      </c>
      <c r="E238">
        <v>873610</v>
      </c>
      <c r="F238">
        <v>0</v>
      </c>
      <c r="G238">
        <v>144290000</v>
      </c>
      <c r="H238">
        <f>IFERROR(Sheet1[[#This Row],[Volume (24h)]]/Sheet1[[#This Row],[Circulating Supply]],0)</f>
        <v>1.986278572885687E-3</v>
      </c>
      <c r="I238">
        <f>RANK(Table2[[#This Row],[Market Cap]],Table2[Market Cap],0)</f>
        <v>292</v>
      </c>
      <c r="J238" t="str">
        <f t="shared" si="3"/>
        <v>0-0.5</v>
      </c>
    </row>
    <row r="239" spans="1:10">
      <c r="A239" t="s">
        <v>162</v>
      </c>
      <c r="B239" t="s">
        <v>541</v>
      </c>
      <c r="C239">
        <v>16.260000000000002</v>
      </c>
      <c r="D239">
        <v>0.17</v>
      </c>
      <c r="E239">
        <v>12090000</v>
      </c>
      <c r="F239">
        <v>249160</v>
      </c>
      <c r="G239">
        <v>743820</v>
      </c>
      <c r="H239">
        <f>IFERROR(Sheet1[[#This Row],[Volume (24h)]]/Sheet1[[#This Row],[Circulating Supply]],0)</f>
        <v>7.5970262253168013E-5</v>
      </c>
      <c r="I239">
        <f>RANK(Table2[[#This Row],[Market Cap]],Table2[Market Cap],0)</f>
        <v>122</v>
      </c>
      <c r="J239" t="str">
        <f t="shared" si="3"/>
        <v>10-100</v>
      </c>
    </row>
    <row r="240" spans="1:10">
      <c r="A240" t="s">
        <v>295</v>
      </c>
      <c r="B240" t="s">
        <v>331</v>
      </c>
      <c r="C240">
        <v>72.87</v>
      </c>
      <c r="D240">
        <v>0.24</v>
      </c>
      <c r="E240">
        <v>42240000000</v>
      </c>
      <c r="F240">
        <v>1610000000</v>
      </c>
      <c r="G240">
        <v>579700000</v>
      </c>
      <c r="H240">
        <f>IFERROR(Sheet1[[#This Row],[Volume (24h)]]/Sheet1[[#This Row],[Circulating Supply]],0)</f>
        <v>3.2012229645566755E-3</v>
      </c>
      <c r="I240">
        <f>RANK(Table2[[#This Row],[Market Cap]],Table2[Market Cap],0)</f>
        <v>7</v>
      </c>
      <c r="J240" t="str">
        <f t="shared" si="3"/>
        <v>10-100</v>
      </c>
    </row>
    <row r="241" spans="1:10">
      <c r="A241" t="s">
        <v>24</v>
      </c>
      <c r="B241" t="s">
        <v>385</v>
      </c>
      <c r="C241">
        <v>1</v>
      </c>
      <c r="D241">
        <v>0.02</v>
      </c>
      <c r="E241">
        <v>518340000</v>
      </c>
      <c r="F241">
        <v>23780000</v>
      </c>
      <c r="G241">
        <v>517030000</v>
      </c>
      <c r="H241">
        <f>IFERROR(Sheet1[[#This Row],[Volume (24h)]]/Sheet1[[#This Row],[Circulating Supply]],0)</f>
        <v>1.741578947368421E-4</v>
      </c>
      <c r="I241">
        <f>RANK(Table2[[#This Row],[Market Cap]],Table2[Market Cap],0)</f>
        <v>26</v>
      </c>
      <c r="J241" t="str">
        <f t="shared" si="3"/>
        <v>0.5-1</v>
      </c>
    </row>
    <row r="242" spans="1:10">
      <c r="A242" t="s">
        <v>296</v>
      </c>
      <c r="B242" t="s">
        <v>1074</v>
      </c>
      <c r="C242">
        <v>8.4809999999999997E-2</v>
      </c>
      <c r="D242">
        <v>0.17</v>
      </c>
      <c r="E242">
        <v>20630000</v>
      </c>
      <c r="F242">
        <v>2950000</v>
      </c>
      <c r="G242">
        <v>243230000</v>
      </c>
      <c r="H242">
        <f>IFERROR(Sheet1[[#This Row],[Volume (24h)]]/Sheet1[[#This Row],[Circulating Supply]],0)</f>
        <v>0</v>
      </c>
      <c r="I242">
        <f>RANK(Table2[[#This Row],[Market Cap]],Table2[Market Cap],0)</f>
        <v>91</v>
      </c>
      <c r="J242" t="str">
        <f t="shared" si="3"/>
        <v>0-0.5</v>
      </c>
    </row>
    <row r="243" spans="1:10">
      <c r="A243" t="s">
        <v>139</v>
      </c>
      <c r="B243" t="s">
        <v>1075</v>
      </c>
      <c r="C243">
        <v>108.07</v>
      </c>
      <c r="D243">
        <v>0.23</v>
      </c>
      <c r="E243">
        <v>7250000</v>
      </c>
      <c r="F243">
        <v>549860</v>
      </c>
      <c r="G243">
        <v>67120</v>
      </c>
      <c r="H243">
        <f>IFERROR(Sheet1[[#This Row],[Volume (24h)]]/Sheet1[[#This Row],[Circulating Supply]],0)</f>
        <v>5.1405802794769626E-5</v>
      </c>
      <c r="I243">
        <f>RANK(Table2[[#This Row],[Market Cap]],Table2[Market Cap],0)</f>
        <v>156</v>
      </c>
      <c r="J243" t="str">
        <f t="shared" si="3"/>
        <v>100-10000</v>
      </c>
    </row>
    <row r="244" spans="1:10">
      <c r="A244" t="s">
        <v>194</v>
      </c>
      <c r="B244" t="s">
        <v>1076</v>
      </c>
      <c r="C244">
        <v>6.8490000000000001E-3</v>
      </c>
      <c r="D244">
        <v>0.32</v>
      </c>
      <c r="E244">
        <v>863810</v>
      </c>
      <c r="F244">
        <v>75990</v>
      </c>
      <c r="G244">
        <v>126120000</v>
      </c>
      <c r="H244">
        <f>IFERROR(Sheet1[[#This Row],[Volume (24h)]]/Sheet1[[#This Row],[Circulating Supply]],0)</f>
        <v>99.349710982658962</v>
      </c>
      <c r="I244">
        <f>RANK(Table2[[#This Row],[Market Cap]],Table2[Market Cap],0)</f>
        <v>298</v>
      </c>
      <c r="J244" t="str">
        <f t="shared" si="3"/>
        <v>0-0.5</v>
      </c>
    </row>
    <row r="245" spans="1:10">
      <c r="A245" t="s">
        <v>241</v>
      </c>
      <c r="B245" t="s">
        <v>1077</v>
      </c>
      <c r="C245">
        <v>0.60899999999999999</v>
      </c>
      <c r="D245">
        <v>0.01</v>
      </c>
      <c r="E245">
        <v>7230000</v>
      </c>
      <c r="F245">
        <v>326.52999999999997</v>
      </c>
      <c r="G245">
        <v>11880000</v>
      </c>
      <c r="H245">
        <f>IFERROR(Sheet1[[#This Row],[Volume (24h)]]/Sheet1[[#This Row],[Circulating Supply]],0)</f>
        <v>1.1003521126760564E-3</v>
      </c>
      <c r="I245">
        <f>RANK(Table2[[#This Row],[Market Cap]],Table2[Market Cap],0)</f>
        <v>158</v>
      </c>
      <c r="J245" t="str">
        <f t="shared" si="3"/>
        <v>0.5-1</v>
      </c>
    </row>
    <row r="246" spans="1:10">
      <c r="A246" t="s">
        <v>59</v>
      </c>
      <c r="B246" t="s">
        <v>1078</v>
      </c>
      <c r="C246">
        <v>0.13880000000000001</v>
      </c>
      <c r="D246">
        <v>0.4</v>
      </c>
      <c r="E246">
        <v>251970000</v>
      </c>
      <c r="F246">
        <v>4730000</v>
      </c>
      <c r="G246">
        <v>1810000000</v>
      </c>
      <c r="H246">
        <f>IFERROR(Sheet1[[#This Row],[Volume (24h)]]/Sheet1[[#This Row],[Circulating Supply]],0)</f>
        <v>0</v>
      </c>
      <c r="I246">
        <f>RANK(Table2[[#This Row],[Market Cap]],Table2[Market Cap],0)</f>
        <v>36</v>
      </c>
      <c r="J246" t="str">
        <f t="shared" si="3"/>
        <v>0-0.5</v>
      </c>
    </row>
    <row r="247" spans="1:10">
      <c r="A247" t="s">
        <v>103</v>
      </c>
      <c r="B247" t="s">
        <v>103</v>
      </c>
      <c r="C247">
        <v>2.2710000000000001E-2</v>
      </c>
      <c r="D247">
        <v>0.92</v>
      </c>
      <c r="E247">
        <v>15890000</v>
      </c>
      <c r="F247">
        <v>1670000</v>
      </c>
      <c r="G247">
        <v>700000000</v>
      </c>
      <c r="H247">
        <f>IFERROR(Sheet1[[#This Row],[Volume (24h)]]/Sheet1[[#This Row],[Circulating Supply]],0)</f>
        <v>4.735133731498312E-7</v>
      </c>
      <c r="I247">
        <f>RANK(Table2[[#This Row],[Market Cap]],Table2[Market Cap],0)</f>
        <v>106</v>
      </c>
      <c r="J247" t="str">
        <f t="shared" si="3"/>
        <v>0-0.5</v>
      </c>
    </row>
    <row r="248" spans="1:10">
      <c r="A248" t="s">
        <v>86</v>
      </c>
      <c r="B248" t="s">
        <v>1079</v>
      </c>
      <c r="C248">
        <v>3.662E-2</v>
      </c>
      <c r="D248">
        <v>0.09</v>
      </c>
      <c r="E248">
        <v>20290000</v>
      </c>
      <c r="F248">
        <v>2330000</v>
      </c>
      <c r="G248">
        <v>554190000</v>
      </c>
      <c r="H248">
        <f>IFERROR(Sheet1[[#This Row],[Volume (24h)]]/Sheet1[[#This Row],[Circulating Supply]],0)</f>
        <v>3.5026965654271928E-10</v>
      </c>
      <c r="I248">
        <f>RANK(Table2[[#This Row],[Market Cap]],Table2[Market Cap],0)</f>
        <v>98</v>
      </c>
      <c r="J248" t="str">
        <f t="shared" si="3"/>
        <v>0-0.5</v>
      </c>
    </row>
    <row r="249" spans="1:10">
      <c r="A249" t="s">
        <v>297</v>
      </c>
      <c r="B249" t="s">
        <v>1080</v>
      </c>
      <c r="C249">
        <v>92.99</v>
      </c>
      <c r="D249">
        <v>0.77</v>
      </c>
      <c r="E249">
        <v>11960000</v>
      </c>
      <c r="F249">
        <v>8480000</v>
      </c>
      <c r="G249">
        <v>128690</v>
      </c>
      <c r="H249">
        <f>IFERROR(Sheet1[[#This Row],[Volume (24h)]]/Sheet1[[#This Row],[Circulating Supply]],0)</f>
        <v>1.0637087599544937E-6</v>
      </c>
      <c r="I249">
        <f>RANK(Table2[[#This Row],[Market Cap]],Table2[Market Cap],0)</f>
        <v>126</v>
      </c>
      <c r="J249" t="str">
        <f t="shared" si="3"/>
        <v>10-100</v>
      </c>
    </row>
    <row r="250" spans="1:10">
      <c r="A250" t="s">
        <v>196</v>
      </c>
      <c r="B250" t="s">
        <v>1081</v>
      </c>
      <c r="C250">
        <v>7.8100000000000001E-3</v>
      </c>
      <c r="D250">
        <v>0.13</v>
      </c>
      <c r="E250">
        <v>2010000</v>
      </c>
      <c r="F250">
        <v>64330</v>
      </c>
      <c r="G250">
        <v>257950000</v>
      </c>
      <c r="H250">
        <f>IFERROR(Sheet1[[#This Row],[Volume (24h)]]/Sheet1[[#This Row],[Circulating Supply]],0)</f>
        <v>1.5736170327231645E-3</v>
      </c>
      <c r="I250">
        <f>RANK(Table2[[#This Row],[Market Cap]],Table2[Market Cap],0)</f>
        <v>234</v>
      </c>
      <c r="J250" t="str">
        <f t="shared" si="3"/>
        <v>0-0.5</v>
      </c>
    </row>
    <row r="251" spans="1:10">
      <c r="A251" t="s">
        <v>228</v>
      </c>
      <c r="B251" t="s">
        <v>1082</v>
      </c>
      <c r="C251">
        <v>3.9560000000000003E-3</v>
      </c>
      <c r="D251">
        <v>0.01</v>
      </c>
      <c r="E251">
        <v>2620000</v>
      </c>
      <c r="F251">
        <v>4330</v>
      </c>
      <c r="G251">
        <v>664040000</v>
      </c>
      <c r="H251">
        <f>IFERROR(Sheet1[[#This Row],[Volume (24h)]]/Sheet1[[#This Row],[Circulating Supply]],0)</f>
        <v>2.4119351722657509E-6</v>
      </c>
      <c r="I251">
        <f>RANK(Table2[[#This Row],[Market Cap]],Table2[Market Cap],0)</f>
        <v>212</v>
      </c>
      <c r="J251" t="str">
        <f t="shared" si="3"/>
        <v>0-0.5</v>
      </c>
    </row>
    <row r="252" spans="1:10">
      <c r="A252" t="s">
        <v>220</v>
      </c>
      <c r="B252" t="s">
        <v>1083</v>
      </c>
      <c r="C252">
        <v>3.4360000000000002E-2</v>
      </c>
      <c r="D252">
        <v>0.01</v>
      </c>
      <c r="E252">
        <v>5670000</v>
      </c>
      <c r="F252">
        <v>9890</v>
      </c>
      <c r="G252">
        <v>165170000</v>
      </c>
      <c r="H252">
        <f>IFERROR(Sheet1[[#This Row],[Volume (24h)]]/Sheet1[[#This Row],[Circulating Supply]],0)</f>
        <v>2.3222161108055404E-4</v>
      </c>
      <c r="I252">
        <f>RANK(Table2[[#This Row],[Market Cap]],Table2[Market Cap],0)</f>
        <v>172</v>
      </c>
      <c r="J252" t="str">
        <f t="shared" si="3"/>
        <v>0-0.5</v>
      </c>
    </row>
    <row r="253" spans="1:10">
      <c r="A253" t="s">
        <v>100</v>
      </c>
      <c r="B253" t="s">
        <v>1084</v>
      </c>
      <c r="C253">
        <v>3.2139999999999998E-3</v>
      </c>
      <c r="D253">
        <v>0.54</v>
      </c>
      <c r="E253">
        <v>15550000</v>
      </c>
      <c r="F253">
        <v>1770000</v>
      </c>
      <c r="G253">
        <v>4830000000</v>
      </c>
      <c r="H253">
        <f>IFERROR(Sheet1[[#This Row],[Volume (24h)]]/Sheet1[[#This Row],[Circulating Supply]],0)</f>
        <v>25.064267352185091</v>
      </c>
      <c r="I253">
        <f>RANK(Table2[[#This Row],[Market Cap]],Table2[Market Cap],0)</f>
        <v>116</v>
      </c>
      <c r="J253" t="str">
        <f t="shared" si="3"/>
        <v>0-0.5</v>
      </c>
    </row>
    <row r="254" spans="1:10">
      <c r="A254" t="s">
        <v>186</v>
      </c>
      <c r="B254" t="s">
        <v>1085</v>
      </c>
      <c r="C254">
        <v>0.25609999999999999</v>
      </c>
      <c r="D254">
        <v>0.04</v>
      </c>
      <c r="E254">
        <v>2540000</v>
      </c>
      <c r="F254">
        <v>109700</v>
      </c>
      <c r="G254">
        <v>9930000</v>
      </c>
      <c r="H254">
        <f>IFERROR(Sheet1[[#This Row],[Volume (24h)]]/Sheet1[[#This Row],[Circulating Supply]],0)</f>
        <v>123.62818987174401</v>
      </c>
      <c r="I254">
        <f>RANK(Table2[[#This Row],[Market Cap]],Table2[Market Cap],0)</f>
        <v>222</v>
      </c>
      <c r="J254" t="str">
        <f t="shared" si="3"/>
        <v>0-0.5</v>
      </c>
    </row>
    <row r="255" spans="1:10">
      <c r="A255" t="s">
        <v>38</v>
      </c>
      <c r="B255" t="s">
        <v>1086</v>
      </c>
      <c r="C255">
        <v>13.52</v>
      </c>
      <c r="D255">
        <v>0.18</v>
      </c>
      <c r="E255">
        <v>37840000</v>
      </c>
      <c r="F255">
        <v>7750000</v>
      </c>
      <c r="G255">
        <v>2790000</v>
      </c>
      <c r="H255">
        <f>IFERROR(Sheet1[[#This Row],[Volume (24h)]]/Sheet1[[#This Row],[Circulating Supply]],0)</f>
        <v>5.5993294216261528E-6</v>
      </c>
      <c r="I255">
        <f>RANK(Table2[[#This Row],[Market Cap]],Table2[Market Cap],0)</f>
        <v>73</v>
      </c>
      <c r="J255" t="str">
        <f t="shared" si="3"/>
        <v>10-100</v>
      </c>
    </row>
    <row r="256" spans="1:10">
      <c r="A256" t="s">
        <v>184</v>
      </c>
      <c r="B256" t="s">
        <v>1087</v>
      </c>
      <c r="C256">
        <v>9.2689999999999995E-3</v>
      </c>
      <c r="D256">
        <v>0.21</v>
      </c>
      <c r="E256">
        <v>1290000</v>
      </c>
      <c r="F256">
        <v>115470</v>
      </c>
      <c r="G256">
        <v>139770000</v>
      </c>
      <c r="H256">
        <f>IFERROR(Sheet1[[#This Row],[Volume (24h)]]/Sheet1[[#This Row],[Circulating Supply]],0)</f>
        <v>7.7018365918026603</v>
      </c>
      <c r="I256">
        <f>RANK(Table2[[#This Row],[Market Cap]],Table2[Market Cap],0)</f>
        <v>257</v>
      </c>
      <c r="J256" t="str">
        <f t="shared" si="3"/>
        <v>0-0.5</v>
      </c>
    </row>
    <row r="257" spans="1:10">
      <c r="A257" t="s">
        <v>34</v>
      </c>
      <c r="B257" t="s">
        <v>1088</v>
      </c>
      <c r="C257">
        <v>310.04000000000002</v>
      </c>
      <c r="D257">
        <v>0.62</v>
      </c>
      <c r="E257">
        <v>11760000</v>
      </c>
      <c r="F257">
        <v>9000000</v>
      </c>
      <c r="G257">
        <v>37930</v>
      </c>
      <c r="H257">
        <f>IFERROR(Sheet1[[#This Row],[Volume (24h)]]/Sheet1[[#This Row],[Circulating Supply]],0)</f>
        <v>0</v>
      </c>
      <c r="I257">
        <f>RANK(Table2[[#This Row],[Market Cap]],Table2[Market Cap],0)</f>
        <v>134</v>
      </c>
      <c r="J257" t="str">
        <f t="shared" si="3"/>
        <v>100-10000</v>
      </c>
    </row>
    <row r="258" spans="1:10">
      <c r="A258" t="s">
        <v>4</v>
      </c>
      <c r="B258" t="s">
        <v>326</v>
      </c>
      <c r="C258">
        <v>0.999</v>
      </c>
      <c r="D258">
        <v>0.01</v>
      </c>
      <c r="E258">
        <v>183630000000</v>
      </c>
      <c r="F258">
        <v>56830000000</v>
      </c>
      <c r="G258">
        <v>183810000000</v>
      </c>
      <c r="H258">
        <f>IFERROR(Sheet1[[#This Row],[Volume (24h)]]/Sheet1[[#This Row],[Circulating Supply]],0)</f>
        <v>103.36428571428571</v>
      </c>
      <c r="I258">
        <f>RANK(Table2[[#This Row],[Market Cap]],Table2[Market Cap],0)</f>
        <v>3</v>
      </c>
      <c r="J258" t="str">
        <f t="shared" ref="J258:J301" si="4">IF(C258&lt;=0.5,"0-0.5",IF(C258&lt;=1,"0.5-1",IF(C258&lt;=2,"1-2",IF(C258&lt;=10,"2-10",IF(C258&lt;=100,"10-100",IF(C258&lt;=10000,"100-10000","10000+"))))))</f>
        <v>0.5-1</v>
      </c>
    </row>
    <row r="259" spans="1:10">
      <c r="A259" t="s">
        <v>57</v>
      </c>
      <c r="B259" t="s">
        <v>371</v>
      </c>
      <c r="C259">
        <v>0.20019999999999999</v>
      </c>
      <c r="D259">
        <v>0.34</v>
      </c>
      <c r="E259">
        <v>218720000</v>
      </c>
      <c r="F259">
        <v>4940000</v>
      </c>
      <c r="G259">
        <v>1090000000</v>
      </c>
      <c r="H259">
        <f>IFERROR(Sheet1[[#This Row],[Volume (24h)]]/Sheet1[[#This Row],[Circulating Supply]],0)</f>
        <v>1.0824539877300613E-4</v>
      </c>
      <c r="I259">
        <f>RANK(Table2[[#This Row],[Market Cap]],Table2[Market Cap],0)</f>
        <v>42</v>
      </c>
      <c r="J259" t="str">
        <f t="shared" si="4"/>
        <v>0-0.5</v>
      </c>
    </row>
    <row r="260" spans="1:10">
      <c r="A260" t="s">
        <v>154</v>
      </c>
      <c r="B260" t="s">
        <v>1089</v>
      </c>
      <c r="C260">
        <v>1.2780000000000001E-3</v>
      </c>
      <c r="D260">
        <v>1.1499999999999999</v>
      </c>
      <c r="E260">
        <v>1270000</v>
      </c>
      <c r="F260">
        <v>305210</v>
      </c>
      <c r="G260">
        <v>999820000</v>
      </c>
      <c r="H260">
        <f>IFERROR(Sheet1[[#This Row],[Volume (24h)]]/Sheet1[[#This Row],[Circulating Supply]],0)</f>
        <v>7.7000000000000008E-6</v>
      </c>
      <c r="I260">
        <f>RANK(Table2[[#This Row],[Market Cap]],Table2[Market Cap],0)</f>
        <v>262</v>
      </c>
      <c r="J260" t="str">
        <f t="shared" si="4"/>
        <v>0-0.5</v>
      </c>
    </row>
    <row r="261" spans="1:10">
      <c r="A261" t="s">
        <v>298</v>
      </c>
      <c r="B261" t="s">
        <v>1090</v>
      </c>
      <c r="C261">
        <v>7.2519999999999998E-3</v>
      </c>
      <c r="D261">
        <v>0.09</v>
      </c>
      <c r="E261">
        <v>53790000</v>
      </c>
      <c r="F261">
        <v>582150</v>
      </c>
      <c r="G261">
        <v>7410000000</v>
      </c>
      <c r="H261">
        <f>IFERROR(Sheet1[[#This Row],[Volume (24h)]]/Sheet1[[#This Row],[Circulating Supply]],0)</f>
        <v>8.5898433159239918E-5</v>
      </c>
      <c r="I261">
        <f>RANK(Table2[[#This Row],[Market Cap]],Table2[Market Cap],0)</f>
        <v>56</v>
      </c>
      <c r="J261" t="str">
        <f t="shared" si="4"/>
        <v>0-0.5</v>
      </c>
    </row>
    <row r="262" spans="1:10">
      <c r="A262" t="s">
        <v>35</v>
      </c>
      <c r="B262" t="s">
        <v>444</v>
      </c>
      <c r="C262">
        <v>3.4810000000000002E-3</v>
      </c>
      <c r="D262">
        <v>0.81</v>
      </c>
      <c r="E262">
        <v>38830000</v>
      </c>
      <c r="F262">
        <v>8600000</v>
      </c>
      <c r="G262">
        <v>11150000000</v>
      </c>
      <c r="H262">
        <f>IFERROR(Sheet1[[#This Row],[Volume (24h)]]/Sheet1[[#This Row],[Circulating Supply]],0)</f>
        <v>1.3213751868460389E-4</v>
      </c>
      <c r="I262">
        <f>RANK(Table2[[#This Row],[Market Cap]],Table2[Market Cap],0)</f>
        <v>64</v>
      </c>
      <c r="J262" t="str">
        <f t="shared" si="4"/>
        <v>0-0.5</v>
      </c>
    </row>
    <row r="263" spans="1:10">
      <c r="A263" t="s">
        <v>219</v>
      </c>
      <c r="B263" t="s">
        <v>1091</v>
      </c>
      <c r="C263">
        <v>5.7889999999999999E-3</v>
      </c>
      <c r="D263">
        <v>0.1</v>
      </c>
      <c r="E263">
        <v>20060000</v>
      </c>
      <c r="F263">
        <v>10970</v>
      </c>
      <c r="G263">
        <v>3460000000</v>
      </c>
      <c r="H263">
        <f>IFERROR(Sheet1[[#This Row],[Volume (24h)]]/Sheet1[[#This Row],[Circulating Supply]],0)</f>
        <v>83.287999999999997</v>
      </c>
      <c r="I263">
        <f>RANK(Table2[[#This Row],[Market Cap]],Table2[Market Cap],0)</f>
        <v>103</v>
      </c>
      <c r="J263" t="str">
        <f t="shared" si="4"/>
        <v>0-0.5</v>
      </c>
    </row>
    <row r="264" spans="1:10">
      <c r="A264" t="s">
        <v>190</v>
      </c>
      <c r="B264" t="s">
        <v>1092</v>
      </c>
      <c r="C264">
        <v>9.708E-2</v>
      </c>
      <c r="D264">
        <v>0.19</v>
      </c>
      <c r="E264">
        <v>1270000</v>
      </c>
      <c r="F264">
        <v>92100</v>
      </c>
      <c r="G264">
        <v>13170000</v>
      </c>
      <c r="H264">
        <f>IFERROR(Sheet1[[#This Row],[Volume (24h)]]/Sheet1[[#This Row],[Circulating Supply]],0)</f>
        <v>1.5538757755116594E-7</v>
      </c>
      <c r="I264">
        <f>RANK(Table2[[#This Row],[Market Cap]],Table2[Market Cap],0)</f>
        <v>262</v>
      </c>
      <c r="J264" t="str">
        <f t="shared" si="4"/>
        <v>0-0.5</v>
      </c>
    </row>
    <row r="265" spans="1:10">
      <c r="A265" t="s">
        <v>153</v>
      </c>
      <c r="B265" t="s">
        <v>1093</v>
      </c>
      <c r="C265">
        <v>6.6140000000000004E-2</v>
      </c>
      <c r="D265">
        <v>0.71</v>
      </c>
      <c r="E265">
        <v>1590000</v>
      </c>
      <c r="F265">
        <v>375690</v>
      </c>
      <c r="G265">
        <v>24060000</v>
      </c>
      <c r="H265">
        <f>IFERROR(Sheet1[[#This Row],[Volume (24h)]]/Sheet1[[#This Row],[Circulating Supply]],0)</f>
        <v>4.5920000000000001E-5</v>
      </c>
      <c r="I265">
        <f>RANK(Table2[[#This Row],[Market Cap]],Table2[Market Cap],0)</f>
        <v>246</v>
      </c>
      <c r="J265" t="str">
        <f t="shared" si="4"/>
        <v>0-0.5</v>
      </c>
    </row>
    <row r="266" spans="1:10">
      <c r="A266" t="s">
        <v>108</v>
      </c>
      <c r="B266" t="s">
        <v>1094</v>
      </c>
      <c r="C266">
        <v>0.51459999999999995</v>
      </c>
      <c r="D266">
        <v>0.21</v>
      </c>
      <c r="E266">
        <v>7380000</v>
      </c>
      <c r="F266">
        <v>1530000</v>
      </c>
      <c r="G266">
        <v>14340000</v>
      </c>
      <c r="H266">
        <f>IFERROR(Sheet1[[#This Row],[Volume (24h)]]/Sheet1[[#This Row],[Circulating Supply]],0)</f>
        <v>2.8804189700320045E-5</v>
      </c>
      <c r="I266">
        <f>RANK(Table2[[#This Row],[Market Cap]],Table2[Market Cap],0)</f>
        <v>152</v>
      </c>
      <c r="J266" t="str">
        <f t="shared" si="4"/>
        <v>0.5-1</v>
      </c>
    </row>
    <row r="267" spans="1:10">
      <c r="A267" t="s">
        <v>25</v>
      </c>
      <c r="B267" t="s">
        <v>1095</v>
      </c>
      <c r="C267">
        <v>9.3000000000000007</v>
      </c>
      <c r="D267">
        <v>0.08</v>
      </c>
      <c r="E267">
        <v>5680000</v>
      </c>
      <c r="F267">
        <v>19250000</v>
      </c>
      <c r="G267">
        <v>610760</v>
      </c>
      <c r="H267">
        <f>IFERROR(Sheet1[[#This Row],[Volume (24h)]]/Sheet1[[#This Row],[Circulating Supply]],0)</f>
        <v>1.0380602006688963E-2</v>
      </c>
      <c r="I267">
        <f>RANK(Table2[[#This Row],[Market Cap]],Table2[Market Cap],0)</f>
        <v>170</v>
      </c>
      <c r="J267" t="str">
        <f t="shared" si="4"/>
        <v>2-10</v>
      </c>
    </row>
    <row r="268" spans="1:10">
      <c r="A268" t="s">
        <v>66</v>
      </c>
      <c r="B268" t="s">
        <v>1096</v>
      </c>
      <c r="C268">
        <v>3.5970000000000002E-2</v>
      </c>
      <c r="D268">
        <v>0.56999999999999995</v>
      </c>
      <c r="E268">
        <v>5610000</v>
      </c>
      <c r="F268">
        <v>3830000</v>
      </c>
      <c r="G268">
        <v>156120000</v>
      </c>
      <c r="H268">
        <f>IFERROR(Sheet1[[#This Row],[Volume (24h)]]/Sheet1[[#This Row],[Circulating Supply]],0)</f>
        <v>1.7478855688416364E-4</v>
      </c>
      <c r="I268">
        <f>RANK(Table2[[#This Row],[Market Cap]],Table2[Market Cap],0)</f>
        <v>177</v>
      </c>
      <c r="J268" t="str">
        <f t="shared" si="4"/>
        <v>0-0.5</v>
      </c>
    </row>
    <row r="269" spans="1:10">
      <c r="A269" t="s">
        <v>9</v>
      </c>
      <c r="B269" t="s">
        <v>332</v>
      </c>
      <c r="C269">
        <v>0.32579999999999998</v>
      </c>
      <c r="D269">
        <v>0.03</v>
      </c>
      <c r="E269">
        <v>30910000000</v>
      </c>
      <c r="F269">
        <v>473310000</v>
      </c>
      <c r="G269">
        <v>94880000000</v>
      </c>
      <c r="H269">
        <f>IFERROR(Sheet1[[#This Row],[Volume (24h)]]/Sheet1[[#This Row],[Circulating Supply]],0)</f>
        <v>1.8190957931446164E-11</v>
      </c>
      <c r="I269">
        <f>RANK(Table2[[#This Row],[Market Cap]],Table2[Market Cap],0)</f>
        <v>8</v>
      </c>
      <c r="J269" t="str">
        <f t="shared" si="4"/>
        <v>0-0.5</v>
      </c>
    </row>
    <row r="270" spans="1:10">
      <c r="A270" t="s">
        <v>299</v>
      </c>
      <c r="B270" t="s">
        <v>1097</v>
      </c>
      <c r="C270">
        <v>404.09</v>
      </c>
      <c r="D270">
        <v>0.04</v>
      </c>
      <c r="E270">
        <v>2040000</v>
      </c>
      <c r="F270">
        <v>171250</v>
      </c>
      <c r="G270">
        <v>5050</v>
      </c>
      <c r="H270">
        <f>IFERROR(Sheet1[[#This Row],[Volume (24h)]]/Sheet1[[#This Row],[Circulating Supply]],0)</f>
        <v>7.4318687430478304E-4</v>
      </c>
      <c r="I270">
        <f>RANK(Table2[[#This Row],[Market Cap]],Table2[Market Cap],0)</f>
        <v>226</v>
      </c>
      <c r="J270" t="str">
        <f t="shared" si="4"/>
        <v>100-10000</v>
      </c>
    </row>
    <row r="271" spans="1:10">
      <c r="A271" t="s">
        <v>40</v>
      </c>
      <c r="B271" t="s">
        <v>1098</v>
      </c>
      <c r="C271">
        <v>7.9080000000000003E-4</v>
      </c>
      <c r="D271">
        <v>0.14000000000000001</v>
      </c>
      <c r="E271">
        <v>54570000</v>
      </c>
      <c r="F271">
        <v>7470000</v>
      </c>
      <c r="G271">
        <v>68990000000</v>
      </c>
      <c r="H271">
        <f>IFERROR(Sheet1[[#This Row],[Volume (24h)]]/Sheet1[[#This Row],[Circulating Supply]],0)</f>
        <v>163.35078534031413</v>
      </c>
      <c r="I271">
        <f>RANK(Table2[[#This Row],[Market Cap]],Table2[Market Cap],0)</f>
        <v>53</v>
      </c>
      <c r="J271" t="str">
        <f t="shared" si="4"/>
        <v>0-0.5</v>
      </c>
    </row>
    <row r="272" spans="1:10">
      <c r="A272" t="s">
        <v>232</v>
      </c>
      <c r="B272" t="s">
        <v>886</v>
      </c>
      <c r="C272">
        <v>22.49</v>
      </c>
      <c r="D272">
        <v>16.46</v>
      </c>
      <c r="E272">
        <v>1040000</v>
      </c>
      <c r="F272">
        <v>2020</v>
      </c>
      <c r="G272">
        <v>46640</v>
      </c>
      <c r="H272">
        <f>IFERROR(Sheet1[[#This Row],[Volume (24h)]]/Sheet1[[#This Row],[Circulating Supply]],0)</f>
        <v>2.2790513833992093E-3</v>
      </c>
      <c r="I272">
        <f>RANK(Table2[[#This Row],[Market Cap]],Table2[Market Cap],0)</f>
        <v>278</v>
      </c>
      <c r="J272" t="str">
        <f t="shared" si="4"/>
        <v>10-100</v>
      </c>
    </row>
    <row r="273" spans="1:10">
      <c r="A273" t="s">
        <v>28</v>
      </c>
      <c r="B273" t="s">
        <v>386</v>
      </c>
      <c r="C273">
        <v>0.15809999999999999</v>
      </c>
      <c r="D273">
        <v>0.16</v>
      </c>
      <c r="E273">
        <v>395370000</v>
      </c>
      <c r="F273">
        <v>14190000</v>
      </c>
      <c r="G273">
        <v>2500000000</v>
      </c>
      <c r="H273">
        <f>IFERROR(Sheet1[[#This Row],[Volume (24h)]]/Sheet1[[#This Row],[Circulating Supply]],0)</f>
        <v>8.7919075144508667E-6</v>
      </c>
      <c r="I273">
        <f>RANK(Table2[[#This Row],[Market Cap]],Table2[Market Cap],0)</f>
        <v>28</v>
      </c>
      <c r="J273" t="str">
        <f t="shared" si="4"/>
        <v>0-0.5</v>
      </c>
    </row>
    <row r="274" spans="1:10">
      <c r="A274" t="s">
        <v>300</v>
      </c>
      <c r="B274" t="s">
        <v>341</v>
      </c>
      <c r="C274">
        <v>9.75</v>
      </c>
      <c r="D274">
        <v>0</v>
      </c>
      <c r="E274">
        <v>8970000000</v>
      </c>
      <c r="F274">
        <v>515230</v>
      </c>
      <c r="G274">
        <v>920070000</v>
      </c>
      <c r="H274">
        <f>IFERROR(Sheet1[[#This Row],[Volume (24h)]]/Sheet1[[#This Row],[Circulating Supply]],0)</f>
        <v>6.0506642284730812E-5</v>
      </c>
      <c r="I274">
        <f>RANK(Table2[[#This Row],[Market Cap]],Table2[Market Cap],0)</f>
        <v>11</v>
      </c>
      <c r="J274" t="str">
        <f t="shared" si="4"/>
        <v>2-10</v>
      </c>
    </row>
    <row r="275" spans="1:10">
      <c r="A275" t="s">
        <v>225</v>
      </c>
      <c r="B275" t="s">
        <v>384</v>
      </c>
      <c r="C275">
        <v>0.99950000000000006</v>
      </c>
      <c r="D275">
        <v>0.01</v>
      </c>
      <c r="E275">
        <v>501100000</v>
      </c>
      <c r="F275">
        <v>5610</v>
      </c>
      <c r="G275">
        <v>501350000</v>
      </c>
      <c r="H275">
        <f>IFERROR(Sheet1[[#This Row],[Volume (24h)]]/Sheet1[[#This Row],[Circulating Supply]],0)</f>
        <v>0</v>
      </c>
      <c r="I275">
        <f>RANK(Table2[[#This Row],[Market Cap]],Table2[Market Cap],0)</f>
        <v>27</v>
      </c>
      <c r="J275" t="str">
        <f t="shared" si="4"/>
        <v>0.5-1</v>
      </c>
    </row>
    <row r="276" spans="1:10">
      <c r="A276" t="s">
        <v>224</v>
      </c>
      <c r="B276" t="s">
        <v>224</v>
      </c>
      <c r="C276">
        <v>0.99690000000000001</v>
      </c>
      <c r="D276">
        <v>0.24</v>
      </c>
      <c r="E276">
        <v>11960000</v>
      </c>
      <c r="F276">
        <v>7690</v>
      </c>
      <c r="G276">
        <v>12000000</v>
      </c>
      <c r="H276">
        <f>IFERROR(Sheet1[[#This Row],[Volume (24h)]]/Sheet1[[#This Row],[Circulating Supply]],0)</f>
        <v>110.10919540229885</v>
      </c>
      <c r="I276">
        <f>RANK(Table2[[#This Row],[Market Cap]],Table2[Market Cap],0)</f>
        <v>126</v>
      </c>
      <c r="J276" t="str">
        <f t="shared" si="4"/>
        <v>0.5-1</v>
      </c>
    </row>
    <row r="277" spans="1:10">
      <c r="A277" t="s">
        <v>301</v>
      </c>
      <c r="B277" t="s">
        <v>301</v>
      </c>
      <c r="C277">
        <v>0.99980000000000002</v>
      </c>
      <c r="D277">
        <v>0.01</v>
      </c>
      <c r="E277">
        <v>71920000000</v>
      </c>
      <c r="F277">
        <v>9790000000</v>
      </c>
      <c r="G277">
        <v>71940000000</v>
      </c>
      <c r="H277">
        <f>IFERROR(Sheet1[[#This Row],[Volume (24h)]]/Sheet1[[#This Row],[Circulating Supply]],0)</f>
        <v>3658.7301587301586</v>
      </c>
      <c r="I277">
        <f>RANK(Table2[[#This Row],[Market Cap]],Table2[Market Cap],0)</f>
        <v>5</v>
      </c>
      <c r="J277" t="str">
        <f t="shared" si="4"/>
        <v>0.5-1</v>
      </c>
    </row>
    <row r="278" spans="1:10">
      <c r="A278" t="s">
        <v>30</v>
      </c>
      <c r="B278" t="s">
        <v>30</v>
      </c>
      <c r="C278">
        <v>1</v>
      </c>
      <c r="D278">
        <v>0.01</v>
      </c>
      <c r="E278">
        <v>1110000000</v>
      </c>
      <c r="F278">
        <v>14040000</v>
      </c>
      <c r="G278">
        <v>1110000000</v>
      </c>
      <c r="H278">
        <f>IFERROR(Sheet1[[#This Row],[Volume (24h)]]/Sheet1[[#This Row],[Circulating Supply]],0)</f>
        <v>5.8371167423348467E-5</v>
      </c>
      <c r="I278">
        <f>RANK(Table2[[#This Row],[Market Cap]],Table2[Market Cap],0)</f>
        <v>20</v>
      </c>
      <c r="J278" t="str">
        <f t="shared" si="4"/>
        <v>0.5-1</v>
      </c>
    </row>
    <row r="279" spans="1:10">
      <c r="A279" t="s">
        <v>302</v>
      </c>
      <c r="B279" t="s">
        <v>302</v>
      </c>
      <c r="C279">
        <v>0.99929999999999997</v>
      </c>
      <c r="D279">
        <v>0</v>
      </c>
      <c r="E279">
        <v>28580000</v>
      </c>
      <c r="F279">
        <v>0</v>
      </c>
      <c r="G279">
        <v>28600000</v>
      </c>
      <c r="H279">
        <f>IFERROR(Sheet1[[#This Row],[Volume (24h)]]/Sheet1[[#This Row],[Circulating Supply]],0)</f>
        <v>45.989285714285714</v>
      </c>
      <c r="I279">
        <f>RANK(Table2[[#This Row],[Market Cap]],Table2[Market Cap],0)</f>
        <v>77</v>
      </c>
      <c r="J279" t="str">
        <f t="shared" si="4"/>
        <v>0.5-1</v>
      </c>
    </row>
    <row r="280" spans="1:10">
      <c r="A280" t="s">
        <v>204</v>
      </c>
      <c r="B280" t="s">
        <v>383</v>
      </c>
      <c r="C280">
        <v>0.99929999999999997</v>
      </c>
      <c r="D280">
        <v>0</v>
      </c>
      <c r="E280">
        <v>556020000</v>
      </c>
      <c r="F280">
        <v>36490</v>
      </c>
      <c r="G280">
        <v>556380000</v>
      </c>
      <c r="H280">
        <f>IFERROR(Sheet1[[#This Row],[Volume (24h)]]/Sheet1[[#This Row],[Circulating Supply]],0)</f>
        <v>0</v>
      </c>
      <c r="I280">
        <f>RANK(Table2[[#This Row],[Market Cap]],Table2[Market Cap],0)</f>
        <v>25</v>
      </c>
      <c r="J280" t="str">
        <f t="shared" si="4"/>
        <v>0.5-1</v>
      </c>
    </row>
    <row r="281" spans="1:10">
      <c r="A281" t="s">
        <v>55</v>
      </c>
      <c r="B281" t="s">
        <v>1099</v>
      </c>
      <c r="C281">
        <v>7.9419999999999994E-3</v>
      </c>
      <c r="D281">
        <v>0.01</v>
      </c>
      <c r="E281">
        <v>5590000</v>
      </c>
      <c r="F281">
        <v>5090000</v>
      </c>
      <c r="G281">
        <v>704060000</v>
      </c>
      <c r="H281">
        <f>IFERROR(Sheet1[[#This Row],[Volume (24h)]]/Sheet1[[#This Row],[Circulating Supply]],0)</f>
        <v>0</v>
      </c>
      <c r="I281">
        <f>RANK(Table2[[#This Row],[Market Cap]],Table2[Market Cap],0)</f>
        <v>179</v>
      </c>
      <c r="J281" t="str">
        <f t="shared" si="4"/>
        <v>0-0.5</v>
      </c>
    </row>
    <row r="282" spans="1:10">
      <c r="A282" t="s">
        <v>216</v>
      </c>
      <c r="B282" t="s">
        <v>1100</v>
      </c>
      <c r="C282">
        <v>4.2739999999999998E-4</v>
      </c>
      <c r="D282">
        <v>0.26</v>
      </c>
      <c r="E282">
        <v>2540000</v>
      </c>
      <c r="F282">
        <v>13730</v>
      </c>
      <c r="G282">
        <v>5960000000</v>
      </c>
      <c r="H282">
        <f>IFERROR(Sheet1[[#This Row],[Volume (24h)]]/Sheet1[[#This Row],[Circulating Supply]],0)</f>
        <v>6.5684210526315785E-5</v>
      </c>
      <c r="I282">
        <f>RANK(Table2[[#This Row],[Market Cap]],Table2[Market Cap],0)</f>
        <v>222</v>
      </c>
      <c r="J282" t="str">
        <f t="shared" si="4"/>
        <v>0-0.5</v>
      </c>
    </row>
    <row r="283" spans="1:10">
      <c r="A283" t="s">
        <v>303</v>
      </c>
      <c r="B283" t="s">
        <v>1101</v>
      </c>
      <c r="C283">
        <v>1.7270000000000001E-2</v>
      </c>
      <c r="D283">
        <v>0.53</v>
      </c>
      <c r="E283">
        <v>15800000</v>
      </c>
      <c r="F283">
        <v>916720</v>
      </c>
      <c r="G283">
        <v>915200000</v>
      </c>
      <c r="H283">
        <f>IFERROR(Sheet1[[#This Row],[Volume (24h)]]/Sheet1[[#This Row],[Circulating Supply]],0)</f>
        <v>0</v>
      </c>
      <c r="I283">
        <f>RANK(Table2[[#This Row],[Market Cap]],Table2[Market Cap],0)</f>
        <v>111</v>
      </c>
      <c r="J283" t="str">
        <f t="shared" si="4"/>
        <v>0-0.5</v>
      </c>
    </row>
    <row r="284" spans="1:10">
      <c r="A284" t="s">
        <v>304</v>
      </c>
      <c r="B284" t="s">
        <v>1102</v>
      </c>
      <c r="C284">
        <v>2.6179999999999998E-2</v>
      </c>
      <c r="D284">
        <v>0</v>
      </c>
      <c r="E284">
        <v>7190000</v>
      </c>
      <c r="F284">
        <v>0</v>
      </c>
      <c r="G284">
        <v>274530000</v>
      </c>
      <c r="H284">
        <f>IFERROR(Sheet1[[#This Row],[Volume (24h)]]/Sheet1[[#This Row],[Circulating Supply]],0)</f>
        <v>6.030359742150135E-5</v>
      </c>
      <c r="I284">
        <f>RANK(Table2[[#This Row],[Market Cap]],Table2[Market Cap],0)</f>
        <v>160</v>
      </c>
      <c r="J284" t="str">
        <f t="shared" si="4"/>
        <v>0-0.5</v>
      </c>
    </row>
    <row r="285" spans="1:10">
      <c r="A285" t="s">
        <v>240</v>
      </c>
      <c r="B285" t="s">
        <v>1103</v>
      </c>
      <c r="C285">
        <v>1.6209999999999999E-2</v>
      </c>
      <c r="D285">
        <v>2.2599999999999998</v>
      </c>
      <c r="E285">
        <v>1620000</v>
      </c>
      <c r="F285">
        <v>335.35</v>
      </c>
      <c r="G285">
        <v>100000000</v>
      </c>
      <c r="H285">
        <f>IFERROR(Sheet1[[#This Row],[Volume (24h)]]/Sheet1[[#This Row],[Circulating Supply]],0)</f>
        <v>0</v>
      </c>
      <c r="I285">
        <f>RANK(Table2[[#This Row],[Market Cap]],Table2[Market Cap],0)</f>
        <v>241</v>
      </c>
      <c r="J285" t="str">
        <f t="shared" si="4"/>
        <v>0-0.5</v>
      </c>
    </row>
    <row r="286" spans="1:10">
      <c r="A286" t="s">
        <v>305</v>
      </c>
      <c r="B286" t="s">
        <v>1104</v>
      </c>
      <c r="C286">
        <v>3.4180000000000002E-2</v>
      </c>
      <c r="D286">
        <v>0.32</v>
      </c>
      <c r="E286">
        <v>4350000</v>
      </c>
      <c r="F286">
        <v>1850000</v>
      </c>
      <c r="G286">
        <v>127500000</v>
      </c>
      <c r="H286">
        <f>IFERROR(Sheet1[[#This Row],[Volume (24h)]]/Sheet1[[#This Row],[Circulating Supply]],0)</f>
        <v>7.7127458396369138E-4</v>
      </c>
      <c r="I286">
        <f>RANK(Table2[[#This Row],[Market Cap]],Table2[Market Cap],0)</f>
        <v>182</v>
      </c>
      <c r="J286" t="str">
        <f t="shared" si="4"/>
        <v>0-0.5</v>
      </c>
    </row>
    <row r="287" spans="1:10">
      <c r="A287" t="s">
        <v>306</v>
      </c>
      <c r="B287" t="s">
        <v>687</v>
      </c>
      <c r="C287">
        <v>0.22939999999999999</v>
      </c>
      <c r="D287">
        <v>0.11</v>
      </c>
      <c r="E287">
        <v>3310000</v>
      </c>
      <c r="F287">
        <v>3810</v>
      </c>
      <c r="G287">
        <v>14440000</v>
      </c>
      <c r="H287">
        <f>IFERROR(Sheet1[[#This Row],[Volume (24h)]]/Sheet1[[#This Row],[Circulating Supply]],0)</f>
        <v>0</v>
      </c>
      <c r="I287">
        <f>RANK(Table2[[#This Row],[Market Cap]],Table2[Market Cap],0)</f>
        <v>197</v>
      </c>
      <c r="J287" t="str">
        <f t="shared" si="4"/>
        <v>0-0.5</v>
      </c>
    </row>
    <row r="288" spans="1:10">
      <c r="A288" t="s">
        <v>150</v>
      </c>
      <c r="B288" t="s">
        <v>150</v>
      </c>
      <c r="C288">
        <v>7.4700000000000001E-3</v>
      </c>
      <c r="D288">
        <v>0.05</v>
      </c>
      <c r="E288">
        <v>2570000</v>
      </c>
      <c r="F288">
        <v>430670</v>
      </c>
      <c r="G288">
        <v>344850000</v>
      </c>
      <c r="H288">
        <f>IFERROR(Sheet1[[#This Row],[Volume (24h)]]/Sheet1[[#This Row],[Circulating Supply]],0)</f>
        <v>1.2507240081088907E-5</v>
      </c>
      <c r="I288">
        <f>RANK(Table2[[#This Row],[Market Cap]],Table2[Market Cap],0)</f>
        <v>218</v>
      </c>
      <c r="J288" t="str">
        <f t="shared" si="4"/>
        <v>0-0.5</v>
      </c>
    </row>
    <row r="289" spans="1:10">
      <c r="A289" t="s">
        <v>49</v>
      </c>
      <c r="B289" t="s">
        <v>1105</v>
      </c>
      <c r="C289">
        <v>3.6360000000000003E-2</v>
      </c>
      <c r="D289">
        <v>0.05</v>
      </c>
      <c r="E289">
        <v>15790000</v>
      </c>
      <c r="F289">
        <v>6260000</v>
      </c>
      <c r="G289">
        <v>434300000</v>
      </c>
      <c r="H289">
        <f>IFERROR(Sheet1[[#This Row],[Volume (24h)]]/Sheet1[[#This Row],[Circulating Supply]],0)</f>
        <v>1.26E-9</v>
      </c>
      <c r="I289">
        <f>RANK(Table2[[#This Row],[Market Cap]],Table2[Market Cap],0)</f>
        <v>112</v>
      </c>
      <c r="J289" t="str">
        <f t="shared" si="4"/>
        <v>0-0.5</v>
      </c>
    </row>
    <row r="290" spans="1:10">
      <c r="A290" t="s">
        <v>157</v>
      </c>
      <c r="B290" t="s">
        <v>1106</v>
      </c>
      <c r="C290">
        <v>86.51</v>
      </c>
      <c r="D290">
        <v>0.61</v>
      </c>
      <c r="E290">
        <v>1300000</v>
      </c>
      <c r="F290">
        <v>277200</v>
      </c>
      <c r="G290">
        <v>15050</v>
      </c>
      <c r="H290">
        <f>IFERROR(Sheet1[[#This Row],[Volume (24h)]]/Sheet1[[#This Row],[Circulating Supply]],0)</f>
        <v>5.4059953434225845</v>
      </c>
      <c r="I290">
        <f>RANK(Table2[[#This Row],[Market Cap]],Table2[Market Cap],0)</f>
        <v>256</v>
      </c>
      <c r="J290" t="str">
        <f t="shared" si="4"/>
        <v>10-100</v>
      </c>
    </row>
    <row r="291" spans="1:10">
      <c r="A291" t="s">
        <v>217</v>
      </c>
      <c r="B291" t="s">
        <v>1107</v>
      </c>
      <c r="C291">
        <v>1.7149999999999999E-3</v>
      </c>
      <c r="D291">
        <v>0.1</v>
      </c>
      <c r="E291">
        <v>20150000</v>
      </c>
      <c r="F291">
        <v>13630</v>
      </c>
      <c r="G291">
        <v>11750000000</v>
      </c>
      <c r="H291">
        <f>IFERROR(Sheet1[[#This Row],[Volume (24h)]]/Sheet1[[#This Row],[Circulating Supply]],0)</f>
        <v>69.070904645476773</v>
      </c>
      <c r="I291">
        <f>RANK(Table2[[#This Row],[Market Cap]],Table2[Market Cap],0)</f>
        <v>100</v>
      </c>
      <c r="J291" t="str">
        <f t="shared" si="4"/>
        <v>0-0.5</v>
      </c>
    </row>
    <row r="292" spans="1:10">
      <c r="A292" t="s">
        <v>174</v>
      </c>
      <c r="B292" t="s">
        <v>1108</v>
      </c>
      <c r="C292">
        <v>7.5296000000000002E-2</v>
      </c>
      <c r="D292">
        <v>0.77</v>
      </c>
      <c r="E292">
        <v>28410000</v>
      </c>
      <c r="F292">
        <v>175590</v>
      </c>
      <c r="G292">
        <v>536420000000000</v>
      </c>
      <c r="H292">
        <f>IFERROR(Sheet1[[#This Row],[Volume (24h)]]/Sheet1[[#This Row],[Circulating Supply]],0)</f>
        <v>5.6874086448110251E-6</v>
      </c>
      <c r="I292">
        <f>RANK(Table2[[#This Row],[Market Cap]],Table2[Market Cap],0)</f>
        <v>80</v>
      </c>
      <c r="J292" t="str">
        <f t="shared" si="4"/>
        <v>0-0.5</v>
      </c>
    </row>
    <row r="293" spans="1:10">
      <c r="A293" t="s">
        <v>46</v>
      </c>
      <c r="B293" t="s">
        <v>1109</v>
      </c>
      <c r="C293">
        <v>2.853E-5</v>
      </c>
      <c r="D293">
        <v>0.09</v>
      </c>
      <c r="E293">
        <v>28350000</v>
      </c>
      <c r="F293">
        <v>6900000</v>
      </c>
      <c r="G293">
        <v>993700000000</v>
      </c>
      <c r="H293">
        <f>IFERROR(Sheet1[[#This Row],[Volume (24h)]]/Sheet1[[#This Row],[Circulating Supply]],0)</f>
        <v>12.400305576776166</v>
      </c>
      <c r="I293">
        <f>RANK(Table2[[#This Row],[Market Cap]],Table2[Market Cap],0)</f>
        <v>81</v>
      </c>
      <c r="J293" t="str">
        <f t="shared" si="4"/>
        <v>0-0.5</v>
      </c>
    </row>
    <row r="294" spans="1:10">
      <c r="A294" t="s">
        <v>189</v>
      </c>
      <c r="B294" t="s">
        <v>1110</v>
      </c>
      <c r="C294">
        <v>9.7230000000000007E-3</v>
      </c>
      <c r="D294">
        <v>0.12</v>
      </c>
      <c r="E294">
        <v>3290000</v>
      </c>
      <c r="F294">
        <v>92400</v>
      </c>
      <c r="G294">
        <v>339060000</v>
      </c>
      <c r="H294">
        <f>IFERROR(Sheet1[[#This Row],[Volume (24h)]]/Sheet1[[#This Row],[Circulating Supply]],0)</f>
        <v>24.108695652173914</v>
      </c>
      <c r="I294">
        <f>RANK(Table2[[#This Row],[Market Cap]],Table2[Market Cap],0)</f>
        <v>200</v>
      </c>
      <c r="J294" t="str">
        <f t="shared" si="4"/>
        <v>0-0.5</v>
      </c>
    </row>
    <row r="295" spans="1:10">
      <c r="A295" t="s">
        <v>221</v>
      </c>
      <c r="B295" t="s">
        <v>1111</v>
      </c>
      <c r="C295">
        <v>1.9570000000000001E-4</v>
      </c>
      <c r="D295">
        <v>1.75</v>
      </c>
      <c r="E295">
        <v>2000000</v>
      </c>
      <c r="F295">
        <v>8870</v>
      </c>
      <c r="G295">
        <v>10260000000</v>
      </c>
      <c r="H295">
        <f>IFERROR(Sheet1[[#This Row],[Volume (24h)]]/Sheet1[[#This Row],[Circulating Supply]],0)</f>
        <v>0</v>
      </c>
      <c r="I295">
        <f>RANK(Table2[[#This Row],[Market Cap]],Table2[Market Cap],0)</f>
        <v>235</v>
      </c>
      <c r="J295" t="str">
        <f t="shared" si="4"/>
        <v>0-0.5</v>
      </c>
    </row>
    <row r="296" spans="1:10">
      <c r="A296" t="s">
        <v>7</v>
      </c>
      <c r="B296" t="s">
        <v>7</v>
      </c>
      <c r="C296">
        <v>1.06</v>
      </c>
      <c r="D296">
        <v>0.06</v>
      </c>
      <c r="E296">
        <v>66340000000</v>
      </c>
      <c r="F296">
        <v>1160000000</v>
      </c>
      <c r="G296">
        <v>62530000000</v>
      </c>
      <c r="H296">
        <f>IFERROR(Sheet1[[#This Row],[Volume (24h)]]/Sheet1[[#This Row],[Circulating Supply]],0)</f>
        <v>0</v>
      </c>
      <c r="I296">
        <f>RANK(Table2[[#This Row],[Market Cap]],Table2[Market Cap],0)</f>
        <v>6</v>
      </c>
      <c r="J296" t="str">
        <f t="shared" si="4"/>
        <v>1-2</v>
      </c>
    </row>
    <row r="297" spans="1:10">
      <c r="A297" t="s">
        <v>143</v>
      </c>
      <c r="B297" t="s">
        <v>143</v>
      </c>
      <c r="C297">
        <v>0.77969999999999995</v>
      </c>
      <c r="D297">
        <v>0.15</v>
      </c>
      <c r="E297">
        <v>11780000</v>
      </c>
      <c r="F297">
        <v>477190</v>
      </c>
      <c r="G297">
        <v>15110000</v>
      </c>
      <c r="H297">
        <f>IFERROR(Sheet1[[#This Row],[Volume (24h)]]/Sheet1[[#This Row],[Circulating Supply]],0)</f>
        <v>1.0564516129032257E-6</v>
      </c>
      <c r="I297">
        <f>RANK(Table2[[#This Row],[Market Cap]],Table2[Market Cap],0)</f>
        <v>132</v>
      </c>
      <c r="J297" t="str">
        <f t="shared" si="4"/>
        <v>0.5-1</v>
      </c>
    </row>
    <row r="298" spans="1:10">
      <c r="A298" t="s">
        <v>122</v>
      </c>
      <c r="B298" t="s">
        <v>1112</v>
      </c>
      <c r="C298">
        <v>8.0689999999999998E-3</v>
      </c>
      <c r="D298">
        <v>0.27</v>
      </c>
      <c r="E298">
        <v>1590000</v>
      </c>
      <c r="F298">
        <v>1100000</v>
      </c>
      <c r="G298">
        <v>197300000</v>
      </c>
      <c r="H298">
        <f>IFERROR(Sheet1[[#This Row],[Volume (24h)]]/Sheet1[[#This Row],[Circulating Supply]],0)</f>
        <v>0</v>
      </c>
      <c r="I298">
        <f>RANK(Table2[[#This Row],[Market Cap]],Table2[Market Cap],0)</f>
        <v>246</v>
      </c>
      <c r="J298" t="str">
        <f t="shared" si="4"/>
        <v>0-0.5</v>
      </c>
    </row>
    <row r="299" spans="1:10">
      <c r="A299" t="s">
        <v>98</v>
      </c>
      <c r="B299" t="s">
        <v>1113</v>
      </c>
      <c r="C299">
        <v>0.11890000000000001</v>
      </c>
      <c r="D299">
        <v>0.92</v>
      </c>
      <c r="E299">
        <v>15350000</v>
      </c>
      <c r="F299">
        <v>1810000</v>
      </c>
      <c r="G299">
        <v>129100000</v>
      </c>
      <c r="H299">
        <f>IFERROR(Sheet1[[#This Row],[Volume (24h)]]/Sheet1[[#This Row],[Circulating Supply]],0)</f>
        <v>1.6359447004608296E-6</v>
      </c>
      <c r="I299">
        <f>RANK(Table2[[#This Row],[Market Cap]],Table2[Market Cap],0)</f>
        <v>118</v>
      </c>
      <c r="J299" t="str">
        <f t="shared" si="4"/>
        <v>0-0.5</v>
      </c>
    </row>
    <row r="300" spans="1:10">
      <c r="A300" t="s">
        <v>12</v>
      </c>
      <c r="B300" t="s">
        <v>338</v>
      </c>
      <c r="C300">
        <v>455.74</v>
      </c>
      <c r="D300">
        <v>0.22</v>
      </c>
      <c r="E300">
        <v>7650000000</v>
      </c>
      <c r="F300">
        <v>285310000</v>
      </c>
      <c r="G300">
        <v>16790000</v>
      </c>
      <c r="H300">
        <f>IFERROR(Sheet1[[#This Row],[Volume (24h)]]/Sheet1[[#This Row],[Circulating Supply]],0)</f>
        <v>2.3599999999999999E-4</v>
      </c>
      <c r="I300">
        <f>RANK(Table2[[#This Row],[Market Cap]],Table2[Market Cap],0)</f>
        <v>14</v>
      </c>
      <c r="J300" t="str">
        <f t="shared" si="4"/>
        <v>100-10000</v>
      </c>
    </row>
    <row r="301" spans="1:10">
      <c r="A301" t="s">
        <v>51</v>
      </c>
      <c r="B301" t="s">
        <v>1114</v>
      </c>
      <c r="C301">
        <v>4.002E-2</v>
      </c>
      <c r="D301">
        <v>0.09</v>
      </c>
      <c r="E301">
        <v>56390000</v>
      </c>
      <c r="F301">
        <v>5970000</v>
      </c>
      <c r="G301">
        <v>1400000000</v>
      </c>
      <c r="H301">
        <f>IFERROR(Sheet1[[#This Row],[Volume (24h)]]/Sheet1[[#This Row],[Circulating Supply]],0)</f>
        <v>6.9145531642531406E-5</v>
      </c>
      <c r="I301">
        <f>RANK(Table2[[#This Row],[Market Cap]],Table2[Market Cap],0)</f>
        <v>49</v>
      </c>
      <c r="J301" t="str">
        <f t="shared" si="4"/>
        <v>0-0.5</v>
      </c>
    </row>
  </sheetData>
  <pageMargins left="0.75" right="0.75" top="1" bottom="1" header="0.5" footer="0.5"/>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7BE2BEB-0F29-4983-858B-0E77222DB2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Task1_Time_Analysis</vt:lpstr>
      <vt:lpstr>Task2_Coin_Comparison</vt:lpstr>
      <vt:lpstr>Task3_Liquidity_Analysis</vt:lpstr>
      <vt:lpstr>Task4</vt:lpstr>
      <vt:lpstr>Task5_Historical_Insights</vt:lpstr>
      <vt:lpstr>Task6_Low_Budget</vt:lpstr>
      <vt:lpstr>Dashboard</vt:lpstr>
      <vt:lpstr>cleaned_data</vt:lpstr>
      <vt:lpstr>Task3_Pivot_All</vt:lpstr>
      <vt:lpstr>Task3_Pivot_Top5</vt:lpstr>
      <vt:lpstr>Sheet4</vt:lpstr>
      <vt:lpstr>Task5_Data</vt:lpstr>
      <vt:lpstr>Sheet1</vt:lpstr>
      <vt:lpstr>pivote_chats</vt:lpstr>
      <vt:lpstr>Task4_Price_Change1</vt:lpstr>
      <vt:lpstr>Sheet11</vt:lpstr>
      <vt:lpstr>Sheet5</vt:lpstr>
      <vt:lpstr>Sheet2</vt:lpstr>
      <vt:lpstr>Task5_datatable</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SNEHITH MEKALA</cp:lastModifiedBy>
  <dcterms:created xsi:type="dcterms:W3CDTF">2026-07-31T21:16:00Z</dcterms:created>
  <dcterms:modified xsi:type="dcterms:W3CDTF">2026-09-10T11:13:47Z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0340BC3C660E4FB0BEE00D0BB7934909_13</vt:lpwstr>
  </property>
  <property fmtid="{D5CDD505-2E9C-101B-9397-08002B2CF9AE}" pid="3" name="KSOProductBuildVer">
    <vt:lpwstr>1033-12.1.0.28485</vt:lpwstr>
  </property>
  <property fmtid="{D5CDD505-2E9C-101B-9397-08002B2CF9AE}" pid="4" name="CalculationRule">
    <vt:i4>0</vt:i4>
  </property>
</Properties>
</file>